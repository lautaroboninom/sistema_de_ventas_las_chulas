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G BIO\LISTA DE PRECIOS DE MGBIO\"/>
    </mc:Choice>
  </mc:AlternateContent>
  <bookViews>
    <workbookView xWindow="-120" yWindow="-120" windowWidth="20730" windowHeight="11160" tabRatio="697"/>
  </bookViews>
  <sheets>
    <sheet name="REPUESTOS (2)" sheetId="47" r:id="rId1"/>
    <sheet name="REPUESTOS" sheetId="2" r:id="rId2"/>
    <sheet name="CÓDIGOS" sheetId="46" r:id="rId3"/>
    <sheet name="MEDIX" sheetId="45" r:id="rId4"/>
  </sheets>
  <definedNames>
    <definedName name="Print_Area" localSheetId="1">REPUESTOS!$A$1:$O$234</definedName>
    <definedName name="Print_Area" localSheetId="0">'REPUESTOS (2)'!$A$1:$P$236</definedName>
  </definedNames>
  <calcPr calcId="152511"/>
</workbook>
</file>

<file path=xl/calcChain.xml><?xml version="1.0" encoding="utf-8"?>
<calcChain xmlns="http://schemas.openxmlformats.org/spreadsheetml/2006/main">
  <c r="E88" i="47" l="1"/>
  <c r="G88" i="47"/>
  <c r="K88" i="47"/>
  <c r="L88" i="47" s="1"/>
  <c r="M88" i="47"/>
  <c r="E89" i="47"/>
  <c r="G89" i="47"/>
  <c r="K89" i="47"/>
  <c r="L89" i="47" s="1"/>
  <c r="M89" i="47"/>
  <c r="G76" i="47"/>
  <c r="F72" i="47"/>
  <c r="E78" i="47"/>
  <c r="G78" i="47"/>
  <c r="K78" i="47"/>
  <c r="L78" i="47" s="1"/>
  <c r="G291" i="47"/>
  <c r="G290" i="47"/>
  <c r="G292" i="47"/>
  <c r="G241" i="47"/>
  <c r="G240" i="47"/>
  <c r="G294" i="47"/>
  <c r="G293" i="47"/>
  <c r="G23" i="47"/>
  <c r="G70" i="47"/>
  <c r="E72" i="47"/>
  <c r="K72" i="47"/>
  <c r="M72" i="47" s="1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1" i="47"/>
  <c r="G73" i="47"/>
  <c r="G74" i="47"/>
  <c r="G77" i="47"/>
  <c r="G79" i="47"/>
  <c r="G80" i="47"/>
  <c r="G81" i="47"/>
  <c r="G82" i="47"/>
  <c r="G83" i="47"/>
  <c r="G84" i="47"/>
  <c r="G85" i="47"/>
  <c r="G86" i="47"/>
  <c r="G87" i="47"/>
  <c r="G90" i="47"/>
  <c r="G91" i="47"/>
  <c r="G92" i="47"/>
  <c r="G93" i="47"/>
  <c r="G94" i="47"/>
  <c r="G95" i="47"/>
  <c r="G96" i="47"/>
  <c r="G97" i="47"/>
  <c r="G98" i="47"/>
  <c r="G99" i="47"/>
  <c r="G100" i="47"/>
  <c r="G101" i="47"/>
  <c r="G102" i="47"/>
  <c r="G103" i="47"/>
  <c r="G104" i="47"/>
  <c r="G105" i="47"/>
  <c r="G106" i="47"/>
  <c r="G107" i="47"/>
  <c r="G108" i="47"/>
  <c r="G109" i="47"/>
  <c r="G110" i="47"/>
  <c r="G111" i="47"/>
  <c r="G112" i="47"/>
  <c r="G113" i="47"/>
  <c r="G114" i="47"/>
  <c r="G115" i="47"/>
  <c r="G116" i="47"/>
  <c r="G117" i="47"/>
  <c r="G118" i="47"/>
  <c r="G119" i="47"/>
  <c r="G120" i="47"/>
  <c r="G121" i="47"/>
  <c r="G122" i="47"/>
  <c r="G123" i="47"/>
  <c r="G124" i="47"/>
  <c r="G125" i="47"/>
  <c r="G126" i="47"/>
  <c r="G127" i="47"/>
  <c r="G128" i="47"/>
  <c r="G129" i="47"/>
  <c r="G130" i="47"/>
  <c r="G131" i="47"/>
  <c r="G132" i="47"/>
  <c r="G133" i="47"/>
  <c r="G134" i="47"/>
  <c r="G135" i="47"/>
  <c r="G136" i="47"/>
  <c r="G137" i="47"/>
  <c r="G138" i="47"/>
  <c r="G139" i="47"/>
  <c r="G140" i="47"/>
  <c r="G141" i="47"/>
  <c r="G142" i="47"/>
  <c r="G143" i="47"/>
  <c r="G144" i="47"/>
  <c r="G145" i="47"/>
  <c r="G146" i="47"/>
  <c r="G147" i="47"/>
  <c r="G148" i="47"/>
  <c r="G149" i="47"/>
  <c r="G150" i="47"/>
  <c r="G151" i="47"/>
  <c r="G152" i="47"/>
  <c r="G153" i="47"/>
  <c r="G154" i="47"/>
  <c r="G155" i="47"/>
  <c r="G156" i="47"/>
  <c r="G157" i="47"/>
  <c r="G158" i="47"/>
  <c r="G159" i="47"/>
  <c r="G160" i="47"/>
  <c r="G161" i="47"/>
  <c r="G162" i="47"/>
  <c r="G163" i="47"/>
  <c r="G164" i="47"/>
  <c r="G165" i="47"/>
  <c r="G166" i="47"/>
  <c r="G167" i="47"/>
  <c r="G168" i="47"/>
  <c r="G169" i="47"/>
  <c r="G170" i="47"/>
  <c r="G171" i="47"/>
  <c r="G172" i="47"/>
  <c r="G173" i="47"/>
  <c r="G174" i="47"/>
  <c r="G175" i="47"/>
  <c r="G176" i="47"/>
  <c r="G177" i="47"/>
  <c r="G178" i="47"/>
  <c r="G179" i="47"/>
  <c r="G180" i="47"/>
  <c r="G181" i="47"/>
  <c r="G182" i="47"/>
  <c r="G183" i="47"/>
  <c r="G184" i="47"/>
  <c r="G185" i="47"/>
  <c r="G186" i="47"/>
  <c r="G187" i="47"/>
  <c r="G188" i="47"/>
  <c r="G189" i="47"/>
  <c r="G190" i="47"/>
  <c r="G191" i="47"/>
  <c r="G192" i="47"/>
  <c r="G193" i="47"/>
  <c r="G194" i="47"/>
  <c r="G195" i="47"/>
  <c r="G196" i="47"/>
  <c r="G197" i="47"/>
  <c r="G198" i="47"/>
  <c r="G199" i="47"/>
  <c r="G200" i="47"/>
  <c r="G201" i="47"/>
  <c r="G202" i="47"/>
  <c r="G203" i="47"/>
  <c r="G204" i="47"/>
  <c r="G205" i="47"/>
  <c r="G206" i="47"/>
  <c r="G207" i="47"/>
  <c r="G208" i="47"/>
  <c r="G209" i="47"/>
  <c r="G210" i="47"/>
  <c r="G211" i="47"/>
  <c r="G212" i="47"/>
  <c r="G213" i="47"/>
  <c r="G214" i="47"/>
  <c r="G215" i="47"/>
  <c r="G216" i="47"/>
  <c r="G217" i="47"/>
  <c r="G218" i="47"/>
  <c r="G219" i="47"/>
  <c r="G220" i="47"/>
  <c r="G221" i="47"/>
  <c r="G222" i="47"/>
  <c r="G223" i="47"/>
  <c r="G224" i="47"/>
  <c r="G225" i="47"/>
  <c r="G226" i="47"/>
  <c r="G227" i="47"/>
  <c r="G228" i="47"/>
  <c r="G229" i="47"/>
  <c r="G230" i="47"/>
  <c r="G231" i="47"/>
  <c r="G232" i="47"/>
  <c r="G233" i="47"/>
  <c r="G234" i="47"/>
  <c r="G235" i="47"/>
  <c r="G236" i="47"/>
  <c r="G237" i="47"/>
  <c r="G238" i="47"/>
  <c r="G239" i="47"/>
  <c r="G242" i="47"/>
  <c r="G243" i="47"/>
  <c r="G244" i="47"/>
  <c r="G245" i="47"/>
  <c r="G246" i="47"/>
  <c r="G247" i="47"/>
  <c r="G248" i="47"/>
  <c r="G249" i="47"/>
  <c r="G250" i="47"/>
  <c r="G251" i="47"/>
  <c r="G252" i="47"/>
  <c r="G253" i="47"/>
  <c r="G254" i="47"/>
  <c r="G255" i="47"/>
  <c r="G256" i="47"/>
  <c r="G257" i="47"/>
  <c r="G258" i="47"/>
  <c r="G259" i="47"/>
  <c r="G260" i="47"/>
  <c r="G261" i="47"/>
  <c r="G262" i="47"/>
  <c r="G263" i="47"/>
  <c r="G264" i="47"/>
  <c r="G265" i="47"/>
  <c r="G266" i="47"/>
  <c r="G267" i="47"/>
  <c r="G268" i="47"/>
  <c r="G269" i="47"/>
  <c r="G270" i="47"/>
  <c r="G271" i="47"/>
  <c r="G272" i="47"/>
  <c r="G273" i="47"/>
  <c r="G274" i="47"/>
  <c r="G275" i="47"/>
  <c r="G276" i="47"/>
  <c r="G277" i="47"/>
  <c r="G278" i="47"/>
  <c r="G279" i="47"/>
  <c r="G280" i="47"/>
  <c r="G281" i="47"/>
  <c r="G282" i="47"/>
  <c r="G283" i="47"/>
  <c r="G284" i="47"/>
  <c r="G285" i="47"/>
  <c r="G286" i="47"/>
  <c r="G287" i="47"/>
  <c r="G288" i="47"/>
  <c r="G289" i="47"/>
  <c r="G9" i="47"/>
  <c r="K289" i="47"/>
  <c r="L289" i="47" s="1"/>
  <c r="K288" i="47"/>
  <c r="M288" i="47" s="1"/>
  <c r="K287" i="47"/>
  <c r="L287" i="47" s="1"/>
  <c r="K286" i="47"/>
  <c r="M286" i="47" s="1"/>
  <c r="K285" i="47"/>
  <c r="L285" i="47" s="1"/>
  <c r="K284" i="47"/>
  <c r="M284" i="47" s="1"/>
  <c r="K283" i="47"/>
  <c r="L283" i="47" s="1"/>
  <c r="K282" i="47"/>
  <c r="M282" i="47" s="1"/>
  <c r="K281" i="47"/>
  <c r="L281" i="47" s="1"/>
  <c r="K280" i="47"/>
  <c r="M280" i="47" s="1"/>
  <c r="K279" i="47"/>
  <c r="L279" i="47" s="1"/>
  <c r="K278" i="47"/>
  <c r="M278" i="47" s="1"/>
  <c r="K277" i="47"/>
  <c r="L277" i="47" s="1"/>
  <c r="K276" i="47"/>
  <c r="M276" i="47" s="1"/>
  <c r="K275" i="47"/>
  <c r="L275" i="47" s="1"/>
  <c r="K274" i="47"/>
  <c r="M274" i="47" s="1"/>
  <c r="K273" i="47"/>
  <c r="L273" i="47" s="1"/>
  <c r="K272" i="47"/>
  <c r="M272" i="47" s="1"/>
  <c r="K271" i="47"/>
  <c r="M271" i="47" s="1"/>
  <c r="K270" i="47"/>
  <c r="M270" i="47" s="1"/>
  <c r="K269" i="47"/>
  <c r="M269" i="47" s="1"/>
  <c r="K268" i="47"/>
  <c r="M268" i="47" s="1"/>
  <c r="K267" i="47"/>
  <c r="M267" i="47" s="1"/>
  <c r="M266" i="47"/>
  <c r="L266" i="47"/>
  <c r="K265" i="47"/>
  <c r="L265" i="47" s="1"/>
  <c r="K264" i="47"/>
  <c r="M264" i="47" s="1"/>
  <c r="K263" i="47"/>
  <c r="M263" i="47" s="1"/>
  <c r="K262" i="47"/>
  <c r="M262" i="47" s="1"/>
  <c r="K261" i="47"/>
  <c r="M261" i="47" s="1"/>
  <c r="K260" i="47"/>
  <c r="M260" i="47" s="1"/>
  <c r="K259" i="47"/>
  <c r="M259" i="47" s="1"/>
  <c r="K258" i="47"/>
  <c r="M258" i="47" s="1"/>
  <c r="K257" i="47"/>
  <c r="M257" i="47" s="1"/>
  <c r="K256" i="47"/>
  <c r="M256" i="47" s="1"/>
  <c r="K255" i="47"/>
  <c r="M255" i="47" s="1"/>
  <c r="K254" i="47"/>
  <c r="M254" i="47" s="1"/>
  <c r="K253" i="47"/>
  <c r="M253" i="47" s="1"/>
  <c r="K252" i="47"/>
  <c r="M252" i="47" s="1"/>
  <c r="K251" i="47"/>
  <c r="M251" i="47" s="1"/>
  <c r="K250" i="47"/>
  <c r="M250" i="47" s="1"/>
  <c r="K249" i="47"/>
  <c r="M249" i="47" s="1"/>
  <c r="O247" i="47"/>
  <c r="N247" i="47"/>
  <c r="K247" i="47"/>
  <c r="L247" i="47" s="1"/>
  <c r="E247" i="47"/>
  <c r="K246" i="47"/>
  <c r="M246" i="47" s="1"/>
  <c r="E246" i="47"/>
  <c r="K245" i="47"/>
  <c r="M245" i="47" s="1"/>
  <c r="E245" i="47"/>
  <c r="K244" i="47"/>
  <c r="L244" i="47" s="1"/>
  <c r="E244" i="47"/>
  <c r="E243" i="47"/>
  <c r="K242" i="47"/>
  <c r="M242" i="47" s="1"/>
  <c r="E242" i="47"/>
  <c r="K239" i="47"/>
  <c r="M239" i="47" s="1"/>
  <c r="E239" i="47"/>
  <c r="K238" i="47"/>
  <c r="M238" i="47" s="1"/>
  <c r="E238" i="47"/>
  <c r="K237" i="47"/>
  <c r="M237" i="47" s="1"/>
  <c r="E237" i="47"/>
  <c r="K236" i="47"/>
  <c r="M236" i="47" s="1"/>
  <c r="E236" i="47"/>
  <c r="K235" i="47"/>
  <c r="M235" i="47" s="1"/>
  <c r="E235" i="47"/>
  <c r="K234" i="47"/>
  <c r="M234" i="47" s="1"/>
  <c r="E234" i="47"/>
  <c r="K233" i="47"/>
  <c r="M233" i="47" s="1"/>
  <c r="E233" i="47"/>
  <c r="K232" i="47"/>
  <c r="M232" i="47" s="1"/>
  <c r="E232" i="47"/>
  <c r="K231" i="47"/>
  <c r="M231" i="47" s="1"/>
  <c r="E231" i="47"/>
  <c r="K230" i="47"/>
  <c r="M230" i="47" s="1"/>
  <c r="E230" i="47"/>
  <c r="K229" i="47"/>
  <c r="M229" i="47" s="1"/>
  <c r="E229" i="47"/>
  <c r="K228" i="47"/>
  <c r="M228" i="47" s="1"/>
  <c r="E228" i="47"/>
  <c r="K227" i="47"/>
  <c r="M227" i="47" s="1"/>
  <c r="E227" i="47"/>
  <c r="K226" i="47"/>
  <c r="M226" i="47" s="1"/>
  <c r="E226" i="47"/>
  <c r="K225" i="47"/>
  <c r="L225" i="47" s="1"/>
  <c r="E225" i="47"/>
  <c r="E224" i="47"/>
  <c r="K223" i="47"/>
  <c r="M223" i="47" s="1"/>
  <c r="E223" i="47"/>
  <c r="K222" i="47"/>
  <c r="M222" i="47" s="1"/>
  <c r="E222" i="47"/>
  <c r="K221" i="47"/>
  <c r="L221" i="47" s="1"/>
  <c r="E221" i="47"/>
  <c r="K220" i="47"/>
  <c r="M220" i="47" s="1"/>
  <c r="E220" i="47"/>
  <c r="K219" i="47"/>
  <c r="M219" i="47" s="1"/>
  <c r="E219" i="47"/>
  <c r="K218" i="47"/>
  <c r="L218" i="47" s="1"/>
  <c r="E218" i="47"/>
  <c r="E217" i="47"/>
  <c r="O216" i="47"/>
  <c r="N216" i="47"/>
  <c r="K216" i="47"/>
  <c r="M216" i="47" s="1"/>
  <c r="E216" i="47"/>
  <c r="E215" i="47"/>
  <c r="O214" i="47"/>
  <c r="N214" i="47"/>
  <c r="K214" i="47"/>
  <c r="M214" i="47" s="1"/>
  <c r="E214" i="47"/>
  <c r="O213" i="47"/>
  <c r="N213" i="47"/>
  <c r="K213" i="47"/>
  <c r="M213" i="47" s="1"/>
  <c r="E213" i="47"/>
  <c r="O212" i="47"/>
  <c r="N212" i="47"/>
  <c r="K212" i="47"/>
  <c r="M212" i="47" s="1"/>
  <c r="E212" i="47"/>
  <c r="E211" i="47"/>
  <c r="M210" i="47"/>
  <c r="L210" i="47"/>
  <c r="E210" i="47"/>
  <c r="M209" i="47"/>
  <c r="L209" i="47"/>
  <c r="E209" i="47"/>
  <c r="M208" i="47"/>
  <c r="L208" i="47"/>
  <c r="E208" i="47"/>
  <c r="N207" i="47"/>
  <c r="M207" i="47"/>
  <c r="L207" i="47"/>
  <c r="E207" i="47"/>
  <c r="N206" i="47"/>
  <c r="M206" i="47"/>
  <c r="L206" i="47"/>
  <c r="E206" i="47"/>
  <c r="N205" i="47"/>
  <c r="M205" i="47"/>
  <c r="L205" i="47"/>
  <c r="E205" i="47"/>
  <c r="O204" i="47"/>
  <c r="N204" i="47"/>
  <c r="M204" i="47"/>
  <c r="L204" i="47"/>
  <c r="E204" i="47"/>
  <c r="N203" i="47"/>
  <c r="M203" i="47"/>
  <c r="L203" i="47"/>
  <c r="E203" i="47"/>
  <c r="N202" i="47"/>
  <c r="M202" i="47"/>
  <c r="L202" i="47"/>
  <c r="E202" i="47"/>
  <c r="N201" i="47"/>
  <c r="M201" i="47"/>
  <c r="L201" i="47"/>
  <c r="E201" i="47"/>
  <c r="M200" i="47"/>
  <c r="L200" i="47"/>
  <c r="E200" i="47"/>
  <c r="N199" i="47"/>
  <c r="M199" i="47"/>
  <c r="L199" i="47"/>
  <c r="E199" i="47"/>
  <c r="N198" i="47"/>
  <c r="M198" i="47"/>
  <c r="L198" i="47"/>
  <c r="E198" i="47"/>
  <c r="N197" i="47"/>
  <c r="M197" i="47"/>
  <c r="L197" i="47"/>
  <c r="E197" i="47"/>
  <c r="N196" i="47"/>
  <c r="M196" i="47"/>
  <c r="L196" i="47"/>
  <c r="E196" i="47"/>
  <c r="N195" i="47"/>
  <c r="M195" i="47"/>
  <c r="L195" i="47"/>
  <c r="E195" i="47"/>
  <c r="M194" i="47"/>
  <c r="L194" i="47"/>
  <c r="E194" i="47"/>
  <c r="M193" i="47"/>
  <c r="L193" i="47"/>
  <c r="E193" i="47"/>
  <c r="N192" i="47"/>
  <c r="M192" i="47"/>
  <c r="L192" i="47"/>
  <c r="E192" i="47"/>
  <c r="N191" i="47"/>
  <c r="M191" i="47"/>
  <c r="L191" i="47"/>
  <c r="E191" i="47"/>
  <c r="N190" i="47"/>
  <c r="M190" i="47"/>
  <c r="L190" i="47"/>
  <c r="E190" i="47"/>
  <c r="N189" i="47"/>
  <c r="M189" i="47"/>
  <c r="L189" i="47"/>
  <c r="E189" i="47"/>
  <c r="N188" i="47"/>
  <c r="M188" i="47"/>
  <c r="L188" i="47"/>
  <c r="E188" i="47"/>
  <c r="M187" i="47"/>
  <c r="L187" i="47"/>
  <c r="E187" i="47"/>
  <c r="K186" i="47"/>
  <c r="M186" i="47" s="1"/>
  <c r="E186" i="47"/>
  <c r="K185" i="47"/>
  <c r="M185" i="47" s="1"/>
  <c r="E185" i="47"/>
  <c r="K184" i="47"/>
  <c r="M184" i="47" s="1"/>
  <c r="E184" i="47"/>
  <c r="K183" i="47"/>
  <c r="M183" i="47" s="1"/>
  <c r="E183" i="47"/>
  <c r="K182" i="47"/>
  <c r="M182" i="47" s="1"/>
  <c r="E182" i="47"/>
  <c r="K181" i="47"/>
  <c r="M181" i="47" s="1"/>
  <c r="E181" i="47"/>
  <c r="M180" i="47"/>
  <c r="L180" i="47"/>
  <c r="E180" i="47"/>
  <c r="K179" i="47"/>
  <c r="M179" i="47" s="1"/>
  <c r="E179" i="47"/>
  <c r="K178" i="47"/>
  <c r="M178" i="47" s="1"/>
  <c r="E178" i="47"/>
  <c r="M177" i="47"/>
  <c r="L177" i="47"/>
  <c r="E177" i="47"/>
  <c r="K176" i="47"/>
  <c r="M176" i="47" s="1"/>
  <c r="E176" i="47"/>
  <c r="K175" i="47"/>
  <c r="M175" i="47" s="1"/>
  <c r="E175" i="47"/>
  <c r="K174" i="47"/>
  <c r="M174" i="47" s="1"/>
  <c r="E174" i="47"/>
  <c r="K173" i="47"/>
  <c r="M173" i="47" s="1"/>
  <c r="E173" i="47"/>
  <c r="K172" i="47"/>
  <c r="M172" i="47" s="1"/>
  <c r="E172" i="47"/>
  <c r="M171" i="47"/>
  <c r="L171" i="47"/>
  <c r="E171" i="47"/>
  <c r="O170" i="47"/>
  <c r="N170" i="47"/>
  <c r="M170" i="47"/>
  <c r="L170" i="47"/>
  <c r="E170" i="47"/>
  <c r="K169" i="47"/>
  <c r="M169" i="47" s="1"/>
  <c r="E169" i="47"/>
  <c r="M168" i="47"/>
  <c r="L168" i="47"/>
  <c r="E168" i="47"/>
  <c r="K167" i="47"/>
  <c r="L167" i="47" s="1"/>
  <c r="E167" i="47"/>
  <c r="K166" i="47"/>
  <c r="L166" i="47" s="1"/>
  <c r="E166" i="47"/>
  <c r="K165" i="47"/>
  <c r="M165" i="47" s="1"/>
  <c r="E165" i="47"/>
  <c r="K164" i="47"/>
  <c r="L164" i="47" s="1"/>
  <c r="E164" i="47"/>
  <c r="K163" i="47"/>
  <c r="L163" i="47" s="1"/>
  <c r="E163" i="47"/>
  <c r="K162" i="47"/>
  <c r="M162" i="47" s="1"/>
  <c r="E162" i="47"/>
  <c r="K161" i="47"/>
  <c r="L161" i="47" s="1"/>
  <c r="E161" i="47"/>
  <c r="K160" i="47"/>
  <c r="L160" i="47" s="1"/>
  <c r="E160" i="47"/>
  <c r="K159" i="47"/>
  <c r="M159" i="47" s="1"/>
  <c r="E159" i="47"/>
  <c r="K158" i="47"/>
  <c r="L158" i="47" s="1"/>
  <c r="E158" i="47"/>
  <c r="K157" i="47"/>
  <c r="L157" i="47" s="1"/>
  <c r="E157" i="47"/>
  <c r="K156" i="47"/>
  <c r="M156" i="47" s="1"/>
  <c r="E156" i="47"/>
  <c r="K155" i="47"/>
  <c r="M155" i="47" s="1"/>
  <c r="E155" i="47"/>
  <c r="K154" i="47"/>
  <c r="L154" i="47" s="1"/>
  <c r="E154" i="47"/>
  <c r="K153" i="47"/>
  <c r="M153" i="47" s="1"/>
  <c r="E153" i="47"/>
  <c r="K152" i="47"/>
  <c r="M152" i="47" s="1"/>
  <c r="E152" i="47"/>
  <c r="K151" i="47"/>
  <c r="L151" i="47" s="1"/>
  <c r="E151" i="47"/>
  <c r="K150" i="47"/>
  <c r="M150" i="47" s="1"/>
  <c r="E150" i="47"/>
  <c r="K149" i="47"/>
  <c r="M149" i="47" s="1"/>
  <c r="E149" i="47"/>
  <c r="K148" i="47"/>
  <c r="L148" i="47" s="1"/>
  <c r="E148" i="47"/>
  <c r="K147" i="47"/>
  <c r="M147" i="47" s="1"/>
  <c r="E147" i="47"/>
  <c r="M146" i="47"/>
  <c r="L146" i="47"/>
  <c r="E146" i="47"/>
  <c r="K145" i="47"/>
  <c r="M145" i="47" s="1"/>
  <c r="E145" i="47"/>
  <c r="M144" i="47"/>
  <c r="L144" i="47"/>
  <c r="E144" i="47"/>
  <c r="K143" i="47"/>
  <c r="L143" i="47" s="1"/>
  <c r="K142" i="47"/>
  <c r="M142" i="47" s="1"/>
  <c r="K141" i="47"/>
  <c r="L141" i="47" s="1"/>
  <c r="E141" i="47"/>
  <c r="M140" i="47"/>
  <c r="L140" i="47"/>
  <c r="E140" i="47"/>
  <c r="O139" i="47"/>
  <c r="N139" i="47"/>
  <c r="K139" i="47"/>
  <c r="M139" i="47" s="1"/>
  <c r="E139" i="47"/>
  <c r="O138" i="47"/>
  <c r="N138" i="47"/>
  <c r="K138" i="47"/>
  <c r="M138" i="47" s="1"/>
  <c r="E138" i="47"/>
  <c r="K137" i="47"/>
  <c r="M137" i="47" s="1"/>
  <c r="E137" i="47"/>
  <c r="O136" i="47"/>
  <c r="N136" i="47"/>
  <c r="K136" i="47"/>
  <c r="M136" i="47" s="1"/>
  <c r="E136" i="47"/>
  <c r="O135" i="47"/>
  <c r="N135" i="47"/>
  <c r="K135" i="47"/>
  <c r="M135" i="47" s="1"/>
  <c r="E135" i="47"/>
  <c r="O134" i="47"/>
  <c r="N134" i="47"/>
  <c r="K134" i="47"/>
  <c r="M134" i="47" s="1"/>
  <c r="E134" i="47"/>
  <c r="O133" i="47"/>
  <c r="N133" i="47"/>
  <c r="K133" i="47"/>
  <c r="M133" i="47" s="1"/>
  <c r="E133" i="47"/>
  <c r="O132" i="47"/>
  <c r="N132" i="47"/>
  <c r="K132" i="47"/>
  <c r="M132" i="47" s="1"/>
  <c r="E132" i="47"/>
  <c r="O131" i="47"/>
  <c r="N131" i="47"/>
  <c r="K131" i="47"/>
  <c r="M131" i="47" s="1"/>
  <c r="E131" i="47"/>
  <c r="N130" i="47"/>
  <c r="K130" i="47"/>
  <c r="L130" i="47" s="1"/>
  <c r="E130" i="47"/>
  <c r="O129" i="47"/>
  <c r="N129" i="47"/>
  <c r="K129" i="47"/>
  <c r="L129" i="47" s="1"/>
  <c r="E129" i="47"/>
  <c r="O128" i="47"/>
  <c r="N128" i="47"/>
  <c r="K128" i="47"/>
  <c r="L128" i="47" s="1"/>
  <c r="E128" i="47"/>
  <c r="O127" i="47"/>
  <c r="N127" i="47"/>
  <c r="K127" i="47"/>
  <c r="L127" i="47" s="1"/>
  <c r="E127" i="47"/>
  <c r="O126" i="47"/>
  <c r="N126" i="47"/>
  <c r="K126" i="47"/>
  <c r="L126" i="47" s="1"/>
  <c r="E126" i="47"/>
  <c r="O125" i="47"/>
  <c r="N125" i="47"/>
  <c r="K125" i="47"/>
  <c r="L125" i="47" s="1"/>
  <c r="E125" i="47"/>
  <c r="O124" i="47"/>
  <c r="N124" i="47"/>
  <c r="K124" i="47"/>
  <c r="L124" i="47" s="1"/>
  <c r="E124" i="47"/>
  <c r="O123" i="47"/>
  <c r="N123" i="47"/>
  <c r="K123" i="47"/>
  <c r="L123" i="47" s="1"/>
  <c r="E123" i="47"/>
  <c r="O122" i="47"/>
  <c r="N122" i="47"/>
  <c r="K122" i="47"/>
  <c r="L122" i="47" s="1"/>
  <c r="E122" i="47"/>
  <c r="O121" i="47"/>
  <c r="N121" i="47"/>
  <c r="K121" i="47"/>
  <c r="L121" i="47" s="1"/>
  <c r="E121" i="47"/>
  <c r="O120" i="47"/>
  <c r="N120" i="47"/>
  <c r="K120" i="47"/>
  <c r="L120" i="47" s="1"/>
  <c r="E120" i="47"/>
  <c r="O119" i="47"/>
  <c r="N119" i="47"/>
  <c r="K119" i="47"/>
  <c r="L119" i="47" s="1"/>
  <c r="E119" i="47"/>
  <c r="O118" i="47"/>
  <c r="N118" i="47"/>
  <c r="K118" i="47"/>
  <c r="L118" i="47" s="1"/>
  <c r="E118" i="47"/>
  <c r="O117" i="47"/>
  <c r="N117" i="47"/>
  <c r="K117" i="47"/>
  <c r="L117" i="47" s="1"/>
  <c r="E117" i="47"/>
  <c r="O116" i="47"/>
  <c r="N116" i="47"/>
  <c r="K116" i="47"/>
  <c r="L116" i="47" s="1"/>
  <c r="E116" i="47"/>
  <c r="O115" i="47"/>
  <c r="N115" i="47"/>
  <c r="K115" i="47"/>
  <c r="L115" i="47" s="1"/>
  <c r="E115" i="47"/>
  <c r="O114" i="47"/>
  <c r="N114" i="47"/>
  <c r="K114" i="47"/>
  <c r="L114" i="47" s="1"/>
  <c r="E114" i="47"/>
  <c r="O113" i="47"/>
  <c r="N113" i="47"/>
  <c r="K113" i="47"/>
  <c r="L113" i="47" s="1"/>
  <c r="E113" i="47"/>
  <c r="O112" i="47"/>
  <c r="N112" i="47"/>
  <c r="K112" i="47"/>
  <c r="L112" i="47" s="1"/>
  <c r="E112" i="47"/>
  <c r="K111" i="47"/>
  <c r="M111" i="47" s="1"/>
  <c r="E111" i="47"/>
  <c r="O110" i="47"/>
  <c r="N110" i="47"/>
  <c r="K110" i="47"/>
  <c r="M110" i="47" s="1"/>
  <c r="E110" i="47"/>
  <c r="O109" i="47"/>
  <c r="N109" i="47"/>
  <c r="K109" i="47"/>
  <c r="M109" i="47" s="1"/>
  <c r="E109" i="47"/>
  <c r="O108" i="47"/>
  <c r="N108" i="47"/>
  <c r="K108" i="47"/>
  <c r="M108" i="47" s="1"/>
  <c r="E108" i="47"/>
  <c r="O107" i="47"/>
  <c r="N107" i="47"/>
  <c r="K107" i="47"/>
  <c r="M107" i="47" s="1"/>
  <c r="E107" i="47"/>
  <c r="O106" i="47"/>
  <c r="N106" i="47"/>
  <c r="K106" i="47"/>
  <c r="M106" i="47" s="1"/>
  <c r="E106" i="47"/>
  <c r="O105" i="47"/>
  <c r="N105" i="47"/>
  <c r="K105" i="47"/>
  <c r="M105" i="47" s="1"/>
  <c r="E105" i="47"/>
  <c r="O104" i="47"/>
  <c r="N104" i="47"/>
  <c r="K104" i="47"/>
  <c r="M104" i="47" s="1"/>
  <c r="E104" i="47"/>
  <c r="O103" i="47"/>
  <c r="N103" i="47"/>
  <c r="K103" i="47"/>
  <c r="M103" i="47" s="1"/>
  <c r="E103" i="47"/>
  <c r="O102" i="47"/>
  <c r="N102" i="47"/>
  <c r="K102" i="47"/>
  <c r="M102" i="47" s="1"/>
  <c r="E102" i="47"/>
  <c r="O101" i="47"/>
  <c r="N101" i="47"/>
  <c r="K101" i="47"/>
  <c r="M101" i="47" s="1"/>
  <c r="E101" i="47"/>
  <c r="O100" i="47"/>
  <c r="N100" i="47"/>
  <c r="K100" i="47"/>
  <c r="M100" i="47" s="1"/>
  <c r="E100" i="47"/>
  <c r="O99" i="47"/>
  <c r="N99" i="47"/>
  <c r="K99" i="47"/>
  <c r="M99" i="47" s="1"/>
  <c r="E99" i="47"/>
  <c r="O98" i="47"/>
  <c r="N98" i="47"/>
  <c r="K98" i="47"/>
  <c r="M98" i="47" s="1"/>
  <c r="E98" i="47"/>
  <c r="O97" i="47"/>
  <c r="N97" i="47"/>
  <c r="K97" i="47"/>
  <c r="M97" i="47" s="1"/>
  <c r="E97" i="47"/>
  <c r="O96" i="47"/>
  <c r="N96" i="47"/>
  <c r="K96" i="47"/>
  <c r="M96" i="47" s="1"/>
  <c r="E96" i="47"/>
  <c r="O95" i="47"/>
  <c r="N95" i="47"/>
  <c r="K95" i="47"/>
  <c r="M95" i="47" s="1"/>
  <c r="E95" i="47"/>
  <c r="O94" i="47"/>
  <c r="N94" i="47"/>
  <c r="K94" i="47"/>
  <c r="M94" i="47" s="1"/>
  <c r="E94" i="47"/>
  <c r="O93" i="47"/>
  <c r="N93" i="47"/>
  <c r="K93" i="47"/>
  <c r="M93" i="47" s="1"/>
  <c r="E93" i="47"/>
  <c r="O92" i="47"/>
  <c r="N92" i="47"/>
  <c r="K92" i="47"/>
  <c r="M92" i="47" s="1"/>
  <c r="E92" i="47"/>
  <c r="O91" i="47"/>
  <c r="N91" i="47"/>
  <c r="K91" i="47"/>
  <c r="M91" i="47" s="1"/>
  <c r="E91" i="47"/>
  <c r="M90" i="47"/>
  <c r="L90" i="47"/>
  <c r="E90" i="47"/>
  <c r="K87" i="47"/>
  <c r="M87" i="47" s="1"/>
  <c r="E87" i="47"/>
  <c r="K86" i="47"/>
  <c r="M86" i="47" s="1"/>
  <c r="E86" i="47"/>
  <c r="K85" i="47"/>
  <c r="M85" i="47" s="1"/>
  <c r="E85" i="47"/>
  <c r="K84" i="47"/>
  <c r="M84" i="47" s="1"/>
  <c r="E84" i="47"/>
  <c r="K83" i="47"/>
  <c r="M83" i="47" s="1"/>
  <c r="E83" i="47"/>
  <c r="K82" i="47"/>
  <c r="M82" i="47" s="1"/>
  <c r="E82" i="47"/>
  <c r="K81" i="47"/>
  <c r="M81" i="47" s="1"/>
  <c r="E81" i="47"/>
  <c r="K80" i="47"/>
  <c r="M80" i="47" s="1"/>
  <c r="E80" i="47"/>
  <c r="K79" i="47"/>
  <c r="M79" i="47" s="1"/>
  <c r="E79" i="47"/>
  <c r="K77" i="47"/>
  <c r="M77" i="47" s="1"/>
  <c r="E77" i="47"/>
  <c r="K75" i="47"/>
  <c r="M75" i="47" s="1"/>
  <c r="E75" i="47"/>
  <c r="K74" i="47"/>
  <c r="M74" i="47" s="1"/>
  <c r="E74" i="47"/>
  <c r="K73" i="47"/>
  <c r="M73" i="47" s="1"/>
  <c r="E73" i="47"/>
  <c r="K71" i="47"/>
  <c r="M71" i="47" s="1"/>
  <c r="E71" i="47"/>
  <c r="K69" i="47"/>
  <c r="M69" i="47" s="1"/>
  <c r="E69" i="47"/>
  <c r="M68" i="47"/>
  <c r="L68" i="47"/>
  <c r="E68" i="47"/>
  <c r="D67" i="47"/>
  <c r="E67" i="47" s="1"/>
  <c r="D66" i="47"/>
  <c r="K66" i="47" s="1"/>
  <c r="M66" i="47" s="1"/>
  <c r="M65" i="47"/>
  <c r="L65" i="47"/>
  <c r="E65" i="47"/>
  <c r="M62" i="47"/>
  <c r="L62" i="47"/>
  <c r="D62" i="47"/>
  <c r="D63" i="47" s="1"/>
  <c r="M59" i="47"/>
  <c r="L59" i="47"/>
  <c r="D59" i="47"/>
  <c r="D60" i="47" s="1"/>
  <c r="M58" i="47"/>
  <c r="L58" i="47"/>
  <c r="E58" i="47"/>
  <c r="M55" i="47"/>
  <c r="L55" i="47"/>
  <c r="D55" i="47"/>
  <c r="D57" i="47" s="1"/>
  <c r="M52" i="47"/>
  <c r="L52" i="47"/>
  <c r="D52" i="47"/>
  <c r="E52" i="47" s="1"/>
  <c r="M49" i="47"/>
  <c r="L49" i="47"/>
  <c r="D49" i="47"/>
  <c r="D50" i="47" s="1"/>
  <c r="M48" i="47"/>
  <c r="L48" i="47"/>
  <c r="E48" i="47"/>
  <c r="M45" i="47"/>
  <c r="L45" i="47"/>
  <c r="D45" i="47"/>
  <c r="D47" i="47" s="1"/>
  <c r="M42" i="47"/>
  <c r="L42" i="47"/>
  <c r="D42" i="47"/>
  <c r="D44" i="47" s="1"/>
  <c r="M41" i="47"/>
  <c r="L41" i="47"/>
  <c r="E41" i="47"/>
  <c r="K40" i="47"/>
  <c r="M40" i="47" s="1"/>
  <c r="E40" i="47"/>
  <c r="M39" i="47"/>
  <c r="L39" i="47"/>
  <c r="E39" i="47"/>
  <c r="M35" i="47"/>
  <c r="L35" i="47"/>
  <c r="D35" i="47"/>
  <c r="D36" i="47" s="1"/>
  <c r="E36" i="47" s="1"/>
  <c r="M31" i="47"/>
  <c r="L31" i="47"/>
  <c r="D31" i="47"/>
  <c r="D33" i="47" s="1"/>
  <c r="M27" i="47"/>
  <c r="L27" i="47"/>
  <c r="D27" i="47"/>
  <c r="D28" i="47" s="1"/>
  <c r="M23" i="47"/>
  <c r="L23" i="47"/>
  <c r="D23" i="47"/>
  <c r="E23" i="47" s="1"/>
  <c r="M22" i="47"/>
  <c r="L22" i="47"/>
  <c r="E22" i="47"/>
  <c r="K21" i="47"/>
  <c r="L21" i="47" s="1"/>
  <c r="E21" i="47"/>
  <c r="K20" i="47"/>
  <c r="M20" i="47" s="1"/>
  <c r="E20" i="47"/>
  <c r="M19" i="47"/>
  <c r="L19" i="47"/>
  <c r="D19" i="47"/>
  <c r="E19" i="47" s="1"/>
  <c r="M11" i="47"/>
  <c r="L11" i="47"/>
  <c r="D11" i="47"/>
  <c r="D15" i="47" s="1"/>
  <c r="K10" i="47"/>
  <c r="M10" i="47" s="1"/>
  <c r="E10" i="47"/>
  <c r="K9" i="47"/>
  <c r="M9" i="47" s="1"/>
  <c r="E9" i="47"/>
  <c r="M78" i="47" l="1"/>
  <c r="L72" i="47"/>
  <c r="L268" i="47"/>
  <c r="L74" i="47"/>
  <c r="L91" i="47"/>
  <c r="D56" i="47"/>
  <c r="K56" i="47" s="1"/>
  <c r="M265" i="47"/>
  <c r="M126" i="47"/>
  <c r="M157" i="47"/>
  <c r="M225" i="47"/>
  <c r="L262" i="47"/>
  <c r="E45" i="47"/>
  <c r="M120" i="47"/>
  <c r="M115" i="47"/>
  <c r="L162" i="47"/>
  <c r="L85" i="47"/>
  <c r="M127" i="47"/>
  <c r="M119" i="47"/>
  <c r="L222" i="47"/>
  <c r="L99" i="47"/>
  <c r="M114" i="47"/>
  <c r="M167" i="47"/>
  <c r="M247" i="47"/>
  <c r="E31" i="47"/>
  <c r="E66" i="47"/>
  <c r="L84" i="47"/>
  <c r="M148" i="47"/>
  <c r="M163" i="47"/>
  <c r="L234" i="47"/>
  <c r="M285" i="47"/>
  <c r="D13" i="47"/>
  <c r="K13" i="47" s="1"/>
  <c r="M13" i="47" s="1"/>
  <c r="L159" i="47"/>
  <c r="L182" i="47"/>
  <c r="D14" i="47"/>
  <c r="E14" i="47" s="1"/>
  <c r="D18" i="47"/>
  <c r="E42" i="47"/>
  <c r="M123" i="47"/>
  <c r="M277" i="47"/>
  <c r="L165" i="47"/>
  <c r="M158" i="47"/>
  <c r="D26" i="47"/>
  <c r="M161" i="47"/>
  <c r="L271" i="47"/>
  <c r="L107" i="47"/>
  <c r="M166" i="47"/>
  <c r="L185" i="47"/>
  <c r="M21" i="47"/>
  <c r="L101" i="47"/>
  <c r="L109" i="47"/>
  <c r="M143" i="47"/>
  <c r="M151" i="47"/>
  <c r="L246" i="47"/>
  <c r="M275" i="47"/>
  <c r="M283" i="47"/>
  <c r="L93" i="47"/>
  <c r="M112" i="47"/>
  <c r="D51" i="47"/>
  <c r="M117" i="47"/>
  <c r="M129" i="47"/>
  <c r="L147" i="47"/>
  <c r="L156" i="47"/>
  <c r="M160" i="47"/>
  <c r="M164" i="47"/>
  <c r="M221" i="47"/>
  <c r="L254" i="47"/>
  <c r="L270" i="47"/>
  <c r="M124" i="47"/>
  <c r="E27" i="47"/>
  <c r="L71" i="47"/>
  <c r="L81" i="47"/>
  <c r="M122" i="47"/>
  <c r="L213" i="47"/>
  <c r="L231" i="47"/>
  <c r="L242" i="47"/>
  <c r="D29" i="47"/>
  <c r="M113" i="47"/>
  <c r="M125" i="47"/>
  <c r="L153" i="47"/>
  <c r="L178" i="47"/>
  <c r="M218" i="47"/>
  <c r="D46" i="47"/>
  <c r="K46" i="47" s="1"/>
  <c r="M46" i="47" s="1"/>
  <c r="D53" i="47"/>
  <c r="K53" i="47" s="1"/>
  <c r="L53" i="47" s="1"/>
  <c r="K67" i="47"/>
  <c r="M67" i="47" s="1"/>
  <c r="L79" i="47"/>
  <c r="L82" i="47"/>
  <c r="L97" i="47"/>
  <c r="L105" i="47"/>
  <c r="M118" i="47"/>
  <c r="M130" i="47"/>
  <c r="L137" i="47"/>
  <c r="L145" i="47"/>
  <c r="L174" i="47"/>
  <c r="L228" i="47"/>
  <c r="L237" i="47"/>
  <c r="L258" i="47"/>
  <c r="M279" i="47"/>
  <c r="M287" i="47"/>
  <c r="D24" i="47"/>
  <c r="D54" i="47"/>
  <c r="K54" i="47" s="1"/>
  <c r="M54" i="47" s="1"/>
  <c r="D61" i="47"/>
  <c r="K61" i="47" s="1"/>
  <c r="L61" i="47" s="1"/>
  <c r="M244" i="47"/>
  <c r="L87" i="47"/>
  <c r="M116" i="47"/>
  <c r="M128" i="47"/>
  <c r="M154" i="47"/>
  <c r="L219" i="47"/>
  <c r="L250" i="47"/>
  <c r="L267" i="47"/>
  <c r="D37" i="47"/>
  <c r="E37" i="47" s="1"/>
  <c r="L20" i="47"/>
  <c r="D25" i="47"/>
  <c r="K25" i="47" s="1"/>
  <c r="L25" i="47" s="1"/>
  <c r="E55" i="47"/>
  <c r="L95" i="47"/>
  <c r="L103" i="47"/>
  <c r="L111" i="47"/>
  <c r="M121" i="47"/>
  <c r="M141" i="47"/>
  <c r="L150" i="47"/>
  <c r="M273" i="47"/>
  <c r="M281" i="47"/>
  <c r="M289" i="47"/>
  <c r="K44" i="47"/>
  <c r="E44" i="47"/>
  <c r="E50" i="47"/>
  <c r="K50" i="47"/>
  <c r="E47" i="47"/>
  <c r="K47" i="47"/>
  <c r="L56" i="47"/>
  <c r="M56" i="47"/>
  <c r="K60" i="47"/>
  <c r="E60" i="47"/>
  <c r="K33" i="47"/>
  <c r="E33" i="47"/>
  <c r="K37" i="47"/>
  <c r="E15" i="47"/>
  <c r="K15" i="47"/>
  <c r="K28" i="47"/>
  <c r="E28" i="47"/>
  <c r="K57" i="47"/>
  <c r="E57" i="47"/>
  <c r="K63" i="47"/>
  <c r="E63" i="47"/>
  <c r="D64" i="47"/>
  <c r="L10" i="47"/>
  <c r="D34" i="47"/>
  <c r="L66" i="47"/>
  <c r="L69" i="47"/>
  <c r="L73" i="47"/>
  <c r="L77" i="47"/>
  <c r="L83" i="47"/>
  <c r="L86" i="47"/>
  <c r="L138" i="47"/>
  <c r="L181" i="47"/>
  <c r="L184" i="47"/>
  <c r="L274" i="47"/>
  <c r="L278" i="47"/>
  <c r="L282" i="47"/>
  <c r="L286" i="47"/>
  <c r="D16" i="47"/>
  <c r="D32" i="47"/>
  <c r="D43" i="47"/>
  <c r="L132" i="47"/>
  <c r="L134" i="47"/>
  <c r="L136" i="47"/>
  <c r="L169" i="47"/>
  <c r="L172" i="47"/>
  <c r="L175" i="47"/>
  <c r="L216" i="47"/>
  <c r="L226" i="47"/>
  <c r="L229" i="47"/>
  <c r="L232" i="47"/>
  <c r="L235" i="47"/>
  <c r="L238" i="47"/>
  <c r="L251" i="47"/>
  <c r="L255" i="47"/>
  <c r="L259" i="47"/>
  <c r="L263" i="47"/>
  <c r="E56" i="47"/>
  <c r="E11" i="47"/>
  <c r="E59" i="47"/>
  <c r="D30" i="47"/>
  <c r="L40" i="47"/>
  <c r="E62" i="47"/>
  <c r="L92" i="47"/>
  <c r="L94" i="47"/>
  <c r="L96" i="47"/>
  <c r="L98" i="47"/>
  <c r="L100" i="47"/>
  <c r="L102" i="47"/>
  <c r="L104" i="47"/>
  <c r="L106" i="47"/>
  <c r="L108" i="47"/>
  <c r="L110" i="47"/>
  <c r="L179" i="47"/>
  <c r="L220" i="47"/>
  <c r="L223" i="47"/>
  <c r="L252" i="47"/>
  <c r="L256" i="47"/>
  <c r="L260" i="47"/>
  <c r="L264" i="47"/>
  <c r="D12" i="47"/>
  <c r="E35" i="47"/>
  <c r="E49" i="47"/>
  <c r="L139" i="47"/>
  <c r="L142" i="47"/>
  <c r="L173" i="47"/>
  <c r="L176" i="47"/>
  <c r="L227" i="47"/>
  <c r="L230" i="47"/>
  <c r="L233" i="47"/>
  <c r="L236" i="47"/>
  <c r="L239" i="47"/>
  <c r="L272" i="47"/>
  <c r="L276" i="47"/>
  <c r="L280" i="47"/>
  <c r="L284" i="47"/>
  <c r="L288" i="47"/>
  <c r="D17" i="47"/>
  <c r="D38" i="47"/>
  <c r="E38" i="47" s="1"/>
  <c r="L149" i="47"/>
  <c r="L152" i="47"/>
  <c r="L155" i="47"/>
  <c r="L212" i="47"/>
  <c r="L214" i="47"/>
  <c r="L245" i="47"/>
  <c r="L269" i="47"/>
  <c r="L9" i="47"/>
  <c r="L75" i="47"/>
  <c r="L80" i="47"/>
  <c r="L131" i="47"/>
  <c r="L133" i="47"/>
  <c r="L135" i="47"/>
  <c r="L183" i="47"/>
  <c r="L186" i="47"/>
  <c r="L249" i="47"/>
  <c r="L253" i="47"/>
  <c r="L257" i="47"/>
  <c r="L261" i="47"/>
  <c r="J139" i="2"/>
  <c r="L139" i="2" s="1"/>
  <c r="E139" i="2"/>
  <c r="L138" i="2"/>
  <c r="K138" i="2"/>
  <c r="E138" i="2"/>
  <c r="L54" i="47" l="1"/>
  <c r="E54" i="47"/>
  <c r="E53" i="47"/>
  <c r="K14" i="47"/>
  <c r="M25" i="47"/>
  <c r="K26" i="47"/>
  <c r="E26" i="47"/>
  <c r="L13" i="47"/>
  <c r="K18" i="47"/>
  <c r="E18" i="47"/>
  <c r="E25" i="47"/>
  <c r="E13" i="47"/>
  <c r="M53" i="47"/>
  <c r="E51" i="47"/>
  <c r="K51" i="47"/>
  <c r="L46" i="47"/>
  <c r="M61" i="47"/>
  <c r="K29" i="47"/>
  <c r="E29" i="47"/>
  <c r="K24" i="47"/>
  <c r="E24" i="47"/>
  <c r="L67" i="47"/>
  <c r="E46" i="47"/>
  <c r="E61" i="47"/>
  <c r="M37" i="47"/>
  <c r="L37" i="47"/>
  <c r="L33" i="47"/>
  <c r="M33" i="47"/>
  <c r="M47" i="47"/>
  <c r="L47" i="47"/>
  <c r="K64" i="47"/>
  <c r="E64" i="47"/>
  <c r="K12" i="47"/>
  <c r="E12" i="47"/>
  <c r="L44" i="47"/>
  <c r="M44" i="47"/>
  <c r="M60" i="47"/>
  <c r="L60" i="47"/>
  <c r="L63" i="47"/>
  <c r="M63" i="47"/>
  <c r="M50" i="47"/>
  <c r="L50" i="47"/>
  <c r="K17" i="47"/>
  <c r="E17" i="47"/>
  <c r="K32" i="47"/>
  <c r="K36" i="47"/>
  <c r="E32" i="47"/>
  <c r="K30" i="47"/>
  <c r="E30" i="47"/>
  <c r="K38" i="47"/>
  <c r="E34" i="47"/>
  <c r="K34" i="47"/>
  <c r="L28" i="47"/>
  <c r="M28" i="47"/>
  <c r="M15" i="47"/>
  <c r="L15" i="47"/>
  <c r="K43" i="47"/>
  <c r="E43" i="47"/>
  <c r="M14" i="47"/>
  <c r="L14" i="47"/>
  <c r="K16" i="47"/>
  <c r="E16" i="47"/>
  <c r="M57" i="47"/>
  <c r="L57" i="47"/>
  <c r="K139" i="2"/>
  <c r="L11" i="2"/>
  <c r="L19" i="2"/>
  <c r="L22" i="2"/>
  <c r="L23" i="2"/>
  <c r="L27" i="2"/>
  <c r="L31" i="2"/>
  <c r="L35" i="2"/>
  <c r="L39" i="2"/>
  <c r="L41" i="2"/>
  <c r="L42" i="2"/>
  <c r="L45" i="2"/>
  <c r="L48" i="2"/>
  <c r="L49" i="2"/>
  <c r="L52" i="2"/>
  <c r="L55" i="2"/>
  <c r="L58" i="2"/>
  <c r="L59" i="2"/>
  <c r="L62" i="2"/>
  <c r="L65" i="2"/>
  <c r="L68" i="2"/>
  <c r="L86" i="2"/>
  <c r="L142" i="2"/>
  <c r="L144" i="2"/>
  <c r="L166" i="2"/>
  <c r="L168" i="2"/>
  <c r="L169" i="2"/>
  <c r="L175" i="2"/>
  <c r="L178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62" i="2"/>
  <c r="L268" i="2"/>
  <c r="K11" i="2"/>
  <c r="K19" i="2"/>
  <c r="K22" i="2"/>
  <c r="K23" i="2"/>
  <c r="K27" i="2"/>
  <c r="K31" i="2"/>
  <c r="K35" i="2"/>
  <c r="K39" i="2"/>
  <c r="K41" i="2"/>
  <c r="K42" i="2"/>
  <c r="K45" i="2"/>
  <c r="K48" i="2"/>
  <c r="K49" i="2"/>
  <c r="K52" i="2"/>
  <c r="K55" i="2"/>
  <c r="K58" i="2"/>
  <c r="K59" i="2"/>
  <c r="K62" i="2"/>
  <c r="K65" i="2"/>
  <c r="K68" i="2"/>
  <c r="K86" i="2"/>
  <c r="K142" i="2"/>
  <c r="K144" i="2"/>
  <c r="K166" i="2"/>
  <c r="K168" i="2"/>
  <c r="K169" i="2"/>
  <c r="K175" i="2"/>
  <c r="K178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62" i="2"/>
  <c r="K268" i="2"/>
  <c r="M18" i="47" l="1"/>
  <c r="L18" i="47"/>
  <c r="M26" i="47"/>
  <c r="L26" i="47"/>
  <c r="M29" i="47"/>
  <c r="L29" i="47"/>
  <c r="L24" i="47"/>
  <c r="M24" i="47"/>
  <c r="M51" i="47"/>
  <c r="L51" i="47"/>
  <c r="M30" i="47"/>
  <c r="L30" i="47"/>
  <c r="M36" i="47"/>
  <c r="L36" i="47"/>
  <c r="M32" i="47"/>
  <c r="L32" i="47"/>
  <c r="L17" i="47"/>
  <c r="M17" i="47"/>
  <c r="M43" i="47"/>
  <c r="L43" i="47"/>
  <c r="M64" i="47"/>
  <c r="L64" i="47"/>
  <c r="M34" i="47"/>
  <c r="L34" i="47"/>
  <c r="L38" i="47"/>
  <c r="M38" i="47"/>
  <c r="M12" i="47"/>
  <c r="L12" i="47"/>
  <c r="L16" i="47"/>
  <c r="M16" i="47"/>
  <c r="D62" i="2"/>
  <c r="D59" i="2"/>
  <c r="D55" i="2"/>
  <c r="D52" i="2"/>
  <c r="D49" i="2"/>
  <c r="D45" i="2"/>
  <c r="D42" i="2"/>
  <c r="D35" i="2"/>
  <c r="D31" i="2"/>
  <c r="D27" i="2"/>
  <c r="D23" i="2"/>
  <c r="E13" i="45" l="1"/>
  <c r="E12" i="45"/>
  <c r="E11" i="45"/>
  <c r="E10" i="45"/>
  <c r="E9" i="45"/>
  <c r="E8" i="45"/>
  <c r="E7" i="45"/>
  <c r="E6" i="45"/>
  <c r="E5" i="45"/>
  <c r="E4" i="45"/>
  <c r="E3" i="45"/>
  <c r="J286" i="2"/>
  <c r="J285" i="2"/>
  <c r="J284" i="2"/>
  <c r="J283" i="2"/>
  <c r="J282" i="2"/>
  <c r="J281" i="2"/>
  <c r="J280" i="2"/>
  <c r="J141" i="2"/>
  <c r="J279" i="2"/>
  <c r="J278" i="2"/>
  <c r="J277" i="2"/>
  <c r="J276" i="2"/>
  <c r="J275" i="2"/>
  <c r="J274" i="2"/>
  <c r="J273" i="2"/>
  <c r="J272" i="2"/>
  <c r="J271" i="2"/>
  <c r="J270" i="2"/>
  <c r="J269" i="2"/>
  <c r="J140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N243" i="2"/>
  <c r="M243" i="2"/>
  <c r="J243" i="2"/>
  <c r="E243" i="2"/>
  <c r="J242" i="2"/>
  <c r="E242" i="2"/>
  <c r="J241" i="2"/>
  <c r="E241" i="2"/>
  <c r="J240" i="2"/>
  <c r="E240" i="2"/>
  <c r="E239" i="2"/>
  <c r="J238" i="2"/>
  <c r="E238" i="2"/>
  <c r="J237" i="2"/>
  <c r="E237" i="2"/>
  <c r="J236" i="2"/>
  <c r="E236" i="2"/>
  <c r="J235" i="2"/>
  <c r="E235" i="2"/>
  <c r="J234" i="2"/>
  <c r="E234" i="2"/>
  <c r="J233" i="2"/>
  <c r="E233" i="2"/>
  <c r="J232" i="2"/>
  <c r="E232" i="2"/>
  <c r="J231" i="2"/>
  <c r="E231" i="2"/>
  <c r="J230" i="2"/>
  <c r="E230" i="2"/>
  <c r="J229" i="2"/>
  <c r="E229" i="2"/>
  <c r="J228" i="2"/>
  <c r="E228" i="2"/>
  <c r="J227" i="2"/>
  <c r="E227" i="2"/>
  <c r="J226" i="2"/>
  <c r="E226" i="2"/>
  <c r="J225" i="2"/>
  <c r="E225" i="2"/>
  <c r="J224" i="2"/>
  <c r="E224" i="2"/>
  <c r="J223" i="2"/>
  <c r="E223" i="2"/>
  <c r="E222" i="2"/>
  <c r="J221" i="2"/>
  <c r="E221" i="2"/>
  <c r="J220" i="2"/>
  <c r="E220" i="2"/>
  <c r="J219" i="2"/>
  <c r="E219" i="2"/>
  <c r="J218" i="2"/>
  <c r="E218" i="2"/>
  <c r="J217" i="2"/>
  <c r="E217" i="2"/>
  <c r="J216" i="2"/>
  <c r="E216" i="2"/>
  <c r="E215" i="2"/>
  <c r="N214" i="2"/>
  <c r="M214" i="2"/>
  <c r="J214" i="2"/>
  <c r="E214" i="2"/>
  <c r="E213" i="2"/>
  <c r="N212" i="2"/>
  <c r="M212" i="2"/>
  <c r="J212" i="2"/>
  <c r="E212" i="2"/>
  <c r="N211" i="2"/>
  <c r="M211" i="2"/>
  <c r="J211" i="2"/>
  <c r="E211" i="2"/>
  <c r="N210" i="2"/>
  <c r="M210" i="2"/>
  <c r="J210" i="2"/>
  <c r="E210" i="2"/>
  <c r="E209" i="2"/>
  <c r="E208" i="2"/>
  <c r="E207" i="2"/>
  <c r="E206" i="2"/>
  <c r="M205" i="2"/>
  <c r="E205" i="2"/>
  <c r="M204" i="2"/>
  <c r="E204" i="2"/>
  <c r="M203" i="2"/>
  <c r="E203" i="2"/>
  <c r="N202" i="2"/>
  <c r="M202" i="2"/>
  <c r="E202" i="2"/>
  <c r="M201" i="2"/>
  <c r="E201" i="2"/>
  <c r="M200" i="2"/>
  <c r="E200" i="2"/>
  <c r="M199" i="2"/>
  <c r="E199" i="2"/>
  <c r="E198" i="2"/>
  <c r="M197" i="2"/>
  <c r="E197" i="2"/>
  <c r="M196" i="2"/>
  <c r="E196" i="2"/>
  <c r="M195" i="2"/>
  <c r="E195" i="2"/>
  <c r="M194" i="2"/>
  <c r="E194" i="2"/>
  <c r="M193" i="2"/>
  <c r="E193" i="2"/>
  <c r="E192" i="2"/>
  <c r="E191" i="2"/>
  <c r="M190" i="2"/>
  <c r="E190" i="2"/>
  <c r="M189" i="2"/>
  <c r="E189" i="2"/>
  <c r="M188" i="2"/>
  <c r="E188" i="2"/>
  <c r="M187" i="2"/>
  <c r="E187" i="2"/>
  <c r="M186" i="2"/>
  <c r="E186" i="2"/>
  <c r="E185" i="2"/>
  <c r="J184" i="2"/>
  <c r="E184" i="2"/>
  <c r="J183" i="2"/>
  <c r="E183" i="2"/>
  <c r="J182" i="2"/>
  <c r="E182" i="2"/>
  <c r="J181" i="2"/>
  <c r="E181" i="2"/>
  <c r="J180" i="2"/>
  <c r="E180" i="2"/>
  <c r="J179" i="2"/>
  <c r="E179" i="2"/>
  <c r="E178" i="2"/>
  <c r="J177" i="2"/>
  <c r="E177" i="2"/>
  <c r="J176" i="2"/>
  <c r="E176" i="2"/>
  <c r="E175" i="2"/>
  <c r="J174" i="2"/>
  <c r="E174" i="2"/>
  <c r="J173" i="2"/>
  <c r="E173" i="2"/>
  <c r="J172" i="2"/>
  <c r="E172" i="2"/>
  <c r="J171" i="2"/>
  <c r="E171" i="2"/>
  <c r="J170" i="2"/>
  <c r="E170" i="2"/>
  <c r="E169" i="2"/>
  <c r="N168" i="2"/>
  <c r="M168" i="2"/>
  <c r="E168" i="2"/>
  <c r="J167" i="2"/>
  <c r="E167" i="2"/>
  <c r="E166" i="2"/>
  <c r="J165" i="2"/>
  <c r="E165" i="2"/>
  <c r="J164" i="2"/>
  <c r="E164" i="2"/>
  <c r="J163" i="2"/>
  <c r="E163" i="2"/>
  <c r="J162" i="2"/>
  <c r="E162" i="2"/>
  <c r="J161" i="2"/>
  <c r="E161" i="2"/>
  <c r="J160" i="2"/>
  <c r="E160" i="2"/>
  <c r="J159" i="2"/>
  <c r="E159" i="2"/>
  <c r="J158" i="2"/>
  <c r="E158" i="2"/>
  <c r="J157" i="2"/>
  <c r="E157" i="2"/>
  <c r="J156" i="2"/>
  <c r="E156" i="2"/>
  <c r="J155" i="2"/>
  <c r="E155" i="2"/>
  <c r="J154" i="2"/>
  <c r="E154" i="2"/>
  <c r="J153" i="2"/>
  <c r="E153" i="2"/>
  <c r="J152" i="2"/>
  <c r="E152" i="2"/>
  <c r="J151" i="2"/>
  <c r="E151" i="2"/>
  <c r="J150" i="2"/>
  <c r="E150" i="2"/>
  <c r="J149" i="2"/>
  <c r="E149" i="2"/>
  <c r="J148" i="2"/>
  <c r="E148" i="2"/>
  <c r="J147" i="2"/>
  <c r="E147" i="2"/>
  <c r="J146" i="2"/>
  <c r="E146" i="2"/>
  <c r="J145" i="2"/>
  <c r="E145" i="2"/>
  <c r="E144" i="2"/>
  <c r="J143" i="2"/>
  <c r="E143" i="2"/>
  <c r="E142" i="2"/>
  <c r="N137" i="2"/>
  <c r="M137" i="2"/>
  <c r="J137" i="2"/>
  <c r="E137" i="2"/>
  <c r="N136" i="2"/>
  <c r="M136" i="2"/>
  <c r="J136" i="2"/>
  <c r="E136" i="2"/>
  <c r="J135" i="2"/>
  <c r="E135" i="2"/>
  <c r="N134" i="2"/>
  <c r="M134" i="2"/>
  <c r="J134" i="2"/>
  <c r="E134" i="2"/>
  <c r="N133" i="2"/>
  <c r="M133" i="2"/>
  <c r="J133" i="2"/>
  <c r="E133" i="2"/>
  <c r="N132" i="2"/>
  <c r="M132" i="2"/>
  <c r="J132" i="2"/>
  <c r="E132" i="2"/>
  <c r="N131" i="2"/>
  <c r="M131" i="2"/>
  <c r="J131" i="2"/>
  <c r="E131" i="2"/>
  <c r="N130" i="2"/>
  <c r="M130" i="2"/>
  <c r="J130" i="2"/>
  <c r="E130" i="2"/>
  <c r="N129" i="2"/>
  <c r="M129" i="2"/>
  <c r="J129" i="2"/>
  <c r="E129" i="2"/>
  <c r="N128" i="2"/>
  <c r="M128" i="2"/>
  <c r="J128" i="2"/>
  <c r="E128" i="2"/>
  <c r="N127" i="2"/>
  <c r="M127" i="2"/>
  <c r="J127" i="2"/>
  <c r="E127" i="2"/>
  <c r="M126" i="2"/>
  <c r="J126" i="2"/>
  <c r="E126" i="2"/>
  <c r="N125" i="2"/>
  <c r="M125" i="2"/>
  <c r="J125" i="2"/>
  <c r="E125" i="2"/>
  <c r="N124" i="2"/>
  <c r="M124" i="2"/>
  <c r="J124" i="2"/>
  <c r="E124" i="2"/>
  <c r="N123" i="2"/>
  <c r="M123" i="2"/>
  <c r="J123" i="2"/>
  <c r="E123" i="2"/>
  <c r="N122" i="2"/>
  <c r="M122" i="2"/>
  <c r="J122" i="2"/>
  <c r="E122" i="2"/>
  <c r="N121" i="2"/>
  <c r="M121" i="2"/>
  <c r="J121" i="2"/>
  <c r="E121" i="2"/>
  <c r="N120" i="2"/>
  <c r="M120" i="2"/>
  <c r="J120" i="2"/>
  <c r="E120" i="2"/>
  <c r="N119" i="2"/>
  <c r="M119" i="2"/>
  <c r="J119" i="2"/>
  <c r="E119" i="2"/>
  <c r="N118" i="2"/>
  <c r="M118" i="2"/>
  <c r="J118" i="2"/>
  <c r="E118" i="2"/>
  <c r="N117" i="2"/>
  <c r="M117" i="2"/>
  <c r="J117" i="2"/>
  <c r="E117" i="2"/>
  <c r="N116" i="2"/>
  <c r="M116" i="2"/>
  <c r="J116" i="2"/>
  <c r="E116" i="2"/>
  <c r="N115" i="2"/>
  <c r="M115" i="2"/>
  <c r="J115" i="2"/>
  <c r="E115" i="2"/>
  <c r="N114" i="2"/>
  <c r="M114" i="2"/>
  <c r="J114" i="2"/>
  <c r="E114" i="2"/>
  <c r="N113" i="2"/>
  <c r="M113" i="2"/>
  <c r="J113" i="2"/>
  <c r="E113" i="2"/>
  <c r="N112" i="2"/>
  <c r="M112" i="2"/>
  <c r="J112" i="2"/>
  <c r="E112" i="2"/>
  <c r="N111" i="2"/>
  <c r="M111" i="2"/>
  <c r="J111" i="2"/>
  <c r="E111" i="2"/>
  <c r="N110" i="2"/>
  <c r="M110" i="2"/>
  <c r="J110" i="2"/>
  <c r="E110" i="2"/>
  <c r="N109" i="2"/>
  <c r="M109" i="2"/>
  <c r="J109" i="2"/>
  <c r="E109" i="2"/>
  <c r="N108" i="2"/>
  <c r="M108" i="2"/>
  <c r="J108" i="2"/>
  <c r="E108" i="2"/>
  <c r="J107" i="2"/>
  <c r="E107" i="2"/>
  <c r="N106" i="2"/>
  <c r="M106" i="2"/>
  <c r="J106" i="2"/>
  <c r="E106" i="2"/>
  <c r="N105" i="2"/>
  <c r="M105" i="2"/>
  <c r="J105" i="2"/>
  <c r="E105" i="2"/>
  <c r="N104" i="2"/>
  <c r="M104" i="2"/>
  <c r="J104" i="2"/>
  <c r="E104" i="2"/>
  <c r="N103" i="2"/>
  <c r="M103" i="2"/>
  <c r="J103" i="2"/>
  <c r="E103" i="2"/>
  <c r="N102" i="2"/>
  <c r="M102" i="2"/>
  <c r="J102" i="2"/>
  <c r="E102" i="2"/>
  <c r="N101" i="2"/>
  <c r="M101" i="2"/>
  <c r="J101" i="2"/>
  <c r="E101" i="2"/>
  <c r="N100" i="2"/>
  <c r="M100" i="2"/>
  <c r="J100" i="2"/>
  <c r="E100" i="2"/>
  <c r="N99" i="2"/>
  <c r="M99" i="2"/>
  <c r="J99" i="2"/>
  <c r="E99" i="2"/>
  <c r="N98" i="2"/>
  <c r="M98" i="2"/>
  <c r="J98" i="2"/>
  <c r="E98" i="2"/>
  <c r="N97" i="2"/>
  <c r="M97" i="2"/>
  <c r="J97" i="2"/>
  <c r="E97" i="2"/>
  <c r="N96" i="2"/>
  <c r="M96" i="2"/>
  <c r="J96" i="2"/>
  <c r="E96" i="2"/>
  <c r="N95" i="2"/>
  <c r="M95" i="2"/>
  <c r="J95" i="2"/>
  <c r="E95" i="2"/>
  <c r="N94" i="2"/>
  <c r="M94" i="2"/>
  <c r="J94" i="2"/>
  <c r="E94" i="2"/>
  <c r="N93" i="2"/>
  <c r="M93" i="2"/>
  <c r="J93" i="2"/>
  <c r="E93" i="2"/>
  <c r="N92" i="2"/>
  <c r="M92" i="2"/>
  <c r="J92" i="2"/>
  <c r="E92" i="2"/>
  <c r="N91" i="2"/>
  <c r="M91" i="2"/>
  <c r="J91" i="2"/>
  <c r="E91" i="2"/>
  <c r="N90" i="2"/>
  <c r="M90" i="2"/>
  <c r="J90" i="2"/>
  <c r="E90" i="2"/>
  <c r="N89" i="2"/>
  <c r="M89" i="2"/>
  <c r="J89" i="2"/>
  <c r="E89" i="2"/>
  <c r="N88" i="2"/>
  <c r="M88" i="2"/>
  <c r="J88" i="2"/>
  <c r="E88" i="2"/>
  <c r="N87" i="2"/>
  <c r="M87" i="2"/>
  <c r="J87" i="2"/>
  <c r="E87" i="2"/>
  <c r="E86" i="2"/>
  <c r="J85" i="2"/>
  <c r="E85" i="2"/>
  <c r="J84" i="2"/>
  <c r="E84" i="2"/>
  <c r="J83" i="2"/>
  <c r="E83" i="2"/>
  <c r="J82" i="2"/>
  <c r="E82" i="2"/>
  <c r="J81" i="2"/>
  <c r="E81" i="2"/>
  <c r="J80" i="2"/>
  <c r="E80" i="2"/>
  <c r="J79" i="2"/>
  <c r="E79" i="2"/>
  <c r="J78" i="2"/>
  <c r="E78" i="2"/>
  <c r="J77" i="2"/>
  <c r="E77" i="2"/>
  <c r="J76" i="2"/>
  <c r="E76" i="2"/>
  <c r="J75" i="2"/>
  <c r="E75" i="2"/>
  <c r="J74" i="2"/>
  <c r="E74" i="2"/>
  <c r="J73" i="2"/>
  <c r="E73" i="2"/>
  <c r="J72" i="2"/>
  <c r="E72" i="2"/>
  <c r="J71" i="2"/>
  <c r="E71" i="2"/>
  <c r="J70" i="2"/>
  <c r="E70" i="2"/>
  <c r="J69" i="2"/>
  <c r="E69" i="2"/>
  <c r="E68" i="2"/>
  <c r="D67" i="2"/>
  <c r="J67" i="2" s="1"/>
  <c r="D66" i="2"/>
  <c r="E66" i="2" s="1"/>
  <c r="E65" i="2"/>
  <c r="D63" i="2"/>
  <c r="D64" i="2" s="1"/>
  <c r="E62" i="2"/>
  <c r="D61" i="2"/>
  <c r="J61" i="2" s="1"/>
  <c r="D60" i="2"/>
  <c r="J60" i="2" s="1"/>
  <c r="E59" i="2"/>
  <c r="E58" i="2"/>
  <c r="D57" i="2"/>
  <c r="E57" i="2" s="1"/>
  <c r="D56" i="2"/>
  <c r="E56" i="2" s="1"/>
  <c r="E55" i="2"/>
  <c r="D54" i="2"/>
  <c r="J54" i="2" s="1"/>
  <c r="D53" i="2"/>
  <c r="J53" i="2" s="1"/>
  <c r="E52" i="2"/>
  <c r="D51" i="2"/>
  <c r="J51" i="2" s="1"/>
  <c r="D50" i="2"/>
  <c r="J50" i="2" s="1"/>
  <c r="E49" i="2"/>
  <c r="E48" i="2"/>
  <c r="D47" i="2"/>
  <c r="J47" i="2" s="1"/>
  <c r="D46" i="2"/>
  <c r="E46" i="2" s="1"/>
  <c r="E45" i="2"/>
  <c r="D44" i="2"/>
  <c r="J44" i="2" s="1"/>
  <c r="D43" i="2"/>
  <c r="J43" i="2" s="1"/>
  <c r="E42" i="2"/>
  <c r="E41" i="2"/>
  <c r="J40" i="2"/>
  <c r="E40" i="2"/>
  <c r="E39" i="2"/>
  <c r="D38" i="2"/>
  <c r="E38" i="2" s="1"/>
  <c r="D37" i="2"/>
  <c r="E37" i="2" s="1"/>
  <c r="D36" i="2"/>
  <c r="E36" i="2" s="1"/>
  <c r="E35" i="2"/>
  <c r="D34" i="2"/>
  <c r="J38" i="2" s="1"/>
  <c r="D33" i="2"/>
  <c r="J37" i="2" s="1"/>
  <c r="D32" i="2"/>
  <c r="J32" i="2" s="1"/>
  <c r="E31" i="2"/>
  <c r="D30" i="2"/>
  <c r="J30" i="2" s="1"/>
  <c r="D29" i="2"/>
  <c r="E29" i="2" s="1"/>
  <c r="D28" i="2"/>
  <c r="J28" i="2" s="1"/>
  <c r="E27" i="2"/>
  <c r="D26" i="2"/>
  <c r="E26" i="2" s="1"/>
  <c r="D25" i="2"/>
  <c r="J25" i="2" s="1"/>
  <c r="D24" i="2"/>
  <c r="J24" i="2" s="1"/>
  <c r="E23" i="2"/>
  <c r="E22" i="2"/>
  <c r="J21" i="2"/>
  <c r="E21" i="2"/>
  <c r="J20" i="2"/>
  <c r="E20" i="2"/>
  <c r="D19" i="2"/>
  <c r="E19" i="2" s="1"/>
  <c r="D11" i="2"/>
  <c r="D18" i="2" s="1"/>
  <c r="J10" i="2"/>
  <c r="E10" i="2"/>
  <c r="J9" i="2"/>
  <c r="K9" i="2" s="1"/>
  <c r="E9" i="2"/>
  <c r="K28" i="2" l="1"/>
  <c r="L28" i="2"/>
  <c r="L71" i="2"/>
  <c r="K71" i="2"/>
  <c r="K128" i="2"/>
  <c r="L128" i="2"/>
  <c r="L116" i="2"/>
  <c r="K116" i="2"/>
  <c r="L167" i="2"/>
  <c r="K167" i="2"/>
  <c r="L251" i="2"/>
  <c r="K251" i="2"/>
  <c r="L84" i="2"/>
  <c r="K84" i="2"/>
  <c r="L149" i="2"/>
  <c r="K149" i="2"/>
  <c r="L155" i="2"/>
  <c r="K155" i="2"/>
  <c r="L161" i="2"/>
  <c r="K161" i="2"/>
  <c r="L212" i="2"/>
  <c r="K212" i="2"/>
  <c r="L217" i="2"/>
  <c r="K217" i="2"/>
  <c r="L242" i="2"/>
  <c r="K242" i="2"/>
  <c r="L252" i="2"/>
  <c r="K252" i="2"/>
  <c r="L265" i="2"/>
  <c r="K265" i="2"/>
  <c r="L277" i="2"/>
  <c r="K277" i="2"/>
  <c r="L250" i="2"/>
  <c r="K250" i="2"/>
  <c r="L113" i="2"/>
  <c r="K113" i="2"/>
  <c r="L98" i="2"/>
  <c r="K98" i="2"/>
  <c r="L143" i="2"/>
  <c r="K143" i="2"/>
  <c r="L174" i="2"/>
  <c r="K174" i="2"/>
  <c r="L181" i="2"/>
  <c r="K181" i="2"/>
  <c r="K224" i="2"/>
  <c r="L224" i="2"/>
  <c r="L230" i="2"/>
  <c r="K230" i="2"/>
  <c r="K236" i="2"/>
  <c r="L236" i="2"/>
  <c r="L253" i="2"/>
  <c r="K253" i="2"/>
  <c r="L266" i="2"/>
  <c r="K266" i="2"/>
  <c r="L278" i="2"/>
  <c r="K278" i="2"/>
  <c r="L134" i="2"/>
  <c r="K134" i="2"/>
  <c r="L51" i="2"/>
  <c r="K51" i="2"/>
  <c r="L119" i="2"/>
  <c r="K119" i="2"/>
  <c r="L173" i="2"/>
  <c r="K173" i="2"/>
  <c r="L43" i="2"/>
  <c r="K43" i="2"/>
  <c r="K129" i="2"/>
  <c r="L129" i="2"/>
  <c r="L132" i="2"/>
  <c r="K132" i="2"/>
  <c r="L135" i="2"/>
  <c r="K135" i="2"/>
  <c r="L150" i="2"/>
  <c r="K150" i="2"/>
  <c r="L156" i="2"/>
  <c r="K156" i="2"/>
  <c r="L162" i="2"/>
  <c r="K162" i="2"/>
  <c r="L218" i="2"/>
  <c r="K218" i="2"/>
  <c r="L243" i="2"/>
  <c r="K243" i="2"/>
  <c r="L254" i="2"/>
  <c r="K254" i="2"/>
  <c r="L267" i="2"/>
  <c r="K267" i="2"/>
  <c r="K279" i="2"/>
  <c r="L279" i="2"/>
  <c r="L83" i="2"/>
  <c r="K83" i="2"/>
  <c r="K131" i="2"/>
  <c r="L131" i="2"/>
  <c r="L40" i="2"/>
  <c r="K40" i="2"/>
  <c r="L229" i="2"/>
  <c r="K229" i="2"/>
  <c r="L30" i="2"/>
  <c r="K30" i="2"/>
  <c r="L89" i="2"/>
  <c r="K89" i="2"/>
  <c r="L85" i="2"/>
  <c r="K85" i="2"/>
  <c r="L120" i="2"/>
  <c r="K120" i="2"/>
  <c r="L182" i="2"/>
  <c r="K182" i="2"/>
  <c r="L225" i="2"/>
  <c r="K225" i="2"/>
  <c r="L231" i="2"/>
  <c r="K231" i="2"/>
  <c r="L237" i="2"/>
  <c r="K237" i="2"/>
  <c r="L255" i="2"/>
  <c r="K255" i="2"/>
  <c r="L140" i="2"/>
  <c r="K140" i="2"/>
  <c r="K141" i="2"/>
  <c r="L141" i="2"/>
  <c r="L154" i="2"/>
  <c r="K154" i="2"/>
  <c r="L241" i="2"/>
  <c r="K241" i="2"/>
  <c r="L223" i="2"/>
  <c r="K223" i="2"/>
  <c r="L32" i="2"/>
  <c r="K32" i="2"/>
  <c r="L24" i="2"/>
  <c r="K24" i="2"/>
  <c r="J66" i="2"/>
  <c r="L136" i="2"/>
  <c r="K136" i="2"/>
  <c r="L145" i="2"/>
  <c r="K145" i="2"/>
  <c r="L151" i="2"/>
  <c r="K151" i="2"/>
  <c r="L157" i="2"/>
  <c r="K157" i="2"/>
  <c r="L163" i="2"/>
  <c r="K163" i="2"/>
  <c r="L176" i="2"/>
  <c r="K176" i="2"/>
  <c r="L210" i="2"/>
  <c r="K210" i="2"/>
  <c r="K219" i="2"/>
  <c r="L219" i="2"/>
  <c r="L256" i="2"/>
  <c r="K256" i="2"/>
  <c r="L269" i="2"/>
  <c r="K269" i="2"/>
  <c r="K280" i="2"/>
  <c r="L280" i="2"/>
  <c r="L50" i="2"/>
  <c r="K50" i="2"/>
  <c r="L77" i="2"/>
  <c r="K77" i="2"/>
  <c r="K148" i="2"/>
  <c r="L148" i="2"/>
  <c r="L263" i="2"/>
  <c r="K263" i="2"/>
  <c r="L110" i="2"/>
  <c r="K110" i="2"/>
  <c r="L180" i="2"/>
  <c r="K180" i="2"/>
  <c r="L21" i="2"/>
  <c r="K21" i="2"/>
  <c r="L101" i="2"/>
  <c r="K101" i="2"/>
  <c r="L79" i="2"/>
  <c r="K79" i="2"/>
  <c r="L123" i="2"/>
  <c r="K123" i="2"/>
  <c r="L25" i="2"/>
  <c r="K25" i="2"/>
  <c r="K67" i="2"/>
  <c r="L67" i="2"/>
  <c r="L90" i="2"/>
  <c r="K90" i="2"/>
  <c r="K93" i="2"/>
  <c r="L93" i="2"/>
  <c r="K96" i="2"/>
  <c r="L96" i="2"/>
  <c r="L99" i="2"/>
  <c r="K99" i="2"/>
  <c r="L102" i="2"/>
  <c r="K102" i="2"/>
  <c r="K105" i="2"/>
  <c r="L105" i="2"/>
  <c r="L170" i="2"/>
  <c r="K170" i="2"/>
  <c r="L183" i="2"/>
  <c r="K183" i="2"/>
  <c r="L214" i="2"/>
  <c r="K214" i="2"/>
  <c r="L226" i="2"/>
  <c r="K226" i="2"/>
  <c r="K232" i="2"/>
  <c r="L232" i="2"/>
  <c r="L238" i="2"/>
  <c r="K238" i="2"/>
  <c r="L245" i="2"/>
  <c r="K245" i="2"/>
  <c r="L257" i="2"/>
  <c r="K257" i="2"/>
  <c r="L270" i="2"/>
  <c r="K270" i="2"/>
  <c r="L281" i="2"/>
  <c r="K281" i="2"/>
  <c r="L286" i="2"/>
  <c r="K286" i="2"/>
  <c r="L276" i="2"/>
  <c r="K276" i="2"/>
  <c r="L78" i="2"/>
  <c r="K78" i="2"/>
  <c r="L53" i="2"/>
  <c r="K53" i="2"/>
  <c r="K92" i="2"/>
  <c r="L92" i="2"/>
  <c r="L54" i="2"/>
  <c r="K54" i="2"/>
  <c r="L111" i="2"/>
  <c r="K111" i="2"/>
  <c r="L126" i="2"/>
  <c r="K126" i="2"/>
  <c r="L74" i="2"/>
  <c r="K74" i="2"/>
  <c r="L69" i="2"/>
  <c r="K69" i="2"/>
  <c r="L75" i="2"/>
  <c r="K75" i="2"/>
  <c r="L81" i="2"/>
  <c r="K81" i="2"/>
  <c r="L127" i="2"/>
  <c r="K127" i="2"/>
  <c r="L130" i="2"/>
  <c r="K130" i="2"/>
  <c r="L133" i="2"/>
  <c r="K133" i="2"/>
  <c r="K146" i="2"/>
  <c r="L146" i="2"/>
  <c r="L152" i="2"/>
  <c r="K152" i="2"/>
  <c r="K158" i="2"/>
  <c r="L158" i="2"/>
  <c r="L164" i="2"/>
  <c r="K164" i="2"/>
  <c r="L177" i="2"/>
  <c r="K177" i="2"/>
  <c r="L220" i="2"/>
  <c r="K220" i="2"/>
  <c r="L246" i="2"/>
  <c r="K246" i="2"/>
  <c r="K258" i="2"/>
  <c r="L258" i="2"/>
  <c r="K271" i="2"/>
  <c r="L271" i="2"/>
  <c r="K282" i="2"/>
  <c r="L282" i="2"/>
  <c r="L160" i="2"/>
  <c r="K160" i="2"/>
  <c r="L125" i="2"/>
  <c r="K125" i="2"/>
  <c r="K107" i="2"/>
  <c r="L107" i="2"/>
  <c r="L114" i="2"/>
  <c r="K114" i="2"/>
  <c r="L109" i="2"/>
  <c r="K109" i="2"/>
  <c r="L112" i="2"/>
  <c r="K112" i="2"/>
  <c r="L115" i="2"/>
  <c r="K115" i="2"/>
  <c r="L118" i="2"/>
  <c r="K118" i="2"/>
  <c r="L121" i="2"/>
  <c r="K121" i="2"/>
  <c r="L124" i="2"/>
  <c r="K124" i="2"/>
  <c r="K171" i="2"/>
  <c r="L171" i="2"/>
  <c r="K184" i="2"/>
  <c r="L184" i="2"/>
  <c r="L227" i="2"/>
  <c r="K227" i="2"/>
  <c r="L233" i="2"/>
  <c r="K233" i="2"/>
  <c r="L247" i="2"/>
  <c r="K247" i="2"/>
  <c r="K259" i="2"/>
  <c r="L259" i="2"/>
  <c r="L272" i="2"/>
  <c r="K272" i="2"/>
  <c r="L283" i="2"/>
  <c r="K283" i="2"/>
  <c r="L275" i="2"/>
  <c r="K275" i="2"/>
  <c r="L122" i="2"/>
  <c r="K122" i="2"/>
  <c r="L264" i="2"/>
  <c r="K264" i="2"/>
  <c r="L72" i="2"/>
  <c r="K72" i="2"/>
  <c r="K104" i="2"/>
  <c r="L104" i="2"/>
  <c r="L37" i="2"/>
  <c r="K37" i="2"/>
  <c r="L117" i="2"/>
  <c r="K117" i="2"/>
  <c r="E44" i="2"/>
  <c r="L80" i="2"/>
  <c r="K80" i="2"/>
  <c r="L47" i="2"/>
  <c r="K47" i="2"/>
  <c r="J26" i="2"/>
  <c r="L60" i="2"/>
  <c r="K60" i="2"/>
  <c r="L70" i="2"/>
  <c r="K70" i="2"/>
  <c r="L76" i="2"/>
  <c r="K76" i="2"/>
  <c r="K82" i="2"/>
  <c r="L82" i="2"/>
  <c r="L137" i="2"/>
  <c r="K137" i="2"/>
  <c r="K147" i="2"/>
  <c r="L147" i="2"/>
  <c r="L153" i="2"/>
  <c r="K153" i="2"/>
  <c r="L159" i="2"/>
  <c r="K159" i="2"/>
  <c r="L165" i="2"/>
  <c r="K165" i="2"/>
  <c r="L211" i="2"/>
  <c r="K211" i="2"/>
  <c r="L221" i="2"/>
  <c r="K221" i="2"/>
  <c r="L240" i="2"/>
  <c r="K240" i="2"/>
  <c r="L248" i="2"/>
  <c r="K248" i="2"/>
  <c r="L260" i="2"/>
  <c r="K260" i="2"/>
  <c r="L273" i="2"/>
  <c r="K273" i="2"/>
  <c r="L284" i="2"/>
  <c r="K284" i="2"/>
  <c r="L216" i="2"/>
  <c r="K216" i="2"/>
  <c r="K20" i="2"/>
  <c r="L20" i="2"/>
  <c r="K235" i="2"/>
  <c r="L235" i="2"/>
  <c r="L95" i="2"/>
  <c r="K95" i="2"/>
  <c r="K73" i="2"/>
  <c r="L73" i="2"/>
  <c r="L44" i="2"/>
  <c r="K44" i="2"/>
  <c r="K108" i="2"/>
  <c r="L108" i="2"/>
  <c r="L38" i="2"/>
  <c r="K38" i="2"/>
  <c r="L87" i="2"/>
  <c r="K87" i="2"/>
  <c r="L10" i="2"/>
  <c r="K10" i="2"/>
  <c r="L61" i="2"/>
  <c r="K61" i="2"/>
  <c r="L88" i="2"/>
  <c r="K88" i="2"/>
  <c r="L91" i="2"/>
  <c r="K91" i="2"/>
  <c r="K94" i="2"/>
  <c r="L94" i="2"/>
  <c r="L97" i="2"/>
  <c r="K97" i="2"/>
  <c r="L100" i="2"/>
  <c r="K100" i="2"/>
  <c r="L103" i="2"/>
  <c r="K103" i="2"/>
  <c r="L106" i="2"/>
  <c r="K106" i="2"/>
  <c r="L172" i="2"/>
  <c r="K172" i="2"/>
  <c r="L179" i="2"/>
  <c r="K179" i="2"/>
  <c r="L228" i="2"/>
  <c r="K228" i="2"/>
  <c r="K234" i="2"/>
  <c r="L234" i="2"/>
  <c r="K249" i="2"/>
  <c r="L249" i="2"/>
  <c r="L261" i="2"/>
  <c r="K261" i="2"/>
  <c r="L274" i="2"/>
  <c r="K274" i="2"/>
  <c r="L285" i="2"/>
  <c r="K285" i="2"/>
  <c r="J18" i="2"/>
  <c r="E18" i="2"/>
  <c r="E11" i="2"/>
  <c r="D16" i="2"/>
  <c r="E25" i="2"/>
  <c r="J46" i="2"/>
  <c r="E30" i="2"/>
  <c r="D12" i="2"/>
  <c r="D13" i="2"/>
  <c r="E47" i="2"/>
  <c r="D15" i="2"/>
  <c r="D17" i="2"/>
  <c r="D14" i="2"/>
  <c r="L9" i="2"/>
  <c r="E67" i="2"/>
  <c r="J36" i="2"/>
  <c r="J64" i="2"/>
  <c r="E64" i="2"/>
  <c r="E63" i="2"/>
  <c r="J63" i="2"/>
  <c r="E60" i="2"/>
  <c r="E61" i="2"/>
  <c r="J56" i="2"/>
  <c r="J57" i="2"/>
  <c r="E53" i="2"/>
  <c r="E54" i="2"/>
  <c r="E50" i="2"/>
  <c r="E51" i="2"/>
  <c r="E43" i="2"/>
  <c r="J33" i="2"/>
  <c r="E33" i="2"/>
  <c r="E34" i="2"/>
  <c r="J34" i="2"/>
  <c r="E32" i="2"/>
  <c r="E28" i="2"/>
  <c r="J29" i="2"/>
  <c r="E24" i="2"/>
  <c r="L26" i="2" l="1"/>
  <c r="K26" i="2"/>
  <c r="K56" i="2"/>
  <c r="L56" i="2"/>
  <c r="L33" i="2"/>
  <c r="K33" i="2"/>
  <c r="L64" i="2"/>
  <c r="K64" i="2"/>
  <c r="K18" i="2"/>
  <c r="L18" i="2"/>
  <c r="L34" i="2"/>
  <c r="K34" i="2"/>
  <c r="L46" i="2"/>
  <c r="K46" i="2"/>
  <c r="L36" i="2"/>
  <c r="K36" i="2"/>
  <c r="K66" i="2"/>
  <c r="L66" i="2"/>
  <c r="K63" i="2"/>
  <c r="L63" i="2"/>
  <c r="K29" i="2"/>
  <c r="L29" i="2"/>
  <c r="L57" i="2"/>
  <c r="K57" i="2"/>
  <c r="J14" i="2"/>
  <c r="E14" i="2"/>
  <c r="J17" i="2"/>
  <c r="E17" i="2"/>
  <c r="J13" i="2"/>
  <c r="E13" i="2"/>
  <c r="J16" i="2"/>
  <c r="E16" i="2"/>
  <c r="J15" i="2"/>
  <c r="E15" i="2"/>
  <c r="J12" i="2"/>
  <c r="E12" i="2"/>
  <c r="L12" i="2" l="1"/>
  <c r="K12" i="2"/>
  <c r="K15" i="2"/>
  <c r="L15" i="2"/>
  <c r="K16" i="2"/>
  <c r="L16" i="2"/>
  <c r="L13" i="2"/>
  <c r="K13" i="2"/>
  <c r="L17" i="2"/>
  <c r="K17" i="2"/>
  <c r="L14" i="2"/>
  <c r="K14" i="2"/>
</calcChain>
</file>

<file path=xl/comments1.xml><?xml version="1.0" encoding="utf-8"?>
<comments xmlns="http://schemas.openxmlformats.org/spreadsheetml/2006/main">
  <authors>
    <author>gracia</author>
    <author>a</author>
  </authors>
  <commentList>
    <comment ref="F92" authorId="0" shapeId="0">
      <text>
        <r>
          <rPr>
            <b/>
            <sz val="9"/>
            <color indexed="81"/>
            <rFont val="Tahoma"/>
            <family val="2"/>
          </rPr>
          <t xml:space="preserve">Lautaro:
Precios históricos de referencia. No se consiguen mas
</t>
        </r>
      </text>
    </comment>
    <comment ref="F97" authorId="1" shapeId="0">
      <text>
        <r>
          <rPr>
            <b/>
            <sz val="10"/>
            <color indexed="81"/>
            <rFont val="Tahoma"/>
            <family val="2"/>
          </rPr>
          <t>a:</t>
        </r>
        <r>
          <rPr>
            <sz val="10"/>
            <color indexed="81"/>
            <rFont val="Tahoma"/>
            <family val="2"/>
          </rPr>
          <t xml:space="preserve">
LO LLEVA ESQUENONE
</t>
        </r>
      </text>
    </comment>
    <comment ref="F278" authorId="1" shapeId="0">
      <text>
        <r>
          <rPr>
            <b/>
            <sz val="10"/>
            <color indexed="81"/>
            <rFont val="Tahoma"/>
            <family val="2"/>
          </rPr>
          <t>a:</t>
        </r>
        <r>
          <rPr>
            <sz val="10"/>
            <color indexed="81"/>
            <rFont val="Tahoma"/>
            <family val="2"/>
          </rPr>
          <t xml:space="preserve">
LO LLEVA ESQUENONE
</t>
        </r>
      </text>
    </comment>
  </commentList>
</comments>
</file>

<file path=xl/comments2.xml><?xml version="1.0" encoding="utf-8"?>
<comments xmlns="http://schemas.openxmlformats.org/spreadsheetml/2006/main">
  <authors>
    <author>gracia</author>
    <author>a</author>
  </authors>
  <commentList>
    <comment ref="F88" authorId="0" shapeId="0">
      <text>
        <r>
          <rPr>
            <b/>
            <sz val="9"/>
            <color indexed="81"/>
            <rFont val="Tahoma"/>
            <family val="2"/>
          </rPr>
          <t xml:space="preserve">Lautaro:
Precios históricos de referencia. No se consiguen mas
</t>
        </r>
      </text>
    </comment>
    <comment ref="F93" authorId="1" shapeId="0">
      <text>
        <r>
          <rPr>
            <b/>
            <sz val="10"/>
            <color indexed="81"/>
            <rFont val="Tahoma"/>
            <family val="2"/>
          </rPr>
          <t>a:</t>
        </r>
        <r>
          <rPr>
            <sz val="10"/>
            <color indexed="81"/>
            <rFont val="Tahoma"/>
            <family val="2"/>
          </rPr>
          <t xml:space="preserve">
LO LLEVA ESQUENONE
</t>
        </r>
      </text>
    </comment>
    <comment ref="F275" authorId="1" shapeId="0">
      <text>
        <r>
          <rPr>
            <b/>
            <sz val="10"/>
            <color indexed="81"/>
            <rFont val="Tahoma"/>
            <family val="2"/>
          </rPr>
          <t>a:</t>
        </r>
        <r>
          <rPr>
            <sz val="10"/>
            <color indexed="81"/>
            <rFont val="Tahoma"/>
            <family val="2"/>
          </rPr>
          <t xml:space="preserve">
LO LLEVA ESQUENONE
</t>
        </r>
      </text>
    </comment>
  </commentList>
</comments>
</file>

<file path=xl/sharedStrings.xml><?xml version="1.0" encoding="utf-8"?>
<sst xmlns="http://schemas.openxmlformats.org/spreadsheetml/2006/main" count="6858" uniqueCount="2286">
  <si>
    <t>LISTA DE COSTO VIGENTE</t>
  </si>
  <si>
    <t>PUBLICO</t>
  </si>
  <si>
    <t>Última Fecha</t>
  </si>
  <si>
    <t>Proveedor</t>
  </si>
  <si>
    <t>Costo NETO</t>
  </si>
  <si>
    <t>VENTA</t>
  </si>
  <si>
    <t>MEDIX</t>
  </si>
  <si>
    <t>MGBIO</t>
  </si>
  <si>
    <t>HERRERO</t>
  </si>
  <si>
    <t>JAEJ</t>
  </si>
  <si>
    <t>SILFAB</t>
  </si>
  <si>
    <t>Outlandish</t>
  </si>
  <si>
    <t>DEVILLBISS</t>
  </si>
  <si>
    <t>FILTRO BACTERIANO (cod.1) (PARA ASPIRADOR DEVILLBISS)</t>
  </si>
  <si>
    <t>7305 D 608</t>
  </si>
  <si>
    <t>AGIMED</t>
  </si>
  <si>
    <t>RESPIRONICS</t>
  </si>
  <si>
    <t>BMC</t>
  </si>
  <si>
    <t>SAMTRONIC</t>
  </si>
  <si>
    <t>FUENTES</t>
  </si>
  <si>
    <t xml:space="preserve">SEPID S.A. </t>
  </si>
  <si>
    <t>RESP/LANC</t>
  </si>
  <si>
    <t xml:space="preserve">REPUESTOS </t>
  </si>
  <si>
    <t>FILTROS P/CONCENTRADORES</t>
  </si>
  <si>
    <t>FILTRO P/CONCENTRADOR EVERFLOW</t>
  </si>
  <si>
    <t>EVERFLOW</t>
  </si>
  <si>
    <t>FILTRO SILENCIADOR P/CONCENTRADOR DEVILBISS</t>
  </si>
  <si>
    <t>DEVILBISS</t>
  </si>
  <si>
    <t>505DZ-605</t>
  </si>
  <si>
    <t>FILTRO PARTICULAS MEDIAS CONCENTRADOR DEVILLBISS</t>
  </si>
  <si>
    <t>505DZ-604</t>
  </si>
  <si>
    <t xml:space="preserve">FILTRO P/ CONCENTRADOR (CUADRADO) 5000 HS </t>
  </si>
  <si>
    <t>H620</t>
  </si>
  <si>
    <t>EMA</t>
  </si>
  <si>
    <t>FILTRO INTERNO DE CONCENTRADOR AIRSEP</t>
  </si>
  <si>
    <t>TSD</t>
  </si>
  <si>
    <t>FI4817/30T</t>
  </si>
  <si>
    <t>FILTRO PARTIC MEDIAS AIRSEP NEW LIFE (EXTERNO)</t>
  </si>
  <si>
    <t>FP13398/22</t>
  </si>
  <si>
    <t>FILTRO PART.MEDIAS CONC. NIDEK/TAEMA (EXTERNO)</t>
  </si>
  <si>
    <t>FP23598/11</t>
  </si>
  <si>
    <t>FILTRO PART.MEDIAS CONC.DEVILLBISS 515 (EXTERNO)</t>
  </si>
  <si>
    <t>FP14091/17</t>
  </si>
  <si>
    <t>FILTRO PART.MEDIAS CONC.DEVILLBISS 525 (EXTERNO)</t>
  </si>
  <si>
    <t>C9797/17</t>
  </si>
  <si>
    <t>FILTRO SILENCIADOR P/CONCENTRADOR EVER FLO</t>
  </si>
  <si>
    <t>PREFILTRO CILINDRICO P/RESPIRONICS INVACARE (INTERNO)</t>
  </si>
  <si>
    <t>FP656565T</t>
  </si>
  <si>
    <t>H618</t>
  </si>
  <si>
    <t>FILTRO PART.MEDIAS CONC.REPIRONICS MILLENIUM (EXTERNO)</t>
  </si>
  <si>
    <t>FP251858T</t>
  </si>
  <si>
    <t>FILTRO CPAP SERIE M (KIT 2 FILTROS)</t>
  </si>
  <si>
    <t>SERIE M</t>
  </si>
  <si>
    <t>TRONIK</t>
  </si>
  <si>
    <t>Fuente de alimentacion Oxi-3 Switching (15V 1A)</t>
  </si>
  <si>
    <t>FUENTE PARA CPAP/BPAP (TODOS LOS SERIE M)</t>
  </si>
  <si>
    <t>Fuente de alimentación Oxi-3 Generica 15v 1A</t>
  </si>
  <si>
    <t>FUENTE 12V 3A (ASPIRADOR SUNRISE-GK-425) - PLUG 2.5 hueco</t>
  </si>
  <si>
    <t>SW1230</t>
  </si>
  <si>
    <t>SW1250</t>
  </si>
  <si>
    <t>FUENTE PARA ASPIRADOR DEVILBISS ORIGINAL (CARGADOR)</t>
  </si>
  <si>
    <t>GRUPO LAIN</t>
  </si>
  <si>
    <t>P1985</t>
  </si>
  <si>
    <t>BOMBA ARCOMED ARGUS</t>
  </si>
  <si>
    <t>SENSOR DE FLUJO ARGUS/ARCOMED</t>
  </si>
  <si>
    <t>SENSOR DE FLUJO P/ARGUS 707</t>
  </si>
  <si>
    <t xml:space="preserve">ARGUS </t>
  </si>
  <si>
    <t>BOMBA KANGAROO</t>
  </si>
  <si>
    <t>GMP</t>
  </si>
  <si>
    <t>TRAFO DE ALIMENTACION P/220V</t>
  </si>
  <si>
    <t>FRENTE TECLADO</t>
  </si>
  <si>
    <t>FLOWMETER CONCENTRADOR</t>
  </si>
  <si>
    <t>PERILLA FLOWMETER</t>
  </si>
  <si>
    <t>FLOWMETER 5 L/M</t>
  </si>
  <si>
    <t>COMPRESORES THOMAS (CONCENTRADORES)</t>
  </si>
  <si>
    <t>SYNCROTECH</t>
  </si>
  <si>
    <t>KIT S/CAMISAS COMPRESOR THOMAS 2619/2669 (CHICOS)</t>
  </si>
  <si>
    <t>THOMAS</t>
  </si>
  <si>
    <t>2619/2669</t>
  </si>
  <si>
    <t>KIT S/CAMISAS COMPRESOR THOMAS 2650 (GRANDES)</t>
  </si>
  <si>
    <t>CAMISAS COMPRESOR THOMAS 2619/2669 X 2 UNIDADES</t>
  </si>
  <si>
    <t>CAMISAS COMPRESOR THOMAS 2650 X 2 UNIDADES</t>
  </si>
  <si>
    <t>JUEGO DE LABIOS DE TEFLON X 2 (PISTON CUP)</t>
  </si>
  <si>
    <t>ASPIRADOR SILFAB</t>
  </si>
  <si>
    <t>SEPID</t>
  </si>
  <si>
    <t xml:space="preserve">COMPRESOR 12V COMPLETO </t>
  </si>
  <si>
    <t>HUMIDIFICADOR MARBEL</t>
  </si>
  <si>
    <t>PLACA DE CONTROL</t>
  </si>
  <si>
    <t>SC-008</t>
  </si>
  <si>
    <t>BASE CALEFACTORA</t>
  </si>
  <si>
    <t>GABINETE COMPLETO</t>
  </si>
  <si>
    <t>ASPIRADOR DEVILBISS 7305 originales</t>
  </si>
  <si>
    <t>CODO 90 º DE SILICONA (cod. 10)</t>
  </si>
  <si>
    <t>7305 D 023</t>
  </si>
  <si>
    <t>TUBO DE CONEXIÓN 5 PULG (cod 2) - MANGUERA ACODADA</t>
  </si>
  <si>
    <t>7305D-612</t>
  </si>
  <si>
    <t xml:space="preserve">TUBO DE OXIGENO DE ALUMINIO 415 L </t>
  </si>
  <si>
    <t>MANIJA VOLCABLE P/VALVULA SUPERIOR CON ESPINA</t>
  </si>
  <si>
    <t>FUENTE 12V 5A (MOVI VAC A-600)</t>
  </si>
  <si>
    <t>FUENTE 13,8V 3A (MOVI VAC A-550)</t>
  </si>
  <si>
    <t xml:space="preserve">BMC </t>
  </si>
  <si>
    <t>TURBINA CPAP RESmart</t>
  </si>
  <si>
    <t>PLACA PRINCIPAL CPAP RESmart</t>
  </si>
  <si>
    <t>PLACA PRINCIPAL AUTO CPAP RESmart AUTO</t>
  </si>
  <si>
    <t>TURBINA AUTOCPAP RESmartAUTO</t>
  </si>
  <si>
    <t>PLACA PRINCIPAL BPAP 25</t>
  </si>
  <si>
    <t>TURBINA BPAP 25</t>
  </si>
  <si>
    <t>PLACA PRINCIPAL BPAP 25A &amp; 25T</t>
  </si>
  <si>
    <t>TURBINA BPAP 25A &amp; 25T</t>
  </si>
  <si>
    <t>PLACA CALENTADOR PARA TODOS LOS MODELOS</t>
  </si>
  <si>
    <t>PLACA PRINCIPAL BPAP 30T</t>
  </si>
  <si>
    <t>TURBINA BPAP 30T</t>
  </si>
  <si>
    <t>FILTRO INTERNO DE CONCENTRADOR LONGFIAN (TODOS)</t>
  </si>
  <si>
    <t>LONGFIAN</t>
  </si>
  <si>
    <t>JAY-5 JAY-5Q</t>
  </si>
  <si>
    <t>FILTRO EXTERNO CONCENTRADOR LONGFIAN</t>
  </si>
  <si>
    <t xml:space="preserve">JAY-5   </t>
  </si>
  <si>
    <t>JAY5-Q</t>
  </si>
  <si>
    <t>FILTRO CPAP  BPAP BMC</t>
  </si>
  <si>
    <t>TODOS</t>
  </si>
  <si>
    <t>ASPIRADOR MOVI VAC A-550</t>
  </si>
  <si>
    <t>CABLE ACCESORIO DE 12V ENCENDEDOR DE AUTOMOTOR</t>
  </si>
  <si>
    <t>GABINETE COMPLETO MOVI VAC</t>
  </si>
  <si>
    <t>CANISTER BEMIS</t>
  </si>
  <si>
    <t>BOLSO DE TRASLADO</t>
  </si>
  <si>
    <t>ME-046</t>
  </si>
  <si>
    <t>SC-102</t>
  </si>
  <si>
    <t>ME-041</t>
  </si>
  <si>
    <t>MP-027</t>
  </si>
  <si>
    <t>MP-017</t>
  </si>
  <si>
    <t>ME-053</t>
  </si>
  <si>
    <t>AE-003</t>
  </si>
  <si>
    <t>FILTRO PARA CPAPS Y BPAPS BMC</t>
  </si>
  <si>
    <t>Marca</t>
  </si>
  <si>
    <t>VACUOMETRO</t>
  </si>
  <si>
    <t>U$S</t>
  </si>
  <si>
    <t>PERILLA TRABA MASTIL</t>
  </si>
  <si>
    <t>TRABA SOPORTE DE MASTIL</t>
  </si>
  <si>
    <t>FILTRO PARTIC FINAS AIRSEP NEW LIFE interno redondo</t>
  </si>
  <si>
    <t>REPUESTOS LONGFIAN</t>
  </si>
  <si>
    <t>BASE CONCENTRADOR JAY 5-Q</t>
  </si>
  <si>
    <t>PORTA CONECTOR 220V JAY 5-Q</t>
  </si>
  <si>
    <t>FUENTE DE ALIMENTACION MOVI-VAC ORIGINAL</t>
  </si>
  <si>
    <t>ME-054</t>
  </si>
  <si>
    <t>FUENTE DE ALIMENTACION MOVI-VAC GENERICA</t>
  </si>
  <si>
    <t>DÓLAR</t>
  </si>
  <si>
    <t>LLAVE ENCENDIDO JA5 5/JAY 5Q</t>
  </si>
  <si>
    <t>FLOWMETER TODOS LOS MODELOS</t>
  </si>
  <si>
    <t>CAP SEAL DE COMPRESORES (LABIOS) EL PAR TODOS LOS MODELOS</t>
  </si>
  <si>
    <t xml:space="preserve">CILYNDRE SLEEVE (CAMISAS) EL PAR TODOS LOS MODELOS </t>
  </si>
  <si>
    <t>IN-001</t>
  </si>
  <si>
    <t>TAPA PORTA FILTRO CPAP/BPAP GII</t>
  </si>
  <si>
    <t>FILTRO INTERNO COSIDO</t>
  </si>
  <si>
    <t>FILTRO SILENCIADOR</t>
  </si>
  <si>
    <t>FILTRO EXTERNO POLIESTER (EL PAR)</t>
  </si>
  <si>
    <t>FUENTE PARA CPAP/BPAP  G2 GENERICA</t>
  </si>
  <si>
    <t>ENERGY SAVER</t>
  </si>
  <si>
    <t>FUENTE CONVERTIDOR 12V A 24 V 60W  CPAP G27G2S</t>
  </si>
  <si>
    <t>BATERIAS 6V 4A X 2 UNIDAD</t>
  </si>
  <si>
    <t>FUENTE 13,8V 3A (MOVI VAC A-550)GENERICA</t>
  </si>
  <si>
    <t>COMPRESOR COMPLETO JAY5-Q</t>
  </si>
  <si>
    <t>COMPRESOR COMPLETO JAY5</t>
  </si>
  <si>
    <t>VALVULA MAGNETICA JAY5/JAY5-Q</t>
  </si>
  <si>
    <t>PLACA CONTROL JAY5/5Q</t>
  </si>
  <si>
    <t>FUENTE 24V 60W CON FICHA P/CPAP BMC</t>
  </si>
  <si>
    <t>COMPRESOR COMPLETO JAY10</t>
  </si>
  <si>
    <t>LDC DISPLAY</t>
  </si>
  <si>
    <t>REPUESTOS INCUBADORAS</t>
  </si>
  <si>
    <t>Manga portillo iris PC-305</t>
  </si>
  <si>
    <t>Filtro de aire (Pack x 4)PC-305</t>
  </si>
  <si>
    <t>Pasacánulas cristal x 2 PC-305</t>
  </si>
  <si>
    <t>R20103</t>
  </si>
  <si>
    <t xml:space="preserve">DIR-02C </t>
  </si>
  <si>
    <t>DIR-17</t>
  </si>
  <si>
    <t>R12146</t>
  </si>
  <si>
    <t xml:space="preserve">R12116 </t>
  </si>
  <si>
    <t xml:space="preserve">R25266 </t>
  </si>
  <si>
    <t>R11391</t>
  </si>
  <si>
    <t>DIR-10</t>
  </si>
  <si>
    <t xml:space="preserve">R31852/1 </t>
  </si>
  <si>
    <t>R23465</t>
  </si>
  <si>
    <t xml:space="preserve">TR-69 </t>
  </si>
  <si>
    <t>Traba portillo PC-307</t>
  </si>
  <si>
    <t>Bisagra portillo PC-307</t>
  </si>
  <si>
    <t>Pasacánulas angular PC-307</t>
  </si>
  <si>
    <t>Turbina (eje 5mm) PC-307</t>
  </si>
  <si>
    <t>Sensor temperatura de piel reusable PC-307</t>
  </si>
  <si>
    <t>Perilla mov. Módulo de comandos PC-307</t>
  </si>
  <si>
    <t>Burlete portillo puerta lateral PC-307</t>
  </si>
  <si>
    <t>Filtro de aire (Paq x 4) PC-307</t>
  </si>
  <si>
    <t>FILTRO DE AIRE</t>
  </si>
  <si>
    <t>FILTRO COVER</t>
  </si>
  <si>
    <t>JARRA HUMIDIFICADOR</t>
  </si>
  <si>
    <t>BOLSO DE TRANSPORTE</t>
  </si>
  <si>
    <t>SPO2 KIT</t>
  </si>
  <si>
    <t>SD CARD 8G</t>
  </si>
  <si>
    <t>CABLE DOBLE8</t>
  </si>
  <si>
    <t>PLACA DE CONTROL E-20C-H-O</t>
  </si>
  <si>
    <t>PLACA DE CONTROL E-20A-H-O</t>
  </si>
  <si>
    <t>PLACA DE CONTROL T-25T</t>
  </si>
  <si>
    <t>PLACA DE CONTROL Y-30T</t>
  </si>
  <si>
    <t>TURBINA G2 T</t>
  </si>
  <si>
    <t>FUENTE DE ALIMENTACION</t>
  </si>
  <si>
    <t>PLACA CALEFACTORA HUMIDIFICADOR H60</t>
  </si>
  <si>
    <t>SOPORTE JACK IMPRESO EN 3D</t>
  </si>
  <si>
    <t>PACK DE BATERIAS</t>
  </si>
  <si>
    <t>SANTOS</t>
  </si>
  <si>
    <t>GUIA CALIBRACION</t>
  </si>
  <si>
    <t>FECHA</t>
  </si>
  <si>
    <t>PROVEEDOR</t>
  </si>
  <si>
    <t>COSTO NETO</t>
  </si>
  <si>
    <t>REPUESTO</t>
  </si>
  <si>
    <t>PRECIO</t>
  </si>
  <si>
    <t>INTRA</t>
  </si>
  <si>
    <t>BISAGRA</t>
  </si>
  <si>
    <t>MOTOR</t>
  </si>
  <si>
    <t>PASACANULA LATERAL MAX</t>
  </si>
  <si>
    <t>BURLETE PORTILLO PUERTA LATERAL</t>
  </si>
  <si>
    <t>DOBLE TECHO</t>
  </si>
  <si>
    <t>PASA CANULA CRISTAL</t>
  </si>
  <si>
    <t>PORTILLO IRIS</t>
  </si>
  <si>
    <t>MANGA PORTILLO IRIS</t>
  </si>
  <si>
    <t>ARO SUJECION IRIS</t>
  </si>
  <si>
    <t>BURLETE CIERRE PCI</t>
  </si>
  <si>
    <t>FILTRO X1 305</t>
  </si>
  <si>
    <t>Motor BLDC NC LX (n! de serie &gt;=1258)</t>
  </si>
  <si>
    <t>Pasa canula lateral MAX</t>
  </si>
  <si>
    <t>Repuesto doble techo desmontable</t>
  </si>
  <si>
    <t>Pasacanula Cristal</t>
  </si>
  <si>
    <t>Repuesto portillo iris</t>
  </si>
  <si>
    <t>Aro sujecion iris PC/TR. TR200 Y PC 307</t>
  </si>
  <si>
    <t>Burlete cierre PCI PC/TR</t>
  </si>
  <si>
    <t>BATERIA 12V 2,9A</t>
  </si>
  <si>
    <t>SOPORTE MARBEL PARA MASTIL</t>
  </si>
  <si>
    <t xml:space="preserve">Cargador de batería 100-240Vac 50-60Hz / 13.8Vdc 48W </t>
  </si>
  <si>
    <t xml:space="preserve">Caja individual para N38V (doble canaleta triple liso) COLOR MARRON </t>
  </si>
  <si>
    <t xml:space="preserve"> Caja individual para N8VP </t>
  </si>
  <si>
    <t xml:space="preserve">Caja aspirador de uso continuo N33 y N33V SILFAB </t>
  </si>
  <si>
    <t xml:space="preserve">Tapa de 1 litro con niple y trampa </t>
  </si>
  <si>
    <t xml:space="preserve">Tapa de 2 litros con niple y trampa </t>
  </si>
  <si>
    <t xml:space="preserve">Tapa de 5 litros con niples desiguales </t>
  </si>
  <si>
    <t xml:space="preserve">Tapa de 5 litros con niples iguales </t>
  </si>
  <si>
    <t xml:space="preserve">Cables CA42 y CA43 con terminales TER9, termocontraible SPA17  y ficha FEH1 </t>
  </si>
  <si>
    <t xml:space="preserve">Tapa de 1 litro con trampa de agua y codo </t>
  </si>
  <si>
    <t xml:space="preserve">Codo plástico para tapa de frasco plástico de 1 litro de capacidad </t>
  </si>
  <si>
    <t xml:space="preserve">Filtro hidrofóbico completo </t>
  </si>
  <si>
    <t xml:space="preserve">Frasco de vidrio de 1 litro de capacidad para aspirador de uso continuo </t>
  </si>
  <si>
    <t xml:space="preserve">Frasco de vidrio 2 litros de capacidad </t>
  </si>
  <si>
    <t xml:space="preserve">Frasco de vidrio de 5 litros de capacidad </t>
  </si>
  <si>
    <t xml:space="preserve">Frasco plástico de 1 litro para aspiradores SERIGRAFIADO </t>
  </si>
  <si>
    <t xml:space="preserve">Manguera cristal PVC de ø 6mm x ø 9mm </t>
  </si>
  <si>
    <t xml:space="preserve">Manguera cristal PVC ø 18mm x ø 13mm </t>
  </si>
  <si>
    <t xml:space="preserve">Pata sopapa inyectada para motocompresor de uso continuo </t>
  </si>
  <si>
    <t xml:space="preserve">Pedal 12V para aspirador quirúrgico N36 </t>
  </si>
  <si>
    <t xml:space="preserve">Tapón de salida para aspirador de uso continuo </t>
  </si>
  <si>
    <t xml:space="preserve">Batería 12V/12Ah 150mm x 100mm x 100mm para aspirador portátil </t>
  </si>
  <si>
    <t xml:space="preserve"> TAP1-HA</t>
  </si>
  <si>
    <t>BA1</t>
  </si>
  <si>
    <t xml:space="preserve"> CAR5 </t>
  </si>
  <si>
    <t xml:space="preserve"> CCC34</t>
  </si>
  <si>
    <t xml:space="preserve"> CCC45</t>
  </si>
  <si>
    <t xml:space="preserve"> CCM116</t>
  </si>
  <si>
    <t xml:space="preserve"> CO74</t>
  </si>
  <si>
    <t xml:space="preserve"> CO75 </t>
  </si>
  <si>
    <t xml:space="preserve"> CO76</t>
  </si>
  <si>
    <t xml:space="preserve"> CO77</t>
  </si>
  <si>
    <t xml:space="preserve"> CO142</t>
  </si>
  <si>
    <t xml:space="preserve"> CO143</t>
  </si>
  <si>
    <t xml:space="preserve"> COP6 </t>
  </si>
  <si>
    <t xml:space="preserve"> COP7</t>
  </si>
  <si>
    <t xml:space="preserve"> FI13 </t>
  </si>
  <si>
    <t xml:space="preserve"> FV1 </t>
  </si>
  <si>
    <t xml:space="preserve"> FV2 </t>
  </si>
  <si>
    <t xml:space="preserve"> FV5</t>
  </si>
  <si>
    <t xml:space="preserve"> FP1 SF </t>
  </si>
  <si>
    <t xml:space="preserve"> MAG3 </t>
  </si>
  <si>
    <t xml:space="preserve"> MAG5 </t>
  </si>
  <si>
    <t xml:space="preserve"> PA4 </t>
  </si>
  <si>
    <t xml:space="preserve"> PED1 </t>
  </si>
  <si>
    <t xml:space="preserve">Codo plástico con espigas de ambos lados para manguera de 1/4" </t>
  </si>
  <si>
    <t>SOPORTE BATERIA MOTOR</t>
  </si>
  <si>
    <t>PS-039</t>
  </si>
  <si>
    <t>MOTORCOM</t>
  </si>
  <si>
    <t>BIELA CON LABIO DE PISTON BOMBA</t>
  </si>
  <si>
    <t>KULIFAY</t>
  </si>
  <si>
    <t>SOPORTE PLASTICO EN 3D VALVULA REG. DE VACIO(REPARACION)</t>
  </si>
  <si>
    <t>BATERIA 12V 2,3A</t>
  </si>
  <si>
    <t>BATERIAS</t>
  </si>
  <si>
    <t>12V 2,2Ah</t>
  </si>
  <si>
    <t>CASA SANTOS</t>
  </si>
  <si>
    <t>PRESS</t>
  </si>
  <si>
    <t>MICROELECTRONICA</t>
  </si>
  <si>
    <t>JACK 2,1 HEMBRA DC ENTRADA VERTICAL</t>
  </si>
  <si>
    <t>MP-045</t>
  </si>
  <si>
    <t>MP-047</t>
  </si>
  <si>
    <t>MUL</t>
  </si>
  <si>
    <t>CR1632 POLYWACH</t>
  </si>
  <si>
    <t>MAXCELL</t>
  </si>
  <si>
    <t>BATERIA 12V 7 A/H</t>
  </si>
  <si>
    <t>CÁMARA HUMIFI. GI / GII / G2S</t>
  </si>
  <si>
    <t>CALENTADOR HUMIFICADOR G1</t>
  </si>
  <si>
    <t>CPAP</t>
  </si>
  <si>
    <t>GII</t>
  </si>
  <si>
    <t>E-20C-H-O</t>
  </si>
  <si>
    <t>E-20A-H-O</t>
  </si>
  <si>
    <t>B30VT</t>
  </si>
  <si>
    <t>ACCESORIOS</t>
  </si>
  <si>
    <t>TURBINA nP2-C2</t>
  </si>
  <si>
    <t>COMBO</t>
  </si>
  <si>
    <t>TURBINA nP2-M3+</t>
  </si>
  <si>
    <t>PRECIO LISTA</t>
  </si>
  <si>
    <t>G2S</t>
  </si>
  <si>
    <t>PARTICULAR</t>
  </si>
  <si>
    <t>PLACA DE CONTROL A20</t>
  </si>
  <si>
    <t>BPAP T-25T</t>
  </si>
  <si>
    <t>PLACA DE CONTROL Y-30A</t>
  </si>
  <si>
    <t>B25S</t>
  </si>
  <si>
    <t>PLACA DE CONTROL B25S</t>
  </si>
  <si>
    <t>PLACA CONTROL C20</t>
  </si>
  <si>
    <t>TURBINA C2+</t>
  </si>
  <si>
    <t>BPAP Y-25T</t>
  </si>
  <si>
    <t>Fracción para BMC</t>
  </si>
  <si>
    <t>Placa</t>
  </si>
  <si>
    <t>Turbina</t>
  </si>
  <si>
    <t>Combo</t>
  </si>
  <si>
    <t>PLACA CONTROL Y-25T</t>
  </si>
  <si>
    <t>REPUESTOS AIRSEP</t>
  </si>
  <si>
    <t>RICARDO</t>
  </si>
  <si>
    <t>BONIFICADOS</t>
  </si>
  <si>
    <t>REPUESTOS INOGEN</t>
  </si>
  <si>
    <t>Carcasa del cuerpo del filtro comp. c/conc. G3</t>
  </si>
  <si>
    <t>Conjunto de filtro compatible c/conc. G4</t>
  </si>
  <si>
    <t>Filtro de entrada p/Inogen At Home</t>
  </si>
  <si>
    <t>Filtros de partículas rígidos Inogen One G3 (par)</t>
  </si>
  <si>
    <t>Fuente de alimentación AC Inogen One G3</t>
  </si>
  <si>
    <t>Fuente de alimentación DC Inogen One G3, G4, G5</t>
  </si>
  <si>
    <t>Fuente de alimentación de AC Inogen G4</t>
  </si>
  <si>
    <t>Batería de 8 celdas Inogen One G4</t>
  </si>
  <si>
    <t>Compresor compatible c/conc. G3</t>
  </si>
  <si>
    <t>Kit de compresor p/Inogen At Home</t>
  </si>
  <si>
    <t>Kit de compresor compatible c/conc. G4</t>
  </si>
  <si>
    <t>Kit de interfaz de usuario compatible c/conc. G4</t>
  </si>
  <si>
    <t>Kit de panel de acceso compatible c/conc. G4</t>
  </si>
  <si>
    <t>Columnas compatible c/conc. G4</t>
  </si>
  <si>
    <t>INOGEN</t>
  </si>
  <si>
    <t>ACCESORIOS MEDITECH</t>
  </si>
  <si>
    <t>SENSOR DE SATURACIÓN BROCHE ADULTO</t>
  </si>
  <si>
    <t>MEDITECH</t>
  </si>
  <si>
    <t>TURBINA</t>
  </si>
  <si>
    <t>G3</t>
  </si>
  <si>
    <t>B25A</t>
  </si>
  <si>
    <t>B25T</t>
  </si>
  <si>
    <t>PLACA DE CONTROL B25T</t>
  </si>
  <si>
    <t xml:space="preserve">FUENTE PARA CPAP GII MINI 220/19V 1,9A </t>
  </si>
  <si>
    <t>FUENTE PARA CPAP G1 12V/24V</t>
  </si>
  <si>
    <t>RODAMIENTO BIELA JAY5Q x UNIDAD</t>
  </si>
  <si>
    <t>RODAMIENTO BIELA JAY5  X UNIDAD</t>
  </si>
  <si>
    <t>Manguito CUFF de presión adulto 1 vía</t>
  </si>
  <si>
    <t>Cable paciente ECG 5 deriv. compatible MEDITECH</t>
  </si>
  <si>
    <t xml:space="preserve">Prolongador PNI c/acople rápido </t>
  </si>
  <si>
    <t xml:space="preserve">MEDITECH </t>
  </si>
  <si>
    <t>INTRAMÉDICA</t>
  </si>
  <si>
    <t>FLAPPER</t>
  </si>
  <si>
    <t>FL-001</t>
  </si>
  <si>
    <t>LABIO DE COMPRESOR</t>
  </si>
  <si>
    <t>BATERIA 6V 4 A/J</t>
  </si>
  <si>
    <t>Costo PESOS</t>
  </si>
  <si>
    <t>Código P.</t>
  </si>
  <si>
    <t>Detalle</t>
  </si>
  <si>
    <t>TU001</t>
  </si>
  <si>
    <t>PL001</t>
  </si>
  <si>
    <t>PL002</t>
  </si>
  <si>
    <t>ME059</t>
  </si>
  <si>
    <t>ME060</t>
  </si>
  <si>
    <t>PF-001</t>
  </si>
  <si>
    <t>ME-043</t>
  </si>
  <si>
    <t>FI-002</t>
  </si>
  <si>
    <t>SP817</t>
  </si>
  <si>
    <t>PS039</t>
  </si>
  <si>
    <t>ME084</t>
  </si>
  <si>
    <t>ME064</t>
  </si>
  <si>
    <t>ME058</t>
  </si>
  <si>
    <t>ME053</t>
  </si>
  <si>
    <t>BA303</t>
  </si>
  <si>
    <t>MP-016</t>
  </si>
  <si>
    <t>ME018</t>
  </si>
  <si>
    <t>SC-104</t>
  </si>
  <si>
    <t>MO002</t>
  </si>
  <si>
    <t>SC-101</t>
  </si>
  <si>
    <t>PS-025</t>
  </si>
  <si>
    <t>PS-028</t>
  </si>
  <si>
    <t>CM002</t>
  </si>
  <si>
    <t>RD001</t>
  </si>
  <si>
    <t>RD002</t>
  </si>
  <si>
    <t>FL001</t>
  </si>
  <si>
    <t>ME073</t>
  </si>
  <si>
    <t>PS-021</t>
  </si>
  <si>
    <t>SP818</t>
  </si>
  <si>
    <t>ME-020</t>
  </si>
  <si>
    <t>PS-050</t>
  </si>
  <si>
    <t>ME061</t>
  </si>
  <si>
    <t>ME-075</t>
  </si>
  <si>
    <t>ME-081</t>
  </si>
  <si>
    <t>ME041</t>
  </si>
  <si>
    <t>ME087</t>
  </si>
  <si>
    <t>ME086</t>
  </si>
  <si>
    <t>SP516</t>
  </si>
  <si>
    <t>SP704</t>
  </si>
  <si>
    <t>BA306</t>
  </si>
  <si>
    <t>SP709</t>
  </si>
  <si>
    <t>SP805</t>
  </si>
  <si>
    <t>SP714</t>
  </si>
  <si>
    <t>PS-051</t>
  </si>
  <si>
    <t>MP-013</t>
  </si>
  <si>
    <t>MP-014</t>
  </si>
  <si>
    <t>SC-106</t>
  </si>
  <si>
    <t>PM-003</t>
  </si>
  <si>
    <t>FI001</t>
  </si>
  <si>
    <t>ME077</t>
  </si>
  <si>
    <t>ME082</t>
  </si>
  <si>
    <t>SP802</t>
  </si>
  <si>
    <t>TR001</t>
  </si>
  <si>
    <t>TR002</t>
  </si>
  <si>
    <t>PR001</t>
  </si>
  <si>
    <t>PR002</t>
  </si>
  <si>
    <t>SP557</t>
  </si>
  <si>
    <t>SP722</t>
  </si>
  <si>
    <t>SP814</t>
  </si>
  <si>
    <t>MP024</t>
  </si>
  <si>
    <t>SP700</t>
  </si>
  <si>
    <t>SP507</t>
  </si>
  <si>
    <t>FA001</t>
  </si>
  <si>
    <t>ME076</t>
  </si>
  <si>
    <t>SC-108</t>
  </si>
  <si>
    <t>CM001</t>
  </si>
  <si>
    <t>MP-042</t>
  </si>
  <si>
    <t>SP816</t>
  </si>
  <si>
    <t>SP701</t>
  </si>
  <si>
    <t>LA003</t>
  </si>
  <si>
    <t>ME046</t>
  </si>
  <si>
    <t>MP-015</t>
  </si>
  <si>
    <t>PS058</t>
  </si>
  <si>
    <t xml:space="preserve">COOLER 220V </t>
  </si>
  <si>
    <t>CANISTER CEOLITA JAY 5 (EL PAR)</t>
  </si>
  <si>
    <t>CANISTER CEOLITA JAY 5Q (EL PAR)</t>
  </si>
  <si>
    <t>CANISTER CEOLITA JAY-10</t>
  </si>
  <si>
    <t>Kit de canister CEOLITA compatible c/conc. G3</t>
  </si>
  <si>
    <t>Canister CEOLITA p/Inogen At Home</t>
  </si>
  <si>
    <t>RECAMBIO CEOLITA AIRSEP (PAR)</t>
  </si>
  <si>
    <t>REPUESTOS EVERFLO</t>
  </si>
  <si>
    <t>FILTRO P/CONCENTRADOR EVERFLO</t>
  </si>
  <si>
    <t>FILTRO SILENCIADOR P/CONCENTRADOR EVERFLO</t>
  </si>
  <si>
    <t>VÁLVULA PILOT EVERFLO</t>
  </si>
  <si>
    <t>codigo</t>
  </si>
  <si>
    <t>descripcion</t>
  </si>
  <si>
    <t>origen</t>
  </si>
  <si>
    <t>descripcion_maestro</t>
  </si>
  <si>
    <t>descripcion_begerman</t>
  </si>
  <si>
    <t>cod_prov</t>
  </si>
  <si>
    <t>proveedor</t>
  </si>
  <si>
    <t>equipo</t>
  </si>
  <si>
    <t>conflicto_desc</t>
  </si>
  <si>
    <t>begerman</t>
  </si>
  <si>
    <t>False</t>
  </si>
  <si>
    <t>Cabezal de temperatura oral y p/axilas FT10</t>
  </si>
  <si>
    <t>Cable paciente ECG 10 deriv. compatible EDAN</t>
  </si>
  <si>
    <t>Cobertor p/sensor temp. WELCHALLYN p/EDAN x25 u</t>
  </si>
  <si>
    <t>Articulo para reutilzar</t>
  </si>
  <si>
    <t>Sensor de sat. c/broche adulto MINDRAY 3m p/EDAN</t>
  </si>
  <si>
    <t>Sensor de sat. c/broche adulto p/NONIN 1,2m 325BCD</t>
  </si>
  <si>
    <t>Sensor de sat. c/broche NELLCOR neonatal 315N</t>
  </si>
  <si>
    <t>Articulo para reutilizar</t>
  </si>
  <si>
    <t>Sensor de sat. reusable adul. NELLCOR DS100A-1</t>
  </si>
  <si>
    <t>Sensor de sat. reusable ped. NELLCOR D-YS</t>
  </si>
  <si>
    <t>Cable paciente ECG 10 deriv. FUKUDA Denshi FX-7102</t>
  </si>
  <si>
    <t>Valvula QF-2C9 ZS</t>
  </si>
  <si>
    <t>UPS ATOMLUX PC 1000@</t>
  </si>
  <si>
    <t>Electrocardiografo Biocare IE 101</t>
  </si>
  <si>
    <t>Electrocardiografo CONTEC 3 canales</t>
  </si>
  <si>
    <t>Desfibrilador externo automatico DEA</t>
  </si>
  <si>
    <t>Para reutilizar</t>
  </si>
  <si>
    <t>Soporte de Monitor giro 180 grados</t>
  </si>
  <si>
    <t>Tubuladura reusable BMC 22 mm</t>
  </si>
  <si>
    <t>Tubuladura calefaccionada BMC LH2</t>
  </si>
  <si>
    <t>Tubuladura reusable BMC 15 mm</t>
  </si>
  <si>
    <t>Tubuladura calefaccionada BMC GH1</t>
  </si>
  <si>
    <t>Tubuladura corrugada HUDSON 1417</t>
  </si>
  <si>
    <t>Tubuladura descartable c/punta de goma 285/5064</t>
  </si>
  <si>
    <t>Rollo tubuladura 22mm x 50 mts</t>
  </si>
  <si>
    <t>Rollo tubuladura T-63 x 50 mts</t>
  </si>
  <si>
    <t>Tubuladura reusable RESWELL 22mm</t>
  </si>
  <si>
    <t>Tubuladura de aspiracion con terminales WELLLEAD</t>
  </si>
  <si>
    <t>Jarra de vidrio para aspirador SILFAB</t>
  </si>
  <si>
    <t>Tapa de jarra vidrio p/aspirador SILFAB</t>
  </si>
  <si>
    <t>Accesorio de encastre humidificador CRAMI</t>
  </si>
  <si>
    <t>Carcaza desc. autollenado/flot. mca DRAGUER</t>
  </si>
  <si>
    <t>BESMED CANULA NASAL DESC.ADULTO CON TUBO 2M</t>
  </si>
  <si>
    <t>Adaptador plastico p/camara BMC H-80</t>
  </si>
  <si>
    <t>Filtro aspirador generico FA550</t>
  </si>
  <si>
    <t>Filtro HME BESMED adulto 70313</t>
  </si>
  <si>
    <t>Filtro viral bacteriano WESTMED 6220</t>
  </si>
  <si>
    <t>Filtro original externo p/Stellar 150 ref. 24934</t>
  </si>
  <si>
    <t>Filtro externo para OXYMAG</t>
  </si>
  <si>
    <t>Filtro de aire interno EVERFLO original 1038831</t>
  </si>
  <si>
    <t>Filtro p/ aspirador SILFAB FI13</t>
  </si>
  <si>
    <t>Filtro de aire externo AIR SEP NEW LIFE</t>
  </si>
  <si>
    <t>Filtro de aire externo JAY5 / JAY10</t>
  </si>
  <si>
    <t>Filtro de aire externo JAY5Q / KSOC5</t>
  </si>
  <si>
    <t>Filtro de aire externo PB560 10028771</t>
  </si>
  <si>
    <t>Filtro de aire interno AIR SEP NEW LIFE</t>
  </si>
  <si>
    <t>Filtro de aire interno JAY5 / JAY10 / JAY5Q</t>
  </si>
  <si>
    <t>Filtro interno respirador ASTRAL 27939</t>
  </si>
  <si>
    <t>Filtro TRACHEOLIFE II 353/19004</t>
  </si>
  <si>
    <t>Filtro viral bacteriano BARRIELBAC S 350/5879</t>
  </si>
  <si>
    <t>Filtro viral bacterial ABULAX 5030</t>
  </si>
  <si>
    <t>Filtro viral bacteriano adulto c/puerto HAND 42382</t>
  </si>
  <si>
    <t>Cateter de mount DCD088</t>
  </si>
  <si>
    <t>Cateter de mount COVIDIEN 331/5661</t>
  </si>
  <si>
    <t>Filtro bact. humid. c/port LUERÂ HUAKUN</t>
  </si>
  <si>
    <t>Filtro HME Hudson RCI HU1570</t>
  </si>
  <si>
    <t>Filtro externo p/CPAP DM26 YAMIND</t>
  </si>
  <si>
    <t>Filtro externo p/CPAP DM28 YAMIND</t>
  </si>
  <si>
    <t>Carcaza cuerpo filtro comp. conc. G3 SP-516</t>
  </si>
  <si>
    <t>Conjunto de filtro compatible c/conc. G4 SP-704</t>
  </si>
  <si>
    <t>Filtro de entrada p/Inogen At Home SP-623</t>
  </si>
  <si>
    <t>Filtro de aire CPAP/BPAP GII/G2S BMC Original</t>
  </si>
  <si>
    <t>Filtro de aire CPAP/BPAP G3 BMC Original</t>
  </si>
  <si>
    <t>Filtro de aire Auto CPAP BMC MINI</t>
  </si>
  <si>
    <t>Filtro covidien 351/5878</t>
  </si>
  <si>
    <t>FILTRO HYGROBAC S ELECST HME 352/5877</t>
  </si>
  <si>
    <t>Filtro HYGROBOY ELECST HME 355/5430</t>
  </si>
  <si>
    <t>Filtro interno p/concentrador KSOC-5</t>
  </si>
  <si>
    <t>Kit respiratorio BMC POLYWATCH</t>
  </si>
  <si>
    <t>KIT FIO2 Covidien</t>
  </si>
  <si>
    <t>Kit de oximetria SPO2 modelo G3</t>
  </si>
  <si>
    <t>Kit de oximetria SPO2 modelo GII y G2S</t>
  </si>
  <si>
    <t>Kit enriquecedor de oxi - conector en</t>
  </si>
  <si>
    <t>Kit nebulizador p/ Traq Pediatrico AGO 3302</t>
  </si>
  <si>
    <t>Sensor de sat.</t>
  </si>
  <si>
    <t>Sensor de sat. reusable adulto NELLCOR SPO2NOXAD</t>
  </si>
  <si>
    <t>Sensor de sat. desc. neonatal NELLCOR OXI MAX-N-I</t>
  </si>
  <si>
    <t>Sensor de sat. desc. pediatr. NELLCOR OXI MAX-P-I</t>
  </si>
  <si>
    <t>Sensor de sat. reus. adulto p/MEDITECH 3m SPO2GMAD</t>
  </si>
  <si>
    <t>Sensor de sat. c/broche adulto EDAN M3A 3m 197B</t>
  </si>
  <si>
    <t>Sensor de sat. c/broche adulto KONSUNG 256B</t>
  </si>
  <si>
    <t>Sensor de sat. c/broche neonatal KONSUNG 256N</t>
  </si>
  <si>
    <t>Sensor de temperatura para monitor</t>
  </si>
  <si>
    <t>Sensor de sat. c/broche adulto p/NONIN 3m 325BLD</t>
  </si>
  <si>
    <t>Sensor de sat. c/broche ped. p/NONIN 1,2m 325BPCD</t>
  </si>
  <si>
    <t>Sensor de sat. c/broche  ped. p/NONIN 3m 325BPLD</t>
  </si>
  <si>
    <t>Sensor de sat. c/broche ad. p/MEDITECH 3m 283BLR</t>
  </si>
  <si>
    <t>Sensor de monit. de EEG AD. 186-0106</t>
  </si>
  <si>
    <t>Sensor de monit. de EEG BIS PED. 186-0200</t>
  </si>
  <si>
    <t>Sensor de sat. reus. generico</t>
  </si>
  <si>
    <t>Whisper BESMED CT-14317 x</t>
  </si>
  <si>
    <t>Tarjeta SD 8GB</t>
  </si>
  <si>
    <t>Mochila de transporte p/respirador covidien</t>
  </si>
  <si>
    <t>Mezclador de Aire Oxigeno 0-3 LPM</t>
  </si>
  <si>
    <t>Aspirador manual HAND 17574</t>
  </si>
  <si>
    <t>Juego 6 peritas precordiales adulto</t>
  </si>
  <si>
    <t>Juego de 4 pinzas electro adulto</t>
  </si>
  <si>
    <t>Reservorio 100 cc 127-100</t>
  </si>
  <si>
    <t>Set KANGAROO GS-324</t>
  </si>
  <si>
    <t>Trampa de agua adulto BESMED 96122</t>
  </si>
  <si>
    <t>Guantes de latex talle medium EUROMIX x100 u</t>
  </si>
  <si>
    <t>Guantes de latex talle large EUROMIX x100 u</t>
  </si>
  <si>
    <t>Rollo de papel para ECG 80x30 RG503/RG506/RG606</t>
  </si>
  <si>
    <t>Valvula espiratoria Nv. Graphnet TS</t>
  </si>
  <si>
    <t>Chicote tubuladura 22 mm 2 tramos x 35 cm CH-22</t>
  </si>
  <si>
    <t>Fuente de aliment. DC Inogen One G3, G4, G5 BA-306</t>
  </si>
  <si>
    <t>Software USB Key Dog KONSUNG</t>
  </si>
  <si>
    <t>Soporte p/amurar compatible monitor multiparame.</t>
  </si>
  <si>
    <t>Nolato Bolsa p/anestesia de 1.0lts</t>
  </si>
  <si>
    <t>Tramo de tubbing T63 PVC x 2mts</t>
  </si>
  <si>
    <t>Porta suero pie 5 ramas 2 ganchos</t>
  </si>
  <si>
    <t>Resucitador AMBU SPUR II adulto</t>
  </si>
  <si>
    <t>Resucitador AMBU SPUR II neonatal</t>
  </si>
  <si>
    <t>Resucitador manual PVC WINNER adulto TW8111</t>
  </si>
  <si>
    <t>Resucitador manual PVC WINNER neonatal</t>
  </si>
  <si>
    <t>Resucitador manual PVC WINNER adul. c/val. de peep</t>
  </si>
  <si>
    <t>Conector recto roscado c/tubbing CRRT</t>
  </si>
  <si>
    <t>Conector 22H - 6M</t>
  </si>
  <si>
    <t>Conector 22H-15M</t>
  </si>
  <si>
    <t>Conector 22H-22M-10M</t>
  </si>
  <si>
    <t>Conector (humidificador a bigotera) 22H-6M</t>
  </si>
  <si>
    <t>Conector 22M-15M</t>
  </si>
  <si>
    <t>Conector 22M-22M-15H MM</t>
  </si>
  <si>
    <t>Conector espiga</t>
  </si>
  <si>
    <t>Conector en T 22OD/15ID/22OD 30015</t>
  </si>
  <si>
    <t>Conector recto 22M</t>
  </si>
  <si>
    <t>Conector O2 para PB560 2962799</t>
  </si>
  <si>
    <t>Conector pico tomagoma AGO 997</t>
  </si>
  <si>
    <t>Adaptador escalonado enfit ANET</t>
  </si>
  <si>
    <t>Whisper BESMED CT-14317</t>
  </si>
  <si>
    <t>Conector pico tomagoma AGO 996</t>
  </si>
  <si>
    <t>Prolongador de tubbing 6 mm 7 m c/espiga PROL7E</t>
  </si>
  <si>
    <t>Prolongador de tubbing 6 mm 10 m c/espiga PROL10E</t>
  </si>
  <si>
    <t>Prolongador de tubbing 6 mm 1,7 m c/espiga PROL2E</t>
  </si>
  <si>
    <t>Prolongador SPO2 BCI 3 mts</t>
  </si>
  <si>
    <t>Prolongador de tubbing 6mm 2 m c/espiga</t>
  </si>
  <si>
    <t>Bolso original BMC para modelo G1</t>
  </si>
  <si>
    <t>Bolso original BMC para modelo GII</t>
  </si>
  <si>
    <t>Bolso original BMC para modelo G2S</t>
  </si>
  <si>
    <t>Bolso para aspirador MOVI-VAC</t>
  </si>
  <si>
    <t>Bolso original BMC para modelo G3</t>
  </si>
  <si>
    <t>Bolso original LONGFIAN para modelo JAY-10D</t>
  </si>
  <si>
    <t>Bolso mochila O2</t>
  </si>
  <si>
    <t>Frasco humidificador WESMED 500 ml 0480</t>
  </si>
  <si>
    <t>Frasco humidificador BESMED 400 ml 72460</t>
  </si>
  <si>
    <t>Frasco humidificador HUDSON 500 ml 3260</t>
  </si>
  <si>
    <t>Frasco humidificador GALEMED 500 cc 3416</t>
  </si>
  <si>
    <t>Frasco de vidrio 2 lts SILFAB</t>
  </si>
  <si>
    <t>Circ. simple rama s/trampa ped. COVIDIEN 5093500</t>
  </si>
  <si>
    <t>Circ. simple rama s/trampa ad. COVIDIEN 5093600</t>
  </si>
  <si>
    <t>Circ. doble rama c/trampa ped. COVIDIEN 5093900</t>
  </si>
  <si>
    <t>Circ. doble rama c/trampa ad. COVIDIEN 5094000</t>
  </si>
  <si>
    <t>Circ. simple rama HUDSON neonatal 780-10</t>
  </si>
  <si>
    <t>Circ. doble rama s/trampa neo. HUDSON 780-11</t>
  </si>
  <si>
    <t>Circ. doble rama c/trampa ped. HUDSON 780-22</t>
  </si>
  <si>
    <t>Circ. doble rama c/trampa ad. HUDSON 1625</t>
  </si>
  <si>
    <t>Circuito respiratorio c/trampa adulto DCD001</t>
  </si>
  <si>
    <t>Circuito respiratorio c/trampa adulto DCD003</t>
  </si>
  <si>
    <t>Circuito respiratorio adulto DCD006</t>
  </si>
  <si>
    <t>Circuito respiratorio c/trampa DCD007</t>
  </si>
  <si>
    <t>Circuito respiratorio adulto c/trampa DCD013</t>
  </si>
  <si>
    <t>Circ. doble rama DCD010 de anestesia adulto 1.5m</t>
  </si>
  <si>
    <t>Circuito respiratorio adulto DCD0022</t>
  </si>
  <si>
    <t>Circuito respiratorio adulto DCD0023</t>
  </si>
  <si>
    <t>Circuito respiratorio adulto c/trampa DCD0025</t>
  </si>
  <si>
    <t>Circuito respiratorio adulto DCD0066</t>
  </si>
  <si>
    <t>Circuito respiratorio adulto c/trampa DCD0130</t>
  </si>
  <si>
    <t>Circuito respiratorio adulto c/trampa DCD0150</t>
  </si>
  <si>
    <t>Circuito respiratorio adulto DCD0151</t>
  </si>
  <si>
    <t>Circuito respiratorio adulto DCD0165</t>
  </si>
  <si>
    <t>Circuito neonatal WESTMED</t>
  </si>
  <si>
    <t>Circuito respiratorio adulto DCD023</t>
  </si>
  <si>
    <t>Circuito doble rama DAR 306/8787</t>
  </si>
  <si>
    <t>Circuito respiratorio adulto DCD130</t>
  </si>
  <si>
    <t>Circ. descartable KING JACKSON REES</t>
  </si>
  <si>
    <t>Circ. descartable DCD015C</t>
  </si>
  <si>
    <t>Sistema p/asp traqueal 14fr adu 24h (30 cm) UNDIS</t>
  </si>
  <si>
    <t>Sonda p/gastro. 16fr c/balon pediat. SILMAG</t>
  </si>
  <si>
    <t>Cable paciente ECG 5 deriv. p/mon. MINDRAY UMEC12</t>
  </si>
  <si>
    <t>Prolongador SPO2 p/mon. MINDRAY UMEC12 3mts</t>
  </si>
  <si>
    <t>Sensor SPO2 broche adulto MINDRAY UMEC12</t>
  </si>
  <si>
    <t>Sensor SPO2 broche adulto AURORA KONSUNG original</t>
  </si>
  <si>
    <t>Sensor SPO2 broche ped. AURORA KONSUNG original</t>
  </si>
  <si>
    <t>Sensor SPO2 broche neo. AURORA KONSUNG original</t>
  </si>
  <si>
    <t>Sensor SPO2 broche aduto p/monitor CHOICE</t>
  </si>
  <si>
    <t>Transductor Edwards de Presion Invasiva</t>
  </si>
  <si>
    <t>Cuchilla descartable prematuro MIL00</t>
  </si>
  <si>
    <t>Cuchilla descartable neonato MIL0</t>
  </si>
  <si>
    <t>Cuchilla descartable pequeÃ±os adultos MAC2</t>
  </si>
  <si>
    <t>Cuchilla descartable adulto MAC3</t>
  </si>
  <si>
    <t>Cuchilla descartable adulto grande MAC4</t>
  </si>
  <si>
    <t>Cuchilla reusable MAC2</t>
  </si>
  <si>
    <t>Cuchilla reusable MAC3</t>
  </si>
  <si>
    <t>Cuchilla reusable MAC4</t>
  </si>
  <si>
    <t>Turbina para CPAP/Auto CPAP BMC GII</t>
  </si>
  <si>
    <t>Turbina para CPAP/Auto CPAP BMC G2S</t>
  </si>
  <si>
    <t>Turbina para CPAP/Auto CPAP BMC G3</t>
  </si>
  <si>
    <t>Turbina para BPAP BMC G3</t>
  </si>
  <si>
    <t>Turbina P/PB560 REF. 10028768</t>
  </si>
  <si>
    <t>Placa de circuito impresoÂ ensamblada APAP 20A-H-O</t>
  </si>
  <si>
    <t>Placa de circuito impresoÂ ensamblada APAP A20</t>
  </si>
  <si>
    <t>Placa de circuito impresoÂ ensamblada CPAP G3</t>
  </si>
  <si>
    <t>Placa de circuito impresoÂ ensamblada APAP G3</t>
  </si>
  <si>
    <t>Placa de circuito impresoÂ ensamblada BPAP G3</t>
  </si>
  <si>
    <t>Placa turbina DRIVER CARD PB560 REF.10108399</t>
  </si>
  <si>
    <t>Placa CPU P/PB560 REF. 10108397</t>
  </si>
  <si>
    <t>Placa fuente PB560</t>
  </si>
  <si>
    <t>Placa calefactora para humidificador CPAP G2S</t>
  </si>
  <si>
    <t>Tamiz molecular p/recarga de zeolita</t>
  </si>
  <si>
    <t>Canister Everflo</t>
  </si>
  <si>
    <t>Kit de canister zeolita compatible conc. G3 SP-563</t>
  </si>
  <si>
    <t>Canister zeolita p/Inogen At Home SP-605</t>
  </si>
  <si>
    <t>Canister zeolita LONGFIAN JAY-5</t>
  </si>
  <si>
    <t>Canister zeolita LONGFIAN JAY-5AW</t>
  </si>
  <si>
    <t>Canister zeolita LONGFIAN JAY-10</t>
  </si>
  <si>
    <t>Canister zeolita LONGFIAN JAY-10D</t>
  </si>
  <si>
    <t>Canister zeolita AIRSEP NEWLIFE</t>
  </si>
  <si>
    <t>Ventilador c/cable PB 560</t>
  </si>
  <si>
    <t>BUZZER CARD PB500 SERIES X1</t>
  </si>
  <si>
    <t>Teclado PB560</t>
  </si>
  <si>
    <t>Conector O2 hembra PB560</t>
  </si>
  <si>
    <t>Conector doble macho 15M+15M autoclavable y reutil</t>
  </si>
  <si>
    <t>Cable para descarga de datos Magnamed</t>
  </si>
  <si>
    <t>Bateria 4400MA BEDSIDE SPO2 original</t>
  </si>
  <si>
    <t>Compresor compatible c/conc. G3 SP-509</t>
  </si>
  <si>
    <t>Kit de compresor p/Inogen At Home SP-615</t>
  </si>
  <si>
    <t>Kit de compresor compatible c/conc. G4 SP-709</t>
  </si>
  <si>
    <t>Kit de interfaz de usuario compat. conc. G4 SP-719</t>
  </si>
  <si>
    <t>Kit de panel de acceso compatible conc. G4 SP-715</t>
  </si>
  <si>
    <t>Columnas compatible c/conc. G4 SP-714</t>
  </si>
  <si>
    <t>Compresor LONGFIAN JAY-5AW</t>
  </si>
  <si>
    <t>Cilindro para compresor LONGFIAN JAY-5</t>
  </si>
  <si>
    <t>Cilindro para compresor LONGFIAN JAY-5AW</t>
  </si>
  <si>
    <t>Labio sello de compresor de 66 MM JAY-5</t>
  </si>
  <si>
    <t>Labio sello de compresor de 72 MM JAY-5AW</t>
  </si>
  <si>
    <t>Celda de O2 ANALYTICAL INDUSTRIES PSR 11-75-KE7</t>
  </si>
  <si>
    <t>Set de actuador lineal</t>
  </si>
  <si>
    <t>Dispositivo p/atornillar tornillo 12 mm x 3mm</t>
  </si>
  <si>
    <t>Dispositivo p/atornillar tornillo 16 mm x 2 mm</t>
  </si>
  <si>
    <t>Globo de prueba adulto 1000 ml - 22mm</t>
  </si>
  <si>
    <t>AE001</t>
  </si>
  <si>
    <t>Caja de embalaje C-500</t>
  </si>
  <si>
    <t>ambos</t>
  </si>
  <si>
    <t>CAJA DE EMBALAJE C-500</t>
  </si>
  <si>
    <t>TURANO</t>
  </si>
  <si>
    <t>C-500</t>
  </si>
  <si>
    <t>AE002</t>
  </si>
  <si>
    <t>Caja de embalaje A-550</t>
  </si>
  <si>
    <t>CAJA DE EMBALAJE A-550</t>
  </si>
  <si>
    <t>A-550</t>
  </si>
  <si>
    <t>AE003</t>
  </si>
  <si>
    <t>Bolso de traslado p/aspirador</t>
  </si>
  <si>
    <t>MATYCUER</t>
  </si>
  <si>
    <t>True</t>
  </si>
  <si>
    <t>AR001</t>
  </si>
  <si>
    <t>Arandela plana ala angosta 4 MM</t>
  </si>
  <si>
    <t>ARANDELA PLANA ALA ANGOSTA 4MM</t>
  </si>
  <si>
    <t>MOYANO</t>
  </si>
  <si>
    <t>A-600</t>
  </si>
  <si>
    <t>AR002</t>
  </si>
  <si>
    <t>Arandela estrella 4 MM</t>
  </si>
  <si>
    <t>ARANDELA ESTRELLA 4 MM</t>
  </si>
  <si>
    <t>AR003</t>
  </si>
  <si>
    <t>Arandela plana 3 MM</t>
  </si>
  <si>
    <t>ARANDELA PLANA 3MM</t>
  </si>
  <si>
    <t>C-500/A-600</t>
  </si>
  <si>
    <t>AR004</t>
  </si>
  <si>
    <t>Arandela chapista M5 x 21 MM</t>
  </si>
  <si>
    <t>ARANDELA CHAPISTA M5 X 21 MM</t>
  </si>
  <si>
    <t>AR005</t>
  </si>
  <si>
    <t>Arandela chapista 3/8 x 40 MM</t>
  </si>
  <si>
    <t>ARANDELA CHAPISTA 3/8 X 40 MM</t>
  </si>
  <si>
    <t>AR006</t>
  </si>
  <si>
    <t>Arandela chapista M4</t>
  </si>
  <si>
    <t>ARANDELA CHAPISTA M4</t>
  </si>
  <si>
    <t>AR007</t>
  </si>
  <si>
    <t>Arandela estrella 3 MM</t>
  </si>
  <si>
    <t>ARANDELA ESTRELLA 3 MM</t>
  </si>
  <si>
    <t>AR008</t>
  </si>
  <si>
    <t>Arandela plana 5 MM</t>
  </si>
  <si>
    <t>ARANDELA PLANA 5MM</t>
  </si>
  <si>
    <t>AR009</t>
  </si>
  <si>
    <t>Arandela estrella 5 MM</t>
  </si>
  <si>
    <t>ARANDELA ESTRELLA 5 MM</t>
  </si>
  <si>
    <t>AR-010</t>
  </si>
  <si>
    <t>ARANDELA DE FIBRA 3 MM ALA ANCHA</t>
  </si>
  <si>
    <t>maestro</t>
  </si>
  <si>
    <t>AR-011</t>
  </si>
  <si>
    <t>ARANDELA DE FIBRA 6 MM ALA ANCHA</t>
  </si>
  <si>
    <t>AR-012</t>
  </si>
  <si>
    <t>ARANDELA PLANA 3/32"</t>
  </si>
  <si>
    <t>AR-013</t>
  </si>
  <si>
    <t>ARANDELA PLANA 3 x 10mm</t>
  </si>
  <si>
    <t>BASE CARGADOR DE BATERIA  G3 C/FUENTE EXT.</t>
  </si>
  <si>
    <t>G3 HF</t>
  </si>
  <si>
    <t>FUENTE DE ALIMENTACION EXTERNA G3.G4,G5</t>
  </si>
  <si>
    <t>G3-G4-G5</t>
  </si>
  <si>
    <t>BA401</t>
  </si>
  <si>
    <t>Inogen G4 AC Power Supply</t>
  </si>
  <si>
    <t>BI001</t>
  </si>
  <si>
    <t>Bisagra portillo Incubadora Medix PC307</t>
  </si>
  <si>
    <t>BISAGRA INCUBADORA MEDIX PC-307</t>
  </si>
  <si>
    <t>INCUBADORA</t>
  </si>
  <si>
    <t>BT001</t>
  </si>
  <si>
    <t>Bateria Litio Concentrador Portatil JAY-10D</t>
  </si>
  <si>
    <t>BATERIA LITIO CONCENTRADOR PORTATIL</t>
  </si>
  <si>
    <t>JAY10-D</t>
  </si>
  <si>
    <t>CA001</t>
  </si>
  <si>
    <t>Cable 1 x 0,5 M2 Rojo</t>
  </si>
  <si>
    <t>CABLE 1 X 1.5 M2 ROJO</t>
  </si>
  <si>
    <t>CA002</t>
  </si>
  <si>
    <t>Cable 1 x 0,5 M2 Negro</t>
  </si>
  <si>
    <t>CABLE 1 X 1.5 M2 NEGRO</t>
  </si>
  <si>
    <t>CE001</t>
  </si>
  <si>
    <t>Termistor K 164 10K</t>
  </si>
  <si>
    <t>TERMISTOR K 164 10K</t>
  </si>
  <si>
    <t>TE2556130</t>
  </si>
  <si>
    <t>ELEMON</t>
  </si>
  <si>
    <t>CE-002</t>
  </si>
  <si>
    <t>CIRC.INTEGRADO LM 358</t>
  </si>
  <si>
    <t>LM358N</t>
  </si>
  <si>
    <t>DIMEXAR</t>
  </si>
  <si>
    <t>CE-003</t>
  </si>
  <si>
    <t>TRANSISTOR MOSFET 6N60 (IRF830)</t>
  </si>
  <si>
    <t>CE004</t>
  </si>
  <si>
    <t>Transistor BC 549 C-500</t>
  </si>
  <si>
    <t>TRANSISTOR BC 549</t>
  </si>
  <si>
    <t>CE-005</t>
  </si>
  <si>
    <t>TRANSISTOR PUT 2N 6028</t>
  </si>
  <si>
    <t>CE006</t>
  </si>
  <si>
    <t>Circ. Integrado T 2117</t>
  </si>
  <si>
    <t>CIRC.INTEGRADO T 2117</t>
  </si>
  <si>
    <t>CE007</t>
  </si>
  <si>
    <t>Triac Tic 206D (BT136)</t>
  </si>
  <si>
    <t>TRIAC TIC 206D (BT136)</t>
  </si>
  <si>
    <t>CE008</t>
  </si>
  <si>
    <t>Transistor mosfet IRF9640 (IRF9530)</t>
  </si>
  <si>
    <t>TRANSISTOR MOSFET IRF9640 (IRF9530)</t>
  </si>
  <si>
    <t>CE009</t>
  </si>
  <si>
    <t>Transistor TIP 127</t>
  </si>
  <si>
    <t>TRANSISTOR TIP 127</t>
  </si>
  <si>
    <t>CE010</t>
  </si>
  <si>
    <t>Circuito integrado LM339</t>
  </si>
  <si>
    <t>CIRCUITO INTEGRADO LM339</t>
  </si>
  <si>
    <t>CE011</t>
  </si>
  <si>
    <t>Circuito integrado 4093</t>
  </si>
  <si>
    <t>CIRCUITO INTEGRADO 4093</t>
  </si>
  <si>
    <t>CE012</t>
  </si>
  <si>
    <t>Transistor BC 559</t>
  </si>
  <si>
    <t>TRANSISTOR BC 559</t>
  </si>
  <si>
    <t>CE013</t>
  </si>
  <si>
    <t>Regulador 78L05</t>
  </si>
  <si>
    <t>REGULADOR 78L05</t>
  </si>
  <si>
    <t>CE014</t>
  </si>
  <si>
    <t>Transistor BC 549 A-550</t>
  </si>
  <si>
    <t>CE-015</t>
  </si>
  <si>
    <t>REGULADOR 7805</t>
  </si>
  <si>
    <t>CE-016</t>
  </si>
  <si>
    <t>CIRCUITO INTEGRADO LM3914N</t>
  </si>
  <si>
    <t>CE-017</t>
  </si>
  <si>
    <t>TIRA DE 10 LED AMARILLO</t>
  </si>
  <si>
    <t>CI002</t>
  </si>
  <si>
    <t>Circuito impreso</t>
  </si>
  <si>
    <t>CIRCUITO IMPRESO</t>
  </si>
  <si>
    <t>BELLPLEX</t>
  </si>
  <si>
    <t>CI004</t>
  </si>
  <si>
    <t>Circuito impreso C-500</t>
  </si>
  <si>
    <t>CIRCUITO IMPRESO C-500</t>
  </si>
  <si>
    <t>MAYER</t>
  </si>
  <si>
    <t>CI005</t>
  </si>
  <si>
    <t>Circuito impreso MOVI-VAC</t>
  </si>
  <si>
    <t>CIRCUITO IMPRESO MOVIVAC</t>
  </si>
  <si>
    <t>CI006</t>
  </si>
  <si>
    <t>Circuito impreso llave de encendido</t>
  </si>
  <si>
    <t>CIRCUITO IMPRESO LLAVE DE ENCENDIDO</t>
  </si>
  <si>
    <t>CI007</t>
  </si>
  <si>
    <t>Circuito impreso principal Marbel C-600</t>
  </si>
  <si>
    <t>CIRCUITO IMPRESO PRINCIPAL MARBEL C-600</t>
  </si>
  <si>
    <t>C-600</t>
  </si>
  <si>
    <t>CI008</t>
  </si>
  <si>
    <t>Circuito impreso display Marbel C-600</t>
  </si>
  <si>
    <t>CIRCUITO IMPRESO DISPLAY MARBEL C-600</t>
  </si>
  <si>
    <t>CL001</t>
  </si>
  <si>
    <t>Coller 12 V CC 120 x 120 x 25mm</t>
  </si>
  <si>
    <t>COLLER 12V CC 120 X 120 X 25 MM</t>
  </si>
  <si>
    <t>KONSUNG</t>
  </si>
  <si>
    <t>Compresor completo JAY-5Q (AW)</t>
  </si>
  <si>
    <t>COMPRESOR COMPLETO JAY-5Q</t>
  </si>
  <si>
    <t>JAY-5Q</t>
  </si>
  <si>
    <t>Compresor para JAY-10</t>
  </si>
  <si>
    <t>COMPRESOR COMPLETO JAY-5 / JAY 10</t>
  </si>
  <si>
    <t>JAY-5/JAY10</t>
  </si>
  <si>
    <t>CO001</t>
  </si>
  <si>
    <t>EstaÃ±o 60/40 de 0.7mm x 1/4 kg</t>
  </si>
  <si>
    <t>ESTAÃ‘O 0,7MM 60/40 1/4 KG</t>
  </si>
  <si>
    <t>ARLEX</t>
  </si>
  <si>
    <t>CP001</t>
  </si>
  <si>
    <t>CAPACITOR ELECTROLITICO 220 Uf 50v</t>
  </si>
  <si>
    <t>CP002</t>
  </si>
  <si>
    <t>CAPACITOR ELECTROLITICO 2,2 Uf 50v</t>
  </si>
  <si>
    <t>CP003</t>
  </si>
  <si>
    <t>CAPACITOR ELECTROLITICO 47uF X 35v</t>
  </si>
  <si>
    <t>CP004</t>
  </si>
  <si>
    <t>CAPACITOR ELECTROLITICO 100uF X 35v</t>
  </si>
  <si>
    <t>CP-005</t>
  </si>
  <si>
    <t>CAPACITOR CERAMICO 0,1uF X 50V</t>
  </si>
  <si>
    <t xml:space="preserve"> </t>
  </si>
  <si>
    <t>CP006</t>
  </si>
  <si>
    <t>Capacitor de arranque 10uF X 450 V</t>
  </si>
  <si>
    <t>CAPACITOR DE ARRANQUE 10uF X 450 V</t>
  </si>
  <si>
    <t>MASER ELECTRO</t>
  </si>
  <si>
    <t>VARIOS</t>
  </si>
  <si>
    <t>DESPRAX</t>
  </si>
  <si>
    <t>Desfibrilador Mindray C1A</t>
  </si>
  <si>
    <t>DI001</t>
  </si>
  <si>
    <t>Diodo 1N 4007</t>
  </si>
  <si>
    <t>DIODO 1N 4007</t>
  </si>
  <si>
    <t>DI003</t>
  </si>
  <si>
    <t>Diodo LED 3MM verde</t>
  </si>
  <si>
    <t>DIODO LED 3 MM VERDE</t>
  </si>
  <si>
    <t>DI004</t>
  </si>
  <si>
    <t>Diodo zener 12V 1/2 W</t>
  </si>
  <si>
    <t>DIODO ZENER 12V 1/2 W</t>
  </si>
  <si>
    <t>DI005</t>
  </si>
  <si>
    <t>Diodo swtching 1N4148</t>
  </si>
  <si>
    <t>DIODO SWTCHING 1N4148</t>
  </si>
  <si>
    <t>DI006</t>
  </si>
  <si>
    <t>Diodo 1N5408</t>
  </si>
  <si>
    <t>DIODO 1N5408</t>
  </si>
  <si>
    <t>DI007</t>
  </si>
  <si>
    <t>Diodo LED 3 MM rojo</t>
  </si>
  <si>
    <t>DIODO LED 3 MM ROJO</t>
  </si>
  <si>
    <t>DI008</t>
  </si>
  <si>
    <t>Diodo LED 3MM amarillo</t>
  </si>
  <si>
    <t>DIODO LED 3 MM AMARILLO</t>
  </si>
  <si>
    <t>DI-009</t>
  </si>
  <si>
    <t>DIODO 8A 100V</t>
  </si>
  <si>
    <t>ET001</t>
  </si>
  <si>
    <t>Etiqueta Frente control C-500</t>
  </si>
  <si>
    <t>ETIQUETA FRENTE CONTROL</t>
  </si>
  <si>
    <t>PERNA</t>
  </si>
  <si>
    <t>ET002</t>
  </si>
  <si>
    <t>Etiqueta indicadora tornillo</t>
  </si>
  <si>
    <t>ETIQUETA INDICADORA TORNILLO</t>
  </si>
  <si>
    <t>ET003</t>
  </si>
  <si>
    <t>Etiqueta adevertencia temperatura</t>
  </si>
  <si>
    <t>ETIQUETA ADVERTENCIA TEMPERATURA</t>
  </si>
  <si>
    <t>ET004</t>
  </si>
  <si>
    <t>Etiqueta NÂ°de serie</t>
  </si>
  <si>
    <t>ETIQUETA NÂ° DE SERIE</t>
  </si>
  <si>
    <t>ET005</t>
  </si>
  <si>
    <t>ETIQUETA ESPECIFICACIONES ELECTRICAS</t>
  </si>
  <si>
    <t>ET-006</t>
  </si>
  <si>
    <t>ETIQUETA BASE MARBEL 400</t>
  </si>
  <si>
    <t>BASEMAR400</t>
  </si>
  <si>
    <t>ET007</t>
  </si>
  <si>
    <t>Etiqueta marca MOVI-VAC</t>
  </si>
  <si>
    <t>ETIQUETA MARCA MOVI-VAC</t>
  </si>
  <si>
    <t>ET008</t>
  </si>
  <si>
    <t>Etiqueta entrada fusible</t>
  </si>
  <si>
    <t>ETIQUETA ENTRADA-FUSIBLE</t>
  </si>
  <si>
    <t>ET009</t>
  </si>
  <si>
    <t>Etiqueta indicadora LEDS A-600</t>
  </si>
  <si>
    <t>ETIQUETA INDICADORA LEDS</t>
  </si>
  <si>
    <t>ET010</t>
  </si>
  <si>
    <t>ETIQUETA REGULACION VACIO</t>
  </si>
  <si>
    <t>ET011</t>
  </si>
  <si>
    <t>Etiqeuta indicadora de estado verde</t>
  </si>
  <si>
    <t>ETIQUETA INDICADORA DE ESTADO VERDE "OK"</t>
  </si>
  <si>
    <t>ET012</t>
  </si>
  <si>
    <t>Etiqueta indicadora de estado amarila</t>
  </si>
  <si>
    <t>ETIQUETA INDICADORA DE ESTADO AMARILLA "PEND.CONTROL"</t>
  </si>
  <si>
    <t>ET013</t>
  </si>
  <si>
    <t>Etiqueta indicadora de estado roja</t>
  </si>
  <si>
    <t>ETIQUETA INDICADORA DE ESTADO ROJA " NO CONFORME"</t>
  </si>
  <si>
    <t>ET014</t>
  </si>
  <si>
    <t>Etiqueta indicadora LEDS A-550</t>
  </si>
  <si>
    <t>ET015</t>
  </si>
  <si>
    <t>Etiqueta Frente control A-550</t>
  </si>
  <si>
    <t>ET016</t>
  </si>
  <si>
    <t>ETIQUETA ALIMENTACION EXTERNA</t>
  </si>
  <si>
    <t>ET017</t>
  </si>
  <si>
    <t>ETIQUETA ESPECIFICACIONES TECNICAS</t>
  </si>
  <si>
    <t>ET018</t>
  </si>
  <si>
    <t>Etiqueta ANMAT nro. de serie</t>
  </si>
  <si>
    <t>ETIQUETA ANMAT NRO DE SERIE</t>
  </si>
  <si>
    <t>ET019</t>
  </si>
  <si>
    <t>Etiqueta paciente</t>
  </si>
  <si>
    <t>ETIQUETA PACIENTE</t>
  </si>
  <si>
    <t>ET020</t>
  </si>
  <si>
    <t>Etiqueta A-220 frente superior</t>
  </si>
  <si>
    <t>ETIQUETA A-220 FRENTE SUPERIOR</t>
  </si>
  <si>
    <t>A-220</t>
  </si>
  <si>
    <t>ET021</t>
  </si>
  <si>
    <t>ETIQUETA A-220 SEPID (TAPA VACUOMETRO)</t>
  </si>
  <si>
    <t>ET022</t>
  </si>
  <si>
    <t>Etiqueta A-220 instrucciones de uso</t>
  </si>
  <si>
    <t>ETIQUETA A-220 FRENTE-INSTRUCCIONES DE USO</t>
  </si>
  <si>
    <t>ET023</t>
  </si>
  <si>
    <t>Etiqueta A-220 frasco</t>
  </si>
  <si>
    <t>ETIQUETA A-220 FRASCO</t>
  </si>
  <si>
    <t>ET024</t>
  </si>
  <si>
    <t>Etiqueta A-220 nÃºmero de serie</t>
  </si>
  <si>
    <t>ETIQUETA A-220 NUMERO DE SERIE</t>
  </si>
  <si>
    <t>ET025</t>
  </si>
  <si>
    <t>ETIQUETA A-220 ALIMENTACION EXTERNA</t>
  </si>
  <si>
    <t>ET026</t>
  </si>
  <si>
    <t>Etiqueta 38 x 20MM OPP VOID</t>
  </si>
  <si>
    <t>ETIQUETA 38X20MM OPP VOID</t>
  </si>
  <si>
    <t>SZNET</t>
  </si>
  <si>
    <t>XXXXX</t>
  </si>
  <si>
    <t>ET027</t>
  </si>
  <si>
    <t>ETIQUETA 40X30 MM PAPEL ILUSTRACION</t>
  </si>
  <si>
    <t>ET028</t>
  </si>
  <si>
    <t>ETIQUETA CALCO GENERICA</t>
  </si>
  <si>
    <t>ET100</t>
  </si>
  <si>
    <t>ETIQUETA 50X50 ILUSTRACION POR ROLLO 1000 UNIDADES</t>
  </si>
  <si>
    <t>ET101</t>
  </si>
  <si>
    <t>ETIQUETA 80X50 ILUSTRACION POR ROLLO 1000 UNIDADES</t>
  </si>
  <si>
    <t>ET102</t>
  </si>
  <si>
    <t>ETIQUETA 38X20 ILUSTRACION POR ROLLO 1000 UNIDADES</t>
  </si>
  <si>
    <t>ET103</t>
  </si>
  <si>
    <t>ETIQUETA 29X20 ILUSTRACION POR ROLLO 1000 UNIDADES</t>
  </si>
  <si>
    <t>FUENTE DE ALIMENTACION M1 MINI 19V1,26A</t>
  </si>
  <si>
    <t>CPAP GII</t>
  </si>
  <si>
    <t>Filtro de aire Incubadora Medix PC-305 Pack X4</t>
  </si>
  <si>
    <t>FILTRO DE AIRE INCUBADORA TR-305 (PACK X 4)</t>
  </si>
  <si>
    <t>FILTRO DE AIRE INCUBADORA TR-307 (PACK X 4)</t>
  </si>
  <si>
    <t>FLAPPER BOMBA DE VACIO MOVI VAC</t>
  </si>
  <si>
    <t>MOVI VAC A-550</t>
  </si>
  <si>
    <t>FR001</t>
  </si>
  <si>
    <t>Frasco Reservorio de 1000 cm3 p/aspirador KONSUNG</t>
  </si>
  <si>
    <t>FRASCO RESERVOREO P/ASPIRADOR KONGSUN</t>
  </si>
  <si>
    <t>FIORINO</t>
  </si>
  <si>
    <t>KONSUNG 7ED</t>
  </si>
  <si>
    <t>FR002</t>
  </si>
  <si>
    <t>Tapa porta frasco aspirador KONSUNG</t>
  </si>
  <si>
    <t>TAPA FRASCO RESERVOREO ASP.KONGSUN</t>
  </si>
  <si>
    <t>IN001</t>
  </si>
  <si>
    <t>VACUOMETRO DIAMETRO 52MM FIJ FRONTAL</t>
  </si>
  <si>
    <t>IN002</t>
  </si>
  <si>
    <t>LA001</t>
  </si>
  <si>
    <t>Labio sello de compresor de 66 MM</t>
  </si>
  <si>
    <t>LABIO SELLO DE COMPRESOR DE 66 MM</t>
  </si>
  <si>
    <t>JAY -5/JAY-5Q</t>
  </si>
  <si>
    <t>LA002</t>
  </si>
  <si>
    <t>Labio sello de compresor de 72 MM</t>
  </si>
  <si>
    <t>LABIO SELLO DE COMPRESOR DE 72 MM</t>
  </si>
  <si>
    <t>JAY -5/JAY-10</t>
  </si>
  <si>
    <t>LABIO DE BOMBA DE VACIO MOTORCOM</t>
  </si>
  <si>
    <t xml:space="preserve">MOVI VAC </t>
  </si>
  <si>
    <t>LO001</t>
  </si>
  <si>
    <t>Lote de tornillos</t>
  </si>
  <si>
    <t>LOTE DE TORNILLOS</t>
  </si>
  <si>
    <t>MAVITOR</t>
  </si>
  <si>
    <t>ME001</t>
  </si>
  <si>
    <t>Cable armado 220V</t>
  </si>
  <si>
    <t>CABLE ARMADO 220V</t>
  </si>
  <si>
    <t>CO214NE</t>
  </si>
  <si>
    <t>CODESIL</t>
  </si>
  <si>
    <t>ME002</t>
  </si>
  <si>
    <t>INTERRUPTOR TERMICO 95 Â°C</t>
  </si>
  <si>
    <t>B1009X-95</t>
  </si>
  <si>
    <t>ME003</t>
  </si>
  <si>
    <t>HOUSING 0,156 3 VIAS</t>
  </si>
  <si>
    <t>PHU3</t>
  </si>
  <si>
    <t>ME004</t>
  </si>
  <si>
    <t>Terminales P Housing x 1000</t>
  </si>
  <si>
    <t>TERMINALES P HOUSING</t>
  </si>
  <si>
    <t>PHUTL</t>
  </si>
  <si>
    <t>ME005</t>
  </si>
  <si>
    <t>HOUSING 0,156 5 VIAS</t>
  </si>
  <si>
    <t>PHU5</t>
  </si>
  <si>
    <t>ME006</t>
  </si>
  <si>
    <t>Fusible 5 x 20 MM 0.5A</t>
  </si>
  <si>
    <t>FUSIBLE 5 X 20 MM 0,5 AMPER</t>
  </si>
  <si>
    <t>ME007</t>
  </si>
  <si>
    <t>CLIP PORTAFUSIBLE P/PLAQUETA "Y" O "H"</t>
  </si>
  <si>
    <t>Clip portafusible p/plaqueta</t>
  </si>
  <si>
    <t>ME008</t>
  </si>
  <si>
    <t>Llave interrup. bisal boton frontal</t>
  </si>
  <si>
    <t>LLAVE INTERRUP. BISAL BOTON FRONTAL</t>
  </si>
  <si>
    <t>VANTRONIC S A</t>
  </si>
  <si>
    <t>ME009</t>
  </si>
  <si>
    <t>LAMPARA NEON MINIATURA</t>
  </si>
  <si>
    <t>ME010</t>
  </si>
  <si>
    <t>Header 0,156 90Â° 3 VIAS</t>
  </si>
  <si>
    <t>HEADER 0,156 90Â° 3 VIAS</t>
  </si>
  <si>
    <t>PW3R</t>
  </si>
  <si>
    <t>ME011</t>
  </si>
  <si>
    <t>Header 0,156 90Â° 5 VIAS</t>
  </si>
  <si>
    <t>HEADER 0,156 90Â° 5 VIAS</t>
  </si>
  <si>
    <t>PW5R</t>
  </si>
  <si>
    <t>ME012</t>
  </si>
  <si>
    <t>Calefactor 220 V 75 W</t>
  </si>
  <si>
    <t>CALEFACTOR 220V- 75 W</t>
  </si>
  <si>
    <t>OHMMICA</t>
  </si>
  <si>
    <t>ME013</t>
  </si>
  <si>
    <t>Cable vaina silicona 1 x 0.35</t>
  </si>
  <si>
    <t>CABLE VAINA SILICONA 1 X 0.35</t>
  </si>
  <si>
    <t>197-501</t>
  </si>
  <si>
    <t>ME-014</t>
  </si>
  <si>
    <t>PORTA FUSIBLE 5X20 P/IMPRESO C/TAPA</t>
  </si>
  <si>
    <t>ZH242</t>
  </si>
  <si>
    <t>ME015</t>
  </si>
  <si>
    <t>Porta fusible 5 x 20 p/panel</t>
  </si>
  <si>
    <t>PORTA FUSIBLE 5 X 20  P/PANEL</t>
  </si>
  <si>
    <t>ME016</t>
  </si>
  <si>
    <t>Cargador 12v p/auto MOVI VAC</t>
  </si>
  <si>
    <t>FUENTE DE ALIMENTACION EXT. 12V 5A</t>
  </si>
  <si>
    <t>ME017</t>
  </si>
  <si>
    <t>Llave de encendido bipolar rectangular</t>
  </si>
  <si>
    <t>LLAVE DE ENCENDIDO BIPOLAR RECTANGULAR</t>
  </si>
  <si>
    <t>LT-300</t>
  </si>
  <si>
    <t xml:space="preserve">MICROELECTRONICA </t>
  </si>
  <si>
    <t>CONECTOR TIPO JAPONES 2 VIAS MACHO A CHASIS</t>
  </si>
  <si>
    <t>Fusible 4A 5 x 20 MM</t>
  </si>
  <si>
    <t>ALAMTEC</t>
  </si>
  <si>
    <t>ME-019</t>
  </si>
  <si>
    <t>CONECTOR TIPO JAPONES 2 VIAS HEMBRA A CABLE</t>
  </si>
  <si>
    <t>MINI COMPRESOR 12 V ORIGEN CHINO</t>
  </si>
  <si>
    <t>AI 62</t>
  </si>
  <si>
    <t>T &amp; T</t>
  </si>
  <si>
    <t>ME021</t>
  </si>
  <si>
    <t>BATERIA GEL 6V 7 A/H</t>
  </si>
  <si>
    <t>SANTOS/ODARLUZ</t>
  </si>
  <si>
    <t>ME022</t>
  </si>
  <si>
    <t>Rele 2 vias TRA3 L - 12VDC-S-2Z</t>
  </si>
  <si>
    <t>RELE 2 VIAS TRA3 L-12VDC-S-2Z</t>
  </si>
  <si>
    <t>DIMEXAR/RADIO SET</t>
  </si>
  <si>
    <t>ME023</t>
  </si>
  <si>
    <t>HEADER 0,156 RECTO 3 VIAS</t>
  </si>
  <si>
    <t>PWO3S</t>
  </si>
  <si>
    <t>ME024</t>
  </si>
  <si>
    <t>Cable armado 220V 3 x 0.75 vaina redonda</t>
  </si>
  <si>
    <t>CABLE ARMADO 220V 3 X 075 V/REDONDA</t>
  </si>
  <si>
    <t>BASEMAR</t>
  </si>
  <si>
    <t>ME-025</t>
  </si>
  <si>
    <t>FUSIBLE 6 X 30 MM  8 A</t>
  </si>
  <si>
    <t>ME026</t>
  </si>
  <si>
    <t>Fusible minificha 7.5A</t>
  </si>
  <si>
    <t>FUSIBLE MINIFICHA 7.5A</t>
  </si>
  <si>
    <t>FMN075</t>
  </si>
  <si>
    <t>RON BAY</t>
  </si>
  <si>
    <t>ME-027</t>
  </si>
  <si>
    <t>LLAVE REDONDA C/LUZ UNIPOLAR</t>
  </si>
  <si>
    <t>BASEMAR 320/400</t>
  </si>
  <si>
    <t>ME-028</t>
  </si>
  <si>
    <t>TOMA DE ALIMENTACION DOBLE</t>
  </si>
  <si>
    <t>RICHI</t>
  </si>
  <si>
    <t>ME-029</t>
  </si>
  <si>
    <t>PRENSACABLE 1/2" COLOR GRIS</t>
  </si>
  <si>
    <t>PG 7</t>
  </si>
  <si>
    <t>ME030</t>
  </si>
  <si>
    <t>Fusible 2A 5X20 MM</t>
  </si>
  <si>
    <t>FUSIBLE 5 X 20 MM 2A</t>
  </si>
  <si>
    <t>ME-031</t>
  </si>
  <si>
    <t>PORTA FUSIBLE 6 X 30  P/PANEL</t>
  </si>
  <si>
    <t>ME032</t>
  </si>
  <si>
    <t>Terminales pala hembra 6.3 MM</t>
  </si>
  <si>
    <t>TERMINALES PALA HEMBRA 6.3 MM</t>
  </si>
  <si>
    <t>ME033</t>
  </si>
  <si>
    <t>Spaghetti termocontraible 6.4 MM</t>
  </si>
  <si>
    <t>SPAGHETTI TERMOCONTRAIBLE 6.4 MM</t>
  </si>
  <si>
    <t>ME034</t>
  </si>
  <si>
    <t>Spaghetti termocontraible 4 MM</t>
  </si>
  <si>
    <t>SPAGHETTI TERMOCONTRAIBLE 4 MM</t>
  </si>
  <si>
    <t>ME-035</t>
  </si>
  <si>
    <t>CABLE PARALELO 2 X 1.5 MM2 POLARIZADO</t>
  </si>
  <si>
    <t xml:space="preserve">MASER </t>
  </si>
  <si>
    <t>ME036</t>
  </si>
  <si>
    <t>Ficha macho encendedor automor</t>
  </si>
  <si>
    <t>FICHA MACHO ENCENDEDOR AUTOMOTOR</t>
  </si>
  <si>
    <t>ME037</t>
  </si>
  <si>
    <t>Ficha hembra encendedor automotor</t>
  </si>
  <si>
    <t>FICHA HEMBRA ENCENDEDOR AUTOMOTOR</t>
  </si>
  <si>
    <t>ME038</t>
  </si>
  <si>
    <t>Conector cocodrilo rojo</t>
  </si>
  <si>
    <t>CONECTOR COCODRILO ROJO</t>
  </si>
  <si>
    <t>ME039</t>
  </si>
  <si>
    <t>Conector cocodrilo negro</t>
  </si>
  <si>
    <t>CONECTOR COCODRILO NEGRO</t>
  </si>
  <si>
    <t>ME040</t>
  </si>
  <si>
    <t>Zocalo para circuito integrado 4 + 4 patas</t>
  </si>
  <si>
    <t>ZOCALO PARA CIRCUITO INTEGRADO 4 + 4 PATAS</t>
  </si>
  <si>
    <t>BATERIA GEL 6V 4 A/H</t>
  </si>
  <si>
    <t>ME-042</t>
  </si>
  <si>
    <t>CABLE 1 X 1 MM NEGRO</t>
  </si>
  <si>
    <t>CABLE 1 X 1 MM ROJO</t>
  </si>
  <si>
    <t>ME044</t>
  </si>
  <si>
    <t>Terminales pala hembra 5 MM</t>
  </si>
  <si>
    <t>TERMINALES PALA HEMBRA 5 MM</t>
  </si>
  <si>
    <t>ME045</t>
  </si>
  <si>
    <t>Fusible minificha 4 A</t>
  </si>
  <si>
    <t>FUSIBLE MINIFICHA 4 A</t>
  </si>
  <si>
    <t>Mini compresor 12V controls company</t>
  </si>
  <si>
    <t>MINI COMPRESOR 12 V CONTROLS COMPANY</t>
  </si>
  <si>
    <t>890 CA</t>
  </si>
  <si>
    <t>CONTROLS COMPANY</t>
  </si>
  <si>
    <t>ME-047</t>
  </si>
  <si>
    <t>INTERRUPTOR  UNIPOLAR REDONDO</t>
  </si>
  <si>
    <t>RS 102-8C</t>
  </si>
  <si>
    <t>ME048</t>
  </si>
  <si>
    <t>Fusible 4 A 5 X 20 MM</t>
  </si>
  <si>
    <t>FUSIBLE 5 X 20 MM 4 AMPER</t>
  </si>
  <si>
    <t>ME049</t>
  </si>
  <si>
    <t>Cable 1 X 0,5 MM Negro</t>
  </si>
  <si>
    <t>CABLE 1 X 0,5MM NEGRO</t>
  </si>
  <si>
    <t>ME050</t>
  </si>
  <si>
    <t>Cable 1 X 0,5 MM Rojo</t>
  </si>
  <si>
    <t>CABLE 1 X 0,5MM ROJO</t>
  </si>
  <si>
    <t>ME051</t>
  </si>
  <si>
    <t>Precinto de nylon modelo T1</t>
  </si>
  <si>
    <t>PRECINTO DE NYLON MODELO T1</t>
  </si>
  <si>
    <t>ME052</t>
  </si>
  <si>
    <t>Fusible minificha 3 A</t>
  </si>
  <si>
    <t>FUSIBLE MINIFICHA 3A</t>
  </si>
  <si>
    <t>FMN003</t>
  </si>
  <si>
    <t>FUENTE DE ALIMENTACION EXT. 12,5V 3A</t>
  </si>
  <si>
    <t>ME054</t>
  </si>
  <si>
    <t>Jack DC p/chasis</t>
  </si>
  <si>
    <t>JACK DC P/CHASIS</t>
  </si>
  <si>
    <t>JDC205-B</t>
  </si>
  <si>
    <t>ME055</t>
  </si>
  <si>
    <t>Calefactor 110 V 70 W</t>
  </si>
  <si>
    <t>CALEFACTOR 110V- 70 W</t>
  </si>
  <si>
    <t>ME056</t>
  </si>
  <si>
    <t>Mini compresor 220V controls company</t>
  </si>
  <si>
    <t>MINI COMPRESOR 220V CONTROLS COMPANY</t>
  </si>
  <si>
    <t xml:space="preserve">840-C 220-50 </t>
  </si>
  <si>
    <t>ME057</t>
  </si>
  <si>
    <t>Portafusible volante c/cables</t>
  </si>
  <si>
    <t>PORTAFUSIBLE VOLANTE C/CABLES</t>
  </si>
  <si>
    <t>PFA-520</t>
  </si>
  <si>
    <t>FUENTE DE ALIMENTACION GENERICA 12,5V 3A</t>
  </si>
  <si>
    <t>SW 12530</t>
  </si>
  <si>
    <t>FUENTE DE ALIMENTACION 24V 60W (PARA BMC)</t>
  </si>
  <si>
    <t>FSE60H24</t>
  </si>
  <si>
    <t>BMC GII</t>
  </si>
  <si>
    <t>CONVERTIDOR 12V A 24V 60W (PARA BMC)</t>
  </si>
  <si>
    <t>FCE60H 12-24X</t>
  </si>
  <si>
    <t>Bateria de gel 12V 2,9A</t>
  </si>
  <si>
    <t>BATERIA GEL 12V 2,9 A</t>
  </si>
  <si>
    <t>ME062</t>
  </si>
  <si>
    <t>Interruptor Bip. C/Neon 22X30</t>
  </si>
  <si>
    <t>INTERRUPTOR BIP. C/NEON 22X30</t>
  </si>
  <si>
    <t>ALC220</t>
  </si>
  <si>
    <t>M-ELEK</t>
  </si>
  <si>
    <t>ME063</t>
  </si>
  <si>
    <t>Capuchon Estanco p/Linea 1800</t>
  </si>
  <si>
    <t>CAPUCHON DE SILICONA P/INTERRUPTOR</t>
  </si>
  <si>
    <t>ALC250</t>
  </si>
  <si>
    <t>FUENTE DE ALIMENTACION DE 12V A 19V 1,3 A</t>
  </si>
  <si>
    <t>Convertidor 12V a 19V 1.3A Auto CPAP MINI</t>
  </si>
  <si>
    <t>FCE25H12-19X</t>
  </si>
  <si>
    <t xml:space="preserve">MINI </t>
  </si>
  <si>
    <t>ME065</t>
  </si>
  <si>
    <t>Resistencia Calefactora 95W 240V 66 x 53 mm</t>
  </si>
  <si>
    <t>CALEFACTOR 95W-240V</t>
  </si>
  <si>
    <t>66X53MM</t>
  </si>
  <si>
    <t>C500/C600</t>
  </si>
  <si>
    <t>ME066</t>
  </si>
  <si>
    <t>Transformador 9V 150 mA</t>
  </si>
  <si>
    <t>TRANSFORMADOR 220V 9V 150MA</t>
  </si>
  <si>
    <t>FBA ELECTRONICA</t>
  </si>
  <si>
    <t>ME067</t>
  </si>
  <si>
    <t>Calefactor 220V 80W</t>
  </si>
  <si>
    <t>CALEFACTOR 220V- 80 W</t>
  </si>
  <si>
    <t>ME068</t>
  </si>
  <si>
    <t>Fusible 3A 5X20 MM</t>
  </si>
  <si>
    <t>FUSIBLE 5 X 20 MM 3 AMPER</t>
  </si>
  <si>
    <t>SERVICE</t>
  </si>
  <si>
    <t>ME069</t>
  </si>
  <si>
    <t>Bateria Recargable NiCd 1800 mAh</t>
  </si>
  <si>
    <t>BATERIA RECARGABLE Ni-Cd 1800 mAh</t>
  </si>
  <si>
    <t>ME-070</t>
  </si>
  <si>
    <t>HEADER 0,156 RECTO 5 VIAS</t>
  </si>
  <si>
    <t>PWO5S</t>
  </si>
  <si>
    <t>ME-071</t>
  </si>
  <si>
    <t>ZOCALO PARA CIRCUITO INTEGRADO 9 + 9 PATAS</t>
  </si>
  <si>
    <t>ME-072</t>
  </si>
  <si>
    <t>ZOCALO PARA CIRCUITO INTEGRADO 10+10 PATAS</t>
  </si>
  <si>
    <t>Pack Bateria 3,6V 80mA Ni-Mh 2 Pines</t>
  </si>
  <si>
    <t>BATERIA (PACK) 60K 3,6V 80MA NI-MH 2 PINES</t>
  </si>
  <si>
    <t>JAY 5/JAY5Q</t>
  </si>
  <si>
    <t>ME074</t>
  </si>
  <si>
    <t>Pila alcarina AAA</t>
  </si>
  <si>
    <t>PILA 1,5V AAA</t>
  </si>
  <si>
    <t>PILA BOTON 3V CR-1220</t>
  </si>
  <si>
    <t>Fuente de alimentacion generica 19V1.4A M1 MINI</t>
  </si>
  <si>
    <t>FUENTE DE ALIMENTACION 100-220V 19V 1,3A (ESCRITORIO)</t>
  </si>
  <si>
    <t>FSE25H 19</t>
  </si>
  <si>
    <t>Bateria 9V standard</t>
  </si>
  <si>
    <t>BATERIA 9V ALCALINA (COMUN)</t>
  </si>
  <si>
    <t>CONCENTRADORES</t>
  </si>
  <si>
    <t>ME078</t>
  </si>
  <si>
    <t>Spaguetti termocontraible 3.2 mm</t>
  </si>
  <si>
    <t>SPAGHETTI TERMOCONTRAIBLE 3,2 MM</t>
  </si>
  <si>
    <t>WURTH</t>
  </si>
  <si>
    <t>ME079</t>
  </si>
  <si>
    <t>Spaguetti termocontraible 9.5 mm</t>
  </si>
  <si>
    <t>SPAGHETTI TERMOCONTRAIBLE 9,5 MM</t>
  </si>
  <si>
    <t>ME080</t>
  </si>
  <si>
    <t>Pila Alcalina AA</t>
  </si>
  <si>
    <t>PILA 1,5V AA</t>
  </si>
  <si>
    <t>BATERIA 6V 2,9 A/H</t>
  </si>
  <si>
    <t>PILA BOTON RECARGABLE LIR2450 3,6V</t>
  </si>
  <si>
    <t>ME083</t>
  </si>
  <si>
    <t>PILA BOTON 3V CR-2032</t>
  </si>
  <si>
    <t>DATA LOGGER</t>
  </si>
  <si>
    <t>FUENTE DE ALIMENTACION 220-19V 1,3 A (PARED)</t>
  </si>
  <si>
    <t>Cargador 12v p/auto mini M1</t>
  </si>
  <si>
    <t>FSA25H 19</t>
  </si>
  <si>
    <t>ME085</t>
  </si>
  <si>
    <t>Pila recargable 3.7V 2600 MA</t>
  </si>
  <si>
    <t>PILA 3,7 V 2600 MA SAMSUNG</t>
  </si>
  <si>
    <t>BATERIA GEL 6V 1,2 AH</t>
  </si>
  <si>
    <t>BATERIA GEL 12V 1,3 AH</t>
  </si>
  <si>
    <t>ME088</t>
  </si>
  <si>
    <t>PILA REC AA 2 AH</t>
  </si>
  <si>
    <t>Pila rec. AA 2000 MA/M</t>
  </si>
  <si>
    <t>ME089</t>
  </si>
  <si>
    <t>PACK DE BATERIAS LITIO 14,4 V 2000 mA</t>
  </si>
  <si>
    <t>NOTEBOOK</t>
  </si>
  <si>
    <t>ME090</t>
  </si>
  <si>
    <t>PILA BOTON CR1220</t>
  </si>
  <si>
    <t>MONITOR EDAN</t>
  </si>
  <si>
    <t>ME091</t>
  </si>
  <si>
    <t>Terminal Pala Macho 6MM</t>
  </si>
  <si>
    <t>TERMINAL PALA MACHO 6MM</t>
  </si>
  <si>
    <t>ME092</t>
  </si>
  <si>
    <t>Pila Litio 3V BR1225</t>
  </si>
  <si>
    <t>PILA LITIO 3V BR 1225</t>
  </si>
  <si>
    <t>MN001</t>
  </si>
  <si>
    <t>Manual de uso C-500</t>
  </si>
  <si>
    <t>MANUAL DE USO C-500</t>
  </si>
  <si>
    <t>DURKER</t>
  </si>
  <si>
    <t>MN002</t>
  </si>
  <si>
    <t>Manual de uso A-550</t>
  </si>
  <si>
    <t>MANUAL DE USO A-550</t>
  </si>
  <si>
    <t>MN003</t>
  </si>
  <si>
    <t>Manual de uso A-220</t>
  </si>
  <si>
    <t>MANUAL DE USO A-220</t>
  </si>
  <si>
    <t>MO001</t>
  </si>
  <si>
    <t>Canister ciolita JAY-5</t>
  </si>
  <si>
    <t>CANISTER CIOLITA JAY-5</t>
  </si>
  <si>
    <t>JAY-5</t>
  </si>
  <si>
    <t>Canister ciolita JAY-5Q</t>
  </si>
  <si>
    <t>CANISTER CIOLITA JAY-5 Q</t>
  </si>
  <si>
    <t>MO003</t>
  </si>
  <si>
    <t>Canister Ciolita JAY-10</t>
  </si>
  <si>
    <t>CANISTER CIOLITA JAY-10</t>
  </si>
  <si>
    <t>JAY-10</t>
  </si>
  <si>
    <t>MO004</t>
  </si>
  <si>
    <t>CANISTER CIOLITA JAY-10D(PORTATIL)</t>
  </si>
  <si>
    <t>JAY-10D</t>
  </si>
  <si>
    <t>MO005</t>
  </si>
  <si>
    <t>Canister EVERFLO</t>
  </si>
  <si>
    <t>MP001</t>
  </si>
  <si>
    <t>Resina Epoxi</t>
  </si>
  <si>
    <t>RESINA EPOXI</t>
  </si>
  <si>
    <t>DELTA GLASS</t>
  </si>
  <si>
    <t>MP002</t>
  </si>
  <si>
    <t>Carcaza superior C-500</t>
  </si>
  <si>
    <t>CARCAZA SUPERIOR</t>
  </si>
  <si>
    <t>RUN VAC</t>
  </si>
  <si>
    <t>MP003</t>
  </si>
  <si>
    <t>Carcaza inferior C-500</t>
  </si>
  <si>
    <t>CARCAZA INFERIOR</t>
  </si>
  <si>
    <t>MP004</t>
  </si>
  <si>
    <t>Carcaza lateral C-500</t>
  </si>
  <si>
    <t>CARCAZA LATERAL</t>
  </si>
  <si>
    <t>MP005</t>
  </si>
  <si>
    <t>CONECTOR ROSC/H 1/4" Y ESPIGA 1/4"</t>
  </si>
  <si>
    <t>Conector ROSC/H 1/4</t>
  </si>
  <si>
    <t>CH 1414</t>
  </si>
  <si>
    <t>INDUSTRIAS PLAS</t>
  </si>
  <si>
    <t>MP006</t>
  </si>
  <si>
    <t>CONECTOR ROSC/M 1/4" Y ESPIGA 1/4"</t>
  </si>
  <si>
    <t>Conector ROSC/M 1/4</t>
  </si>
  <si>
    <t>C 1414</t>
  </si>
  <si>
    <t>MP007</t>
  </si>
  <si>
    <t>CONECTOR ROSC/M 1/8" Y ESPIGA 1/4"</t>
  </si>
  <si>
    <t>Conector ROSC/M 1/8</t>
  </si>
  <si>
    <t>C 1814</t>
  </si>
  <si>
    <t>MP008</t>
  </si>
  <si>
    <t>TE triple ESPIGA 1/4</t>
  </si>
  <si>
    <t>TE TRIPLE ESPIGA 1/4 "</t>
  </si>
  <si>
    <t>TTE 14</t>
  </si>
  <si>
    <t>MP009</t>
  </si>
  <si>
    <t>TE C/ 2 ESPIGAS 1/4" ROSCA 1/8"</t>
  </si>
  <si>
    <t>TE C/ 2 ESPIGAS 1/4</t>
  </si>
  <si>
    <t>TM 141814</t>
  </si>
  <si>
    <t>MP-010</t>
  </si>
  <si>
    <t>CARCAZA SUPERIOR ASPIRADOR</t>
  </si>
  <si>
    <t>MP-011</t>
  </si>
  <si>
    <t>TAPA INFERIOR ASPIRADOR</t>
  </si>
  <si>
    <t>MP012</t>
  </si>
  <si>
    <t>PERILLA PLASTICA</t>
  </si>
  <si>
    <t>C21</t>
  </si>
  <si>
    <t>KRAEFFT</t>
  </si>
  <si>
    <t>CARCAZA SUPERIOR BASE MARBEL 320</t>
  </si>
  <si>
    <t>BASEMAR 320</t>
  </si>
  <si>
    <t>CARCAZA INFERIOR BASE MARBEL 320</t>
  </si>
  <si>
    <t>CARCAZA SUPERIOR BASE MARBEL GRANDE</t>
  </si>
  <si>
    <t>BASEMAR 400</t>
  </si>
  <si>
    <t>CARCAZA INFERIOR BASE MARBEL GRANDE</t>
  </si>
  <si>
    <t>MP017</t>
  </si>
  <si>
    <t>JARRA ASPIRADOR PLASTICA</t>
  </si>
  <si>
    <t>OUTLANDISH</t>
  </si>
  <si>
    <t>MP018</t>
  </si>
  <si>
    <t>Codo C/ESPIGA ROSC/M 1/8</t>
  </si>
  <si>
    <t>CODO C/ESPIGA ROSC/M 1/8"</t>
  </si>
  <si>
    <t>CDM1418</t>
  </si>
  <si>
    <t>MP019</t>
  </si>
  <si>
    <t>CUPLA 1/8</t>
  </si>
  <si>
    <t>CUPLA 1/8"</t>
  </si>
  <si>
    <t>CU 18</t>
  </si>
  <si>
    <t>MP020</t>
  </si>
  <si>
    <t>"Y" 3 X 1/4</t>
  </si>
  <si>
    <t>Y 14</t>
  </si>
  <si>
    <t>MP021</t>
  </si>
  <si>
    <t>Manguera cristal 6.3 MM</t>
  </si>
  <si>
    <t>MANGUERA CRISTAL 6.3MM</t>
  </si>
  <si>
    <t>T63</t>
  </si>
  <si>
    <t>MEDIBEL</t>
  </si>
  <si>
    <t>MP022</t>
  </si>
  <si>
    <t>Manguera cristal 5 X 8 MM</t>
  </si>
  <si>
    <t>MANGUERA CRISTAL 5 X 8 MM</t>
  </si>
  <si>
    <t>5X8</t>
  </si>
  <si>
    <t>MP023</t>
  </si>
  <si>
    <t>Manguera cristal 3 X 7 MM</t>
  </si>
  <si>
    <t>MANGUERA CRISTAL 3 X 7 MM</t>
  </si>
  <si>
    <t>3X7</t>
  </si>
  <si>
    <t>PLACA PLASTICA SOPORTE ELECTRONICA</t>
  </si>
  <si>
    <t>MP025</t>
  </si>
  <si>
    <t>Separador p/plaqueta</t>
  </si>
  <si>
    <t>SEPARADOR P/PLAQUETA</t>
  </si>
  <si>
    <t>MAE-8T</t>
  </si>
  <si>
    <t>SYC</t>
  </si>
  <si>
    <t>MP026</t>
  </si>
  <si>
    <t>PRECINTO PLASTICO 4.7 X 250</t>
  </si>
  <si>
    <t>MP027</t>
  </si>
  <si>
    <t>CARCAZA PLASTICA MOVI-VAC FASE 2</t>
  </si>
  <si>
    <t>MP028</t>
  </si>
  <si>
    <t>SOPORTE DE PLAQUETA PLASTICO</t>
  </si>
  <si>
    <t>MP-029</t>
  </si>
  <si>
    <t>PRECINTO PLASTICOS 250 MM</t>
  </si>
  <si>
    <t>MP030</t>
  </si>
  <si>
    <t>CODO COMBINADO 3/16" X 1/8"</t>
  </si>
  <si>
    <t>Codo combinado 3/16</t>
  </si>
  <si>
    <t>CDM31618</t>
  </si>
  <si>
    <t>MP031</t>
  </si>
  <si>
    <t>TE triple ESPIGA 3/16</t>
  </si>
  <si>
    <t>TE TRIPLE ESPIGA 3/16"</t>
  </si>
  <si>
    <t>TEE 3/16</t>
  </si>
  <si>
    <t>MP032</t>
  </si>
  <si>
    <t>Conector hembra p/vacuometro 1/8 a macho 3/16</t>
  </si>
  <si>
    <t>CONECTOR HEMBRA P/VACUOMETRO 1/8 A MACHO 3/16</t>
  </si>
  <si>
    <t>CH 18316</t>
  </si>
  <si>
    <t>MP-033</t>
  </si>
  <si>
    <t>MALLA PLASTICA MOSQUITERO</t>
  </si>
  <si>
    <t>MP034</t>
  </si>
  <si>
    <t>CONECTOR HEMBRA  1/4 A MACHO 3/16</t>
  </si>
  <si>
    <t>Conector hembra</t>
  </si>
  <si>
    <t>CH14316</t>
  </si>
  <si>
    <t>MP-035</t>
  </si>
  <si>
    <t>CARCAZA FRENTE ASPIRADOR</t>
  </si>
  <si>
    <t>MP-036</t>
  </si>
  <si>
    <t>CARCAZA POSTERIOR ASPIRADOR</t>
  </si>
  <si>
    <t>MP037</t>
  </si>
  <si>
    <t>Conector hembra 1/8 TOMA GOMA 1/4</t>
  </si>
  <si>
    <t>CONECTOR HEMBRA 1/8 TOMA GOMA 1/4</t>
  </si>
  <si>
    <t>CH1814</t>
  </si>
  <si>
    <t>MP038</t>
  </si>
  <si>
    <t>Carcaza frente aspirador</t>
  </si>
  <si>
    <t>A-550/A-220</t>
  </si>
  <si>
    <t>MP039</t>
  </si>
  <si>
    <t>Carcaza posterior aspirador</t>
  </si>
  <si>
    <t>MP040</t>
  </si>
  <si>
    <t>SOPORTE PLASTICO DE FRASCO RECOLECTOR</t>
  </si>
  <si>
    <t>Polietileno 8 MM espesor</t>
  </si>
  <si>
    <t>MP041</t>
  </si>
  <si>
    <t>MANGUERA SILICONA 5 X 9 MM / 6 X 10MM</t>
  </si>
  <si>
    <t>Manguera Silicona 5x9 mm</t>
  </si>
  <si>
    <t>GSM</t>
  </si>
  <si>
    <t>CARCAZA SUPERIOR C-600</t>
  </si>
  <si>
    <t>MP-043</t>
  </si>
  <si>
    <t>CARCAZA INFERIOR C-600</t>
  </si>
  <si>
    <t>MP-044</t>
  </si>
  <si>
    <t>CARCAZA LATERAL C-600</t>
  </si>
  <si>
    <t>MP045</t>
  </si>
  <si>
    <t>Soporte Jack PVC impreso A-550</t>
  </si>
  <si>
    <t>SOPORTE JACK PVC IMPRESO A-550/A-220</t>
  </si>
  <si>
    <t>TOMAS</t>
  </si>
  <si>
    <t>MP046</t>
  </si>
  <si>
    <t>Guia plastico Impreso preset marbel</t>
  </si>
  <si>
    <t>GUIA PLASTICA DE PRESET AJUSTE TEMPERATURA</t>
  </si>
  <si>
    <t>MP047</t>
  </si>
  <si>
    <t>Soporte Valvula de Vacio Movi Vac(Reparacion)</t>
  </si>
  <si>
    <t>SOPORTE VALVULA VACIO (REPARACION)</t>
  </si>
  <si>
    <t>MP-048</t>
  </si>
  <si>
    <t>CODO DOBLE ESPIGA</t>
  </si>
  <si>
    <t>CDE38</t>
  </si>
  <si>
    <t>SERVICIO TECNICO</t>
  </si>
  <si>
    <t>MP049</t>
  </si>
  <si>
    <t>Soporte compresor Movi Vac</t>
  </si>
  <si>
    <t>SOPORTE PLASTICO COMPRESOR NUEVO</t>
  </si>
  <si>
    <t>MP050</t>
  </si>
  <si>
    <t>Polietileno 8 mm Espesor</t>
  </si>
  <si>
    <t>POLIETILENO 8MM ESPESOR</t>
  </si>
  <si>
    <t>GENERAL AISLANTE</t>
  </si>
  <si>
    <t>A550</t>
  </si>
  <si>
    <t>MV-001</t>
  </si>
  <si>
    <t>TIRA DE VELCRO</t>
  </si>
  <si>
    <t>MV002</t>
  </si>
  <si>
    <t>Cinta autoadhesiva esponja doble faz</t>
  </si>
  <si>
    <t>CINTA AUTOADHESIVA ESPONJA DOBLE FAZ</t>
  </si>
  <si>
    <t>PORTA FILTRO CPAP/BPAP GII BMC</t>
  </si>
  <si>
    <t>CPAP  GII</t>
  </si>
  <si>
    <t>PK001</t>
  </si>
  <si>
    <t>Placa fuente CPAP G1</t>
  </si>
  <si>
    <t>PLACA FUENTE CPAP G1 (POWER ADAPTER)</t>
  </si>
  <si>
    <t>CPAP  G1</t>
  </si>
  <si>
    <t>Placa principal CPAP G1</t>
  </si>
  <si>
    <t>PLACA PRINCIPAL CPAP G1 (MAIN PCBA)</t>
  </si>
  <si>
    <t>PM001</t>
  </si>
  <si>
    <t>SOPORTE MASTIL PLEGADO COMPLETO</t>
  </si>
  <si>
    <t>FABRIMAR</t>
  </si>
  <si>
    <t>PM-002</t>
  </si>
  <si>
    <t>SOPORTE RESPIRADOR PLEGADO S/GRAMPA</t>
  </si>
  <si>
    <t>GRAMPA SOPORTE PARA RESPIRADOR</t>
  </si>
  <si>
    <t>Armado de placa electronica C-500</t>
  </si>
  <si>
    <t>ARMADO EXTERNO PLACA C-500</t>
  </si>
  <si>
    <t>MICROPIK</t>
  </si>
  <si>
    <t>Armado de placa electronica A-550</t>
  </si>
  <si>
    <t>ARMADO EXTERNO PLACA A-550</t>
  </si>
  <si>
    <t>PR-003</t>
  </si>
  <si>
    <t>TRATAMIENTO DE ANODIZADO DISCO CALEFACTOR</t>
  </si>
  <si>
    <t>ANODIZADOS MONTI</t>
  </si>
  <si>
    <t>PS001</t>
  </si>
  <si>
    <t>Pata de goma C-500</t>
  </si>
  <si>
    <t>PATA DE GOMA</t>
  </si>
  <si>
    <t>806 B</t>
  </si>
  <si>
    <t>TODOGOMA</t>
  </si>
  <si>
    <t>PS002</t>
  </si>
  <si>
    <t>Contrapeso</t>
  </si>
  <si>
    <t>CONTRAPESO</t>
  </si>
  <si>
    <t>PS-006</t>
  </si>
  <si>
    <t>PASACABLE PLASTICO</t>
  </si>
  <si>
    <t>CABLES &amp; FICHAS</t>
  </si>
  <si>
    <t>PS007</t>
  </si>
  <si>
    <t>Soporte interno</t>
  </si>
  <si>
    <t>SOPORTE INTERNO</t>
  </si>
  <si>
    <t>PS009</t>
  </si>
  <si>
    <t>PORTA CALEFACTOR (COD SCIACCA 528001)</t>
  </si>
  <si>
    <t>Porta calefactor</t>
  </si>
  <si>
    <t>SIACA/MONTI</t>
  </si>
  <si>
    <t>PS010</t>
  </si>
  <si>
    <t>Grampa 1/2 OMEGA</t>
  </si>
  <si>
    <t>GRAMPA 1/2 OMEGA</t>
  </si>
  <si>
    <t>GA-TA</t>
  </si>
  <si>
    <t>PS013</t>
  </si>
  <si>
    <t>PERILLA PLASTICA P/POTENCIOMETRO</t>
  </si>
  <si>
    <t>PS014</t>
  </si>
  <si>
    <t>SOPORTE POTENCIOMETRO</t>
  </si>
  <si>
    <t>PS015</t>
  </si>
  <si>
    <t>Soporte plaqueta</t>
  </si>
  <si>
    <t>SOPORTE PLAQUETA</t>
  </si>
  <si>
    <t>FABRICA</t>
  </si>
  <si>
    <t>PS016</t>
  </si>
  <si>
    <t>Labio de silicona</t>
  </si>
  <si>
    <t>LABIO DE SILICONA</t>
  </si>
  <si>
    <t>FERRIN</t>
  </si>
  <si>
    <t>PS017</t>
  </si>
  <si>
    <t>Contenedor calefactor</t>
  </si>
  <si>
    <t>CONTENEDOR CALEFACTOR</t>
  </si>
  <si>
    <t>PS018</t>
  </si>
  <si>
    <t>SOPORTE PLASTICO CALEFACTOR</t>
  </si>
  <si>
    <t>RAUL FERNANDEZ</t>
  </si>
  <si>
    <t>PS019</t>
  </si>
  <si>
    <t>Manija de traslado (PUENTE CROMO 96MM)</t>
  </si>
  <si>
    <t>MANIJA DE TRASLADO</t>
  </si>
  <si>
    <t>PUENTE CROMO 96MM</t>
  </si>
  <si>
    <t>HERREAJES IAN</t>
  </si>
  <si>
    <t>PS-020</t>
  </si>
  <si>
    <t>SOPORTE INTERIOR MANIJA</t>
  </si>
  <si>
    <t xml:space="preserve">1 1/4 X 2 </t>
  </si>
  <si>
    <t>SOPORTE BASE</t>
  </si>
  <si>
    <t>PS-022</t>
  </si>
  <si>
    <t>GRAMPA FIJACION INOX. 130MM</t>
  </si>
  <si>
    <t>PS-023</t>
  </si>
  <si>
    <t>PICO SALIDA VACIO</t>
  </si>
  <si>
    <t>PS-024</t>
  </si>
  <si>
    <t>OÂ´RING</t>
  </si>
  <si>
    <t>2-015</t>
  </si>
  <si>
    <t>SILENT BLOCK COMPRESOR</t>
  </si>
  <si>
    <t>PS-026</t>
  </si>
  <si>
    <t>PS-027</t>
  </si>
  <si>
    <t>BUJE ADAPTADOR SILENCIADOR</t>
  </si>
  <si>
    <t>VALVULA HONGO</t>
  </si>
  <si>
    <t>PS-029</t>
  </si>
  <si>
    <t>VALVULA ARANDELA</t>
  </si>
  <si>
    <t>PS-030</t>
  </si>
  <si>
    <t>PORTA VALVULAS</t>
  </si>
  <si>
    <t>PS-031</t>
  </si>
  <si>
    <t>2-008</t>
  </si>
  <si>
    <t>PS-032</t>
  </si>
  <si>
    <t>ARO FIJADOR DE CANISTER</t>
  </si>
  <si>
    <t>PS-033</t>
  </si>
  <si>
    <t>CONO SOPORTE DE ARO CANISTER</t>
  </si>
  <si>
    <t>PS-034</t>
  </si>
  <si>
    <t>CONECTOR  BCE. VACUOMETRO 3/8" NF</t>
  </si>
  <si>
    <t>SERMAX</t>
  </si>
  <si>
    <t>PS-035</t>
  </si>
  <si>
    <t>SILENCIADOR ROSCA 1/8</t>
  </si>
  <si>
    <t>SANITARIOS BELLI</t>
  </si>
  <si>
    <t>PS-036</t>
  </si>
  <si>
    <t>2-205</t>
  </si>
  <si>
    <t>PS-037</t>
  </si>
  <si>
    <t>GOMA ESPONJA 8 X 20 MM X 70MM</t>
  </si>
  <si>
    <t>PS-038</t>
  </si>
  <si>
    <t>TAPA POSTERIOR PINTADO NEGRO</t>
  </si>
  <si>
    <t>SERMETALES</t>
  </si>
  <si>
    <t>SOPORTE INTERNO BATERIA/MOTOR</t>
  </si>
  <si>
    <t>PS-040</t>
  </si>
  <si>
    <t>GOMA ESPONJA 10 X 20 MM</t>
  </si>
  <si>
    <t>PS041</t>
  </si>
  <si>
    <t>SOPORTE FIJACION CANISTER</t>
  </si>
  <si>
    <t>PS042</t>
  </si>
  <si>
    <t>SOPORTE FIJACION RESPIRADOR</t>
  </si>
  <si>
    <t>PS043</t>
  </si>
  <si>
    <t>Pieza 1 soporte mastil</t>
  </si>
  <si>
    <t>PIEZA 1 SOPORTE MASTIL</t>
  </si>
  <si>
    <t>PS044</t>
  </si>
  <si>
    <t>Pieza 2 soporte mastil</t>
  </si>
  <si>
    <t>PIEZA 2 SOPORTE MASTIL</t>
  </si>
  <si>
    <t>PS045</t>
  </si>
  <si>
    <t>Pieza 3 soporte mastil</t>
  </si>
  <si>
    <t>PIEZA 3 SOPORTE MASTIL</t>
  </si>
  <si>
    <t>PS046</t>
  </si>
  <si>
    <t>Remache POP 3 MM</t>
  </si>
  <si>
    <t>REMACHE POP 3 MM</t>
  </si>
  <si>
    <t>PS047</t>
  </si>
  <si>
    <t>Manija de traslado (PUENTE CROMO 5/16 X 104MM)</t>
  </si>
  <si>
    <t>PUENTE CROMO 5/16 X 104MM</t>
  </si>
  <si>
    <t>PS-048</t>
  </si>
  <si>
    <t>SOPORTE FRASCO COLECTOR DIAMETRO 5 MM</t>
  </si>
  <si>
    <t>PS049</t>
  </si>
  <si>
    <t>Filtro aspirador (Silfab)</t>
  </si>
  <si>
    <t>FILTRO ASPIRADOR SILFAB</t>
  </si>
  <si>
    <t>SOPORTE SUPERIOR COMPRESOR</t>
  </si>
  <si>
    <t>SOPORTE INFERIOR COMPRESOR</t>
  </si>
  <si>
    <t>PS-052</t>
  </si>
  <si>
    <t>SOPORTE TOMAGOMA</t>
  </si>
  <si>
    <t>PS053</t>
  </si>
  <si>
    <t>PATA DE GOMA CENTRAL</t>
  </si>
  <si>
    <t>Pata de goma A-550</t>
  </si>
  <si>
    <t>ART. HG 4223</t>
  </si>
  <si>
    <t>HERGOMA</t>
  </si>
  <si>
    <t>PS054</t>
  </si>
  <si>
    <t>Articulo cabiado de codigo</t>
  </si>
  <si>
    <t>PS055</t>
  </si>
  <si>
    <t>Soporte Interno Contrapeso</t>
  </si>
  <si>
    <t>SOPORTE INTERIOR Y CONTRAPESO</t>
  </si>
  <si>
    <t>PS056</t>
  </si>
  <si>
    <t>O`RING 2-108</t>
  </si>
  <si>
    <t>2-108</t>
  </si>
  <si>
    <t>TECNO SAN MARTIN</t>
  </si>
  <si>
    <t>PS057</t>
  </si>
  <si>
    <t>O`RING 2-105</t>
  </si>
  <si>
    <t>OÂ´RING (ALTERNATIVA 2009)</t>
  </si>
  <si>
    <t>2-105</t>
  </si>
  <si>
    <t>Filtro Aspirador MoviVac Original</t>
  </si>
  <si>
    <t>FILTRO ASPIRADOR SEPID</t>
  </si>
  <si>
    <t>PICBORG</t>
  </si>
  <si>
    <t>PS059</t>
  </si>
  <si>
    <t>Soporte vacuometro Wika</t>
  </si>
  <si>
    <t>SOPORTE VACUOMETRO WIKA</t>
  </si>
  <si>
    <t>PS060</t>
  </si>
  <si>
    <t>OÂ´Ring de nitrilo A-032</t>
  </si>
  <si>
    <t>2-032</t>
  </si>
  <si>
    <t>PS061</t>
  </si>
  <si>
    <t>OÂ´Ring de nitrilo 2-018</t>
  </si>
  <si>
    <t>2-018</t>
  </si>
  <si>
    <t>PS-062</t>
  </si>
  <si>
    <t>SOPORTE RUEDAS JAY-5</t>
  </si>
  <si>
    <t>Rodamiento 30 x 55 SKF</t>
  </si>
  <si>
    <t>RODAMIENTO 30 X 55 SKF O SIMILAR</t>
  </si>
  <si>
    <t>RODAMIENTOS SAAVEDRA</t>
  </si>
  <si>
    <t>Rodamiento 26x9x8</t>
  </si>
  <si>
    <t>RODAMIENTO 26X9X8 SKF O SIMILAR</t>
  </si>
  <si>
    <t>JAY-5AW</t>
  </si>
  <si>
    <t>RE001</t>
  </si>
  <si>
    <t>Resorte F 52</t>
  </si>
  <si>
    <t>RESORTE F 52</t>
  </si>
  <si>
    <t>RESORTECNICA</t>
  </si>
  <si>
    <t>RE-003</t>
  </si>
  <si>
    <t>RESORTE DIAMETRO 5 MM</t>
  </si>
  <si>
    <t>30CM</t>
  </si>
  <si>
    <t>RO001</t>
  </si>
  <si>
    <t>Rollo Cinta Impresora Cera Regular</t>
  </si>
  <si>
    <t>ROLLO CERA REGULAR P/IMPRESORA</t>
  </si>
  <si>
    <t>IMPRESORA</t>
  </si>
  <si>
    <t>RO002</t>
  </si>
  <si>
    <t>Rollo Cinta Impresora Etiquera Void</t>
  </si>
  <si>
    <t>ROLLO P/IMPRESORA TIPO VOID</t>
  </si>
  <si>
    <t>VOID</t>
  </si>
  <si>
    <t>RP101</t>
  </si>
  <si>
    <t>Filtro de salida (10PKS)</t>
  </si>
  <si>
    <t>RP102</t>
  </si>
  <si>
    <t>Llave Inglesa</t>
  </si>
  <si>
    <t>RP107</t>
  </si>
  <si>
    <t>Kit de reemplazo del filtro de salida</t>
  </si>
  <si>
    <t>RP301</t>
  </si>
  <si>
    <t>RP321</t>
  </si>
  <si>
    <t>Canister ciolita G3 (Kit para recambio)</t>
  </si>
  <si>
    <t>CANISTER CIOLITA G3 HF (KIT PARA RECAMBIO)</t>
  </si>
  <si>
    <t>RP400</t>
  </si>
  <si>
    <t>Filtro parcial bruto GS</t>
  </si>
  <si>
    <t>RP401</t>
  </si>
  <si>
    <t>Filtro de entrada GS</t>
  </si>
  <si>
    <t>RS001</t>
  </si>
  <si>
    <t>Resistencia MF 1 % 1/4 W 4K7</t>
  </si>
  <si>
    <t>RESISTENCIA MF 1 % 1/4 W 4K7</t>
  </si>
  <si>
    <t>RS002</t>
  </si>
  <si>
    <t>Resistencia MF 1 % 1/4 W 22K</t>
  </si>
  <si>
    <t>RESISTENCIA MF 1 % 1/4 W 22K</t>
  </si>
  <si>
    <t>RS003</t>
  </si>
  <si>
    <t>Resistencia MF 1 % 1/4 W 47K</t>
  </si>
  <si>
    <t>RESISTENCIA MF 1 % 1/4 W 47K</t>
  </si>
  <si>
    <t>RS004</t>
  </si>
  <si>
    <t>Resistencia MF 1 % 1/4 W 12K</t>
  </si>
  <si>
    <t>RESISTENCIA MF 1 % 1/4 W 12K</t>
  </si>
  <si>
    <t>RS005</t>
  </si>
  <si>
    <t>Resistencia MF 1 % 1/4 W 10K</t>
  </si>
  <si>
    <t>RESISTENCIA MF 1 % 1/4 W 10K</t>
  </si>
  <si>
    <t>RS006</t>
  </si>
  <si>
    <t>Resistencia MF 1 % 1/4 W 100K</t>
  </si>
  <si>
    <t>RESISTENCIA MF 1 % 1/4 W 100K</t>
  </si>
  <si>
    <t>RS007</t>
  </si>
  <si>
    <t>Resistencia MF 1 % 1/4 W 33K</t>
  </si>
  <si>
    <t>RESISTENCIA MF 1 % 1/4 W 33K</t>
  </si>
  <si>
    <t>RS008</t>
  </si>
  <si>
    <t>RESISTENCIA CERAMICA 8K2 5W</t>
  </si>
  <si>
    <t>RS010</t>
  </si>
  <si>
    <t>POTENCIOMETRO MINIATURA 5K LIN</t>
  </si>
  <si>
    <t>PLMI 5K</t>
  </si>
  <si>
    <t>RS011</t>
  </si>
  <si>
    <t>Preset cermet 2K2</t>
  </si>
  <si>
    <t>PRESET CERMET 2K2</t>
  </si>
  <si>
    <t>3386W</t>
  </si>
  <si>
    <t>RS012</t>
  </si>
  <si>
    <t>Resistencia MF 1 % 1/4 W 270 OHM</t>
  </si>
  <si>
    <t>RESISTENCIA MF 1 % 1/4 W 270 OHM</t>
  </si>
  <si>
    <t>RS013</t>
  </si>
  <si>
    <t>Resistencia MF 1 % 1/4 W 330 OHM</t>
  </si>
  <si>
    <t>RESISTENCIA MF 1 % 1/4 W 330 OHM</t>
  </si>
  <si>
    <t>RS014</t>
  </si>
  <si>
    <t>Resistencia  MF 1 % 1/4 W 100 OHM</t>
  </si>
  <si>
    <t>RESISTENCIA MF 1 % 1/4 W 100 OHM</t>
  </si>
  <si>
    <t>RS015</t>
  </si>
  <si>
    <t>Resistencia MF 1 % 1/4 W 330K</t>
  </si>
  <si>
    <t>RESISTENCIA MF 1 % 1/4 W 330K</t>
  </si>
  <si>
    <t>RS016</t>
  </si>
  <si>
    <t>Resistencia MF 1 % 1/4 W 8K2</t>
  </si>
  <si>
    <t>RESISTENCIA MF 1 % 1/4 W 8K2</t>
  </si>
  <si>
    <t>RS017</t>
  </si>
  <si>
    <t>Resistencia MF 1 % 1/4 W 1K</t>
  </si>
  <si>
    <t>RESISTENCIA MF 1 % 1/4 W 1K</t>
  </si>
  <si>
    <t>RS018</t>
  </si>
  <si>
    <t>Resistencia MF 1 % 1/4 W 470K</t>
  </si>
  <si>
    <t>RESISTENCIA MF 1 % 1/4 W 470K</t>
  </si>
  <si>
    <t>RS019</t>
  </si>
  <si>
    <t>Resistencia MF 1 % 1/4 W 64K</t>
  </si>
  <si>
    <t>RESISTENCIA MF 1 % 1/4 W 64K</t>
  </si>
  <si>
    <t>RS020</t>
  </si>
  <si>
    <t>Resistencia MF 1 % 1/4 W 2K2</t>
  </si>
  <si>
    <t>RESISTENCIA MF 1 % 1/4 W 2K2</t>
  </si>
  <si>
    <t>RS021</t>
  </si>
  <si>
    <t>RESISTENCIA CERAMICA 4.7 OHM  5W</t>
  </si>
  <si>
    <t>RS022</t>
  </si>
  <si>
    <t>Resistencia MF 1 % 1/4 W 56K</t>
  </si>
  <si>
    <t>RESISTENCIA MF 1 % 1/4 W 56K</t>
  </si>
  <si>
    <t>RS023</t>
  </si>
  <si>
    <t>Resistencia MF 1 % 1/4 W 39K</t>
  </si>
  <si>
    <t>RESISTENCIA MF 1 % 1/4 W 39K</t>
  </si>
  <si>
    <t>RS024</t>
  </si>
  <si>
    <t>Resistencia MF 1 % 1/4 W 3K9</t>
  </si>
  <si>
    <t>RESISTENCIA MF 1 % 1/4 W 3K9</t>
  </si>
  <si>
    <t>RS025</t>
  </si>
  <si>
    <t>Resistencia MF 1 % 1/4 W 7K5</t>
  </si>
  <si>
    <t>RESISTENCIA MF 1 % 1/4 W 7K5</t>
  </si>
  <si>
    <t>RS026</t>
  </si>
  <si>
    <t>Resistencia MF 1 % 1/4 W 5K6</t>
  </si>
  <si>
    <t>RESISTENCIA MF 1 % 1/4 W 5K6</t>
  </si>
  <si>
    <t>RS027</t>
  </si>
  <si>
    <t>RESISTENCIA CERAMICA 10 OHM 5 W</t>
  </si>
  <si>
    <t>RS028</t>
  </si>
  <si>
    <t>Resistencia MF 1 % 1/4 W 75K</t>
  </si>
  <si>
    <t>RESISTENCIA MF 1 % 1/4 W 75K</t>
  </si>
  <si>
    <t>RS029</t>
  </si>
  <si>
    <t>Preset cermet 22K</t>
  </si>
  <si>
    <t>PRESET CERMET 22K</t>
  </si>
  <si>
    <t>RS030</t>
  </si>
  <si>
    <t>RESISTENCIA CERAMICA 22K 5 W</t>
  </si>
  <si>
    <t>RS-031</t>
  </si>
  <si>
    <t>POTENCIOMETRO MINIATURA 5K LIN ESTEREO</t>
  </si>
  <si>
    <t>RS-032</t>
  </si>
  <si>
    <t>PRESET CERMET 5K</t>
  </si>
  <si>
    <t>RS-033</t>
  </si>
  <si>
    <t>RS-034</t>
  </si>
  <si>
    <t>RESISTENCIA MF 1 % 1/4 W 680 OHM</t>
  </si>
  <si>
    <t>SC-001</t>
  </si>
  <si>
    <t>SUBCONJUNTO CALEFACTOR</t>
  </si>
  <si>
    <t>SC-002</t>
  </si>
  <si>
    <t>SUBCONJ. CARCAZA SUPERIOR COMPLETA</t>
  </si>
  <si>
    <t>SC-003</t>
  </si>
  <si>
    <t>SUBCONJ. MECANIZADO CARCAZA INFERIOR</t>
  </si>
  <si>
    <t>SC-004</t>
  </si>
  <si>
    <t>SUBCONJ. CARCAZA LATERAL</t>
  </si>
  <si>
    <t>SC-005</t>
  </si>
  <si>
    <t>SUBCONJ. PORTA TERMISTOR</t>
  </si>
  <si>
    <t>SC-006</t>
  </si>
  <si>
    <t>SUBCONJ. MECANIZADO DE CARCAZA SUPERIOR</t>
  </si>
  <si>
    <t>SC-007</t>
  </si>
  <si>
    <t>SUBCONJUNTO PLAQUETA ARMADA</t>
  </si>
  <si>
    <t>SUBCONJUNTO PLAQUETA ARMADA 2117</t>
  </si>
  <si>
    <t>SC-009</t>
  </si>
  <si>
    <t>SUBCONJUNTO CALEFACTOR C-600</t>
  </si>
  <si>
    <t>SC-010</t>
  </si>
  <si>
    <t>SOPORTE MASTIL MODELO SM</t>
  </si>
  <si>
    <t>C-500/C-600</t>
  </si>
  <si>
    <t>SC-011</t>
  </si>
  <si>
    <t>SC-012</t>
  </si>
  <si>
    <t>SC-013</t>
  </si>
  <si>
    <t>SUBCONJ.CARCAZA TRASERA</t>
  </si>
  <si>
    <t>SC-014</t>
  </si>
  <si>
    <t>SC-015</t>
  </si>
  <si>
    <t>SUBCONJUNTO PLAQUETA ARMADA C-600</t>
  </si>
  <si>
    <t>SC-020</t>
  </si>
  <si>
    <t>SOPORTE TIPO RESPIRADOR MODELO SR</t>
  </si>
  <si>
    <t>SC100</t>
  </si>
  <si>
    <t>VALVULA REGULADORA DE VACIO 1/8</t>
  </si>
  <si>
    <t>VA 18</t>
  </si>
  <si>
    <t>PLACA ELECTRONICA ARMADA MOVI VAC</t>
  </si>
  <si>
    <t>CABLE 12V FICHA ENCENDEDOR MOVIVAC</t>
  </si>
  <si>
    <t>SC-103</t>
  </si>
  <si>
    <t>ADAPTADOR FICHA ENCENDEDOR A BATERIA</t>
  </si>
  <si>
    <t>PLACA LLAVE DE ENCENDIDO</t>
  </si>
  <si>
    <t>SC-105</t>
  </si>
  <si>
    <t>CONJUNTO NEUMATICO MOVI VAC A-550</t>
  </si>
  <si>
    <t>GABINETE MOVI VAC A-550</t>
  </si>
  <si>
    <t>SC-107</t>
  </si>
  <si>
    <t>TAPA POSTERIOR MOVI VAC A-550</t>
  </si>
  <si>
    <t>CABLEADO LLAVE DE ENCENDIDO</t>
  </si>
  <si>
    <t>SC-109</t>
  </si>
  <si>
    <t>CABLEADO ENTRADA DE ALIMENTACION</t>
  </si>
  <si>
    <t>SC-110</t>
  </si>
  <si>
    <t>CABLEADO BATERIAS</t>
  </si>
  <si>
    <t>SC-111</t>
  </si>
  <si>
    <t>CABLEADO MOTOR</t>
  </si>
  <si>
    <t>SC-112</t>
  </si>
  <si>
    <t>GABINETE MOVI VAC A-220</t>
  </si>
  <si>
    <t>SC-113</t>
  </si>
  <si>
    <t>TAPA POSTERIOR MOVI VAC A-220</t>
  </si>
  <si>
    <t>SC114</t>
  </si>
  <si>
    <t>Valvula reguladora de vacio 1/4</t>
  </si>
  <si>
    <t>VALVULA REGULADORA DE VACIO 1/4</t>
  </si>
  <si>
    <t>VA14</t>
  </si>
  <si>
    <t>SP503</t>
  </si>
  <si>
    <t>Control Panel Compatible with G3</t>
  </si>
  <si>
    <t>Filtro compresor G3</t>
  </si>
  <si>
    <t>SP509</t>
  </si>
  <si>
    <t>Compresor GR</t>
  </si>
  <si>
    <t>COMPRESOR G3 HF</t>
  </si>
  <si>
    <t>Cuerpo del filtro inogen G3</t>
  </si>
  <si>
    <t>SP550</t>
  </si>
  <si>
    <t>Carcasa delantera con espuma G3HF</t>
  </si>
  <si>
    <t>SP551</t>
  </si>
  <si>
    <t>Entrada de tubo G3HF</t>
  </si>
  <si>
    <t>SP552</t>
  </si>
  <si>
    <t>Escape de tubo G3HF</t>
  </si>
  <si>
    <t>SP553</t>
  </si>
  <si>
    <t>Fan 40x40 G3HF</t>
  </si>
  <si>
    <t>SP554</t>
  </si>
  <si>
    <t>SP555</t>
  </si>
  <si>
    <t>Producto principal G3 HF</t>
  </si>
  <si>
    <t>SP556</t>
  </si>
  <si>
    <t>Alimento desperdiciado mainfold G3HF</t>
  </si>
  <si>
    <t>Placa madre Inogen G3 HF</t>
  </si>
  <si>
    <t>SP558</t>
  </si>
  <si>
    <t>Soporte de tubo y ensamblaje de silenciador G3HF</t>
  </si>
  <si>
    <t>SP559</t>
  </si>
  <si>
    <t>HF Chasis G3HF</t>
  </si>
  <si>
    <t>SP560</t>
  </si>
  <si>
    <t>SP561</t>
  </si>
  <si>
    <t>Columna moldeada tuber corta G3HF</t>
  </si>
  <si>
    <t>SP562</t>
  </si>
  <si>
    <t>Tubo de columna moldeada G3HF</t>
  </si>
  <si>
    <t>SP563</t>
  </si>
  <si>
    <t>Par de columnas G3HF</t>
  </si>
  <si>
    <t>SP564</t>
  </si>
  <si>
    <t>Acumulador G3HF</t>
  </si>
  <si>
    <t>SP565</t>
  </si>
  <si>
    <t>Alto homonjado bajo. 0.0313 Tornillo G3HF</t>
  </si>
  <si>
    <t>SP566</t>
  </si>
  <si>
    <t>Alto homonjado bajo. 0.500 Tornillo G3HF</t>
  </si>
  <si>
    <t>SP567</t>
  </si>
  <si>
    <t>SP571</t>
  </si>
  <si>
    <t>SP572</t>
  </si>
  <si>
    <t>Cubierta del panel de acceso G3 G3HF</t>
  </si>
  <si>
    <t>Placa base G4</t>
  </si>
  <si>
    <t>SP702</t>
  </si>
  <si>
    <t>LCD Kit G4</t>
  </si>
  <si>
    <t>SP703</t>
  </si>
  <si>
    <t>Conjunto de filtro G4</t>
  </si>
  <si>
    <t>SP705</t>
  </si>
  <si>
    <t>Kit de pestillo de columna G4</t>
  </si>
  <si>
    <t>SP706</t>
  </si>
  <si>
    <t>Kit de Barb Barb G4</t>
  </si>
  <si>
    <t>SP707</t>
  </si>
  <si>
    <t>Alimento desperdiciado mainfold g4</t>
  </si>
  <si>
    <t>SP708</t>
  </si>
  <si>
    <t>Kit de compresor G4</t>
  </si>
  <si>
    <t>SP710</t>
  </si>
  <si>
    <t>Producto principal G4</t>
  </si>
  <si>
    <t>SP711</t>
  </si>
  <si>
    <t>SP712</t>
  </si>
  <si>
    <t>SP713</t>
  </si>
  <si>
    <t>Columnas G4</t>
  </si>
  <si>
    <t>SP715</t>
  </si>
  <si>
    <t>Panel de Acceso G4</t>
  </si>
  <si>
    <t>SP716</t>
  </si>
  <si>
    <t>Fan G4</t>
  </si>
  <si>
    <t>SP717</t>
  </si>
  <si>
    <t>Kit de alojamiento inferior G4</t>
  </si>
  <si>
    <t>SP718</t>
  </si>
  <si>
    <t>Kit de chasis G4</t>
  </si>
  <si>
    <t>SP719</t>
  </si>
  <si>
    <t>Interfaz de usuario G4</t>
  </si>
  <si>
    <t>SP720</t>
  </si>
  <si>
    <t>Filtro de entrada G4</t>
  </si>
  <si>
    <t>SP721</t>
  </si>
  <si>
    <t>Kit de tornillo G4</t>
  </si>
  <si>
    <t>Kit de placa base G4 con Bluetooth</t>
  </si>
  <si>
    <t>SP801</t>
  </si>
  <si>
    <t>SP803</t>
  </si>
  <si>
    <t>Reemplazo del kit de columna G5</t>
  </si>
  <si>
    <t>SP804</t>
  </si>
  <si>
    <t>Kit de ensamblaje de filtro G5</t>
  </si>
  <si>
    <t>Kit de interfaz de usuario G5</t>
  </si>
  <si>
    <t>SP806</t>
  </si>
  <si>
    <t>SP807</t>
  </si>
  <si>
    <t>Producto principal Kit G5</t>
  </si>
  <si>
    <t>SP808</t>
  </si>
  <si>
    <t>Kit de bloque de sensor G5</t>
  </si>
  <si>
    <t>SP809</t>
  </si>
  <si>
    <t>LCD Kit G5</t>
  </si>
  <si>
    <t>SP810</t>
  </si>
  <si>
    <t>SP811</t>
  </si>
  <si>
    <t>SP812</t>
  </si>
  <si>
    <t>SP813</t>
  </si>
  <si>
    <t>Kit de tubos de columna G5</t>
  </si>
  <si>
    <t>Kit de placa base G5</t>
  </si>
  <si>
    <t>Filtro Tubo de entrada Ans Kit de cubierta USB G5</t>
  </si>
  <si>
    <t>Kit de caja de compresor G5</t>
  </si>
  <si>
    <t>SP819</t>
  </si>
  <si>
    <t>Kit de compresor G5</t>
  </si>
  <si>
    <t>SP820</t>
  </si>
  <si>
    <t>Kit de pestillo de columna G5</t>
  </si>
  <si>
    <t>SP821</t>
  </si>
  <si>
    <t>SP822</t>
  </si>
  <si>
    <t>Kit de alojamiento inferior G5</t>
  </si>
  <si>
    <t>SW001</t>
  </si>
  <si>
    <t>Llave de encendido Concentrador LONGFIAN</t>
  </si>
  <si>
    <t>LLAVE DE ENCENDIDO CONCENTRADOR (TODOS)</t>
  </si>
  <si>
    <t>JAY5/JAY5Q/JAY10</t>
  </si>
  <si>
    <t>TN001</t>
  </si>
  <si>
    <t>Tornillo 3 X 6 MM cab. fijadora</t>
  </si>
  <si>
    <t>TORNILLO 3 x 6 MM CAB. FIJADORA</t>
  </si>
  <si>
    <t>BULONERA MOYANO</t>
  </si>
  <si>
    <t>TN002</t>
  </si>
  <si>
    <t>Tornillo 3 X 10 MM cab. fijadora</t>
  </si>
  <si>
    <t>TORNILLO 3 x 10 MM CAB. FIJADORA</t>
  </si>
  <si>
    <t>TN003</t>
  </si>
  <si>
    <t>Tornillo parker cab. fijadora N4 X 3/8</t>
  </si>
  <si>
    <t>TORNILLO PARKER CAB.FIJADORA N4 X 3/8 ZINC.NEGRO</t>
  </si>
  <si>
    <t>TN004</t>
  </si>
  <si>
    <t>TUERCA METRICA 3 MM TORNEADA</t>
  </si>
  <si>
    <t>TN005</t>
  </si>
  <si>
    <t>Tornillo 4 X 10 MM cabeza fijadora</t>
  </si>
  <si>
    <t>TORNILLO 4 X 10 MM CABEZA FIJADORA</t>
  </si>
  <si>
    <t>TN006</t>
  </si>
  <si>
    <t>TUERCA METRICA 5 MM</t>
  </si>
  <si>
    <t>TN007</t>
  </si>
  <si>
    <t>Tornillo 3 X 8 MM c/fresada</t>
  </si>
  <si>
    <t>TORNILLO  3 X 8 MM C/FRESADA</t>
  </si>
  <si>
    <t>TN008</t>
  </si>
  <si>
    <t>TUERCA TORNEADA 3/16"</t>
  </si>
  <si>
    <t>TN009</t>
  </si>
  <si>
    <t>TUERCA REMACHE HÂº 3/16"</t>
  </si>
  <si>
    <t>Tuerca remache 4 MM</t>
  </si>
  <si>
    <t>TN010</t>
  </si>
  <si>
    <t>VARILLA ROSCADA 3/16 HÂº TRATADO</t>
  </si>
  <si>
    <t>Varilla roscada 4 MM X 105 MM</t>
  </si>
  <si>
    <t>TN011</t>
  </si>
  <si>
    <t>Tornillo 3 X 16 MM cab. fijadora</t>
  </si>
  <si>
    <t>TORNILLO 3 x 16 MM CAB. FIJADORA</t>
  </si>
  <si>
    <t>TN012</t>
  </si>
  <si>
    <t>Tornillo 3 X 12 MM c/fresada</t>
  </si>
  <si>
    <t>TORNILLO  3 X 12 MM C/FRESADA</t>
  </si>
  <si>
    <t>TN013</t>
  </si>
  <si>
    <t>TORNILLO 3 x 8 MM CAB. GOTA DE CEBO</t>
  </si>
  <si>
    <t>Tornillo 3 X 8 MM cab. fijadora</t>
  </si>
  <si>
    <t>TN014</t>
  </si>
  <si>
    <t>TORNILLO 3 x 16 MM CAB. FRESADA ZINCADO</t>
  </si>
  <si>
    <t>Tornillo 3 X 16 MM cab. fresada</t>
  </si>
  <si>
    <t>TN015</t>
  </si>
  <si>
    <t>Tornillo 4 X 8 MM cabeza fijadora</t>
  </si>
  <si>
    <t>TORNILLO 4 X 8 MM CABEZA FIJADORA</t>
  </si>
  <si>
    <t>TN016</t>
  </si>
  <si>
    <t>Tornillo 5 X 10 MM cabeza fijadora</t>
  </si>
  <si>
    <t>TORNILLO 5X10 MM CABEZA FIJADORA</t>
  </si>
  <si>
    <t>TN017</t>
  </si>
  <si>
    <t>Tornillo 5 X 15 MM cabeza exagonal</t>
  </si>
  <si>
    <t>TORNILLO 5X15 MM CABEZA EXAGONAL</t>
  </si>
  <si>
    <t>TN018</t>
  </si>
  <si>
    <t>Tornillo 4 X 8 MM cabeza exagonal</t>
  </si>
  <si>
    <t>TORNILLO 4 X 8 MM CABEZA EXAGONAL</t>
  </si>
  <si>
    <t>TN019</t>
  </si>
  <si>
    <t>Tuerca 3/16</t>
  </si>
  <si>
    <t>TUERCA 3/16"</t>
  </si>
  <si>
    <t>TN020</t>
  </si>
  <si>
    <t>Tornillo 3 X 10 MM cab. gota de cebo</t>
  </si>
  <si>
    <t>TORNILLO 3 x 10 MM CAB. GOTA DE CEBO</t>
  </si>
  <si>
    <t>TN021</t>
  </si>
  <si>
    <t>TORNILLO 5 X 15 MM CABEZA TANQUE C/ALA NEGRO</t>
  </si>
  <si>
    <t>Tornillo 5 X 15 MM cabeza tanque</t>
  </si>
  <si>
    <t>TN022</t>
  </si>
  <si>
    <t>Tuerca 5 MM</t>
  </si>
  <si>
    <t>TUERCA 5 MM</t>
  </si>
  <si>
    <t>TN-023</t>
  </si>
  <si>
    <t>TUERCA 1/8"</t>
  </si>
  <si>
    <t>TN-024</t>
  </si>
  <si>
    <t>TORNILLO 1/8" X 1/4" CABEZA FIJADORA</t>
  </si>
  <si>
    <t>TN-025</t>
  </si>
  <si>
    <t>TORNILLO 3 x 16 MM CAB. GOTA DE CEBO</t>
  </si>
  <si>
    <t>TN-026</t>
  </si>
  <si>
    <t>TORNILLO PARKER CAB.FIJADORA N4 X 5/16 NEGRO</t>
  </si>
  <si>
    <t>TN-027</t>
  </si>
  <si>
    <t>REMACHE POP 2,4 X 10MM (8MM)</t>
  </si>
  <si>
    <t>TN-028</t>
  </si>
  <si>
    <t>TORNILLO PARKER N4 X 1/2 CABEZA GOTA DE CEBO</t>
  </si>
  <si>
    <t>TN-029</t>
  </si>
  <si>
    <t>TORNILLO M 3 X 20 MM CABEZA FIJADORA</t>
  </si>
  <si>
    <t>TN-030</t>
  </si>
  <si>
    <t>TORNILLO PARKER CAB.FIJADORA N4 X 1/4 NEGRO</t>
  </si>
  <si>
    <t>Turbina 220V 120 x 120 x 38 mm</t>
  </si>
  <si>
    <t>TURBINA 220V 120 X120 X38 MM</t>
  </si>
  <si>
    <t>PINI</t>
  </si>
  <si>
    <t>LONGFIAN JAY 5</t>
  </si>
  <si>
    <t>Turbina 12V 120 X 120 X 25 mm</t>
  </si>
  <si>
    <t>TURBINA 12V 120 X120 X 24 MM</t>
  </si>
  <si>
    <t>Turbina CPAP GI</t>
  </si>
  <si>
    <t>TURBINA CPAP BMC G1 (BLOWER UNIT)</t>
  </si>
  <si>
    <t>TW027</t>
  </si>
  <si>
    <t>Remache POP 2,4mm x 10mm</t>
  </si>
  <si>
    <t>VA001</t>
  </si>
  <si>
    <t>Varistor 7MM 250V</t>
  </si>
  <si>
    <t>VARISTOR 7MM 250V</t>
  </si>
  <si>
    <t>07N391K</t>
  </si>
  <si>
    <t>VN001</t>
  </si>
  <si>
    <t>VALVULA NEUMATICA JAY-5</t>
  </si>
  <si>
    <t>VN002</t>
  </si>
  <si>
    <t>VALVULA NEUMATICA JAY-5Q</t>
  </si>
  <si>
    <t>VN003</t>
  </si>
  <si>
    <t>Valvula neumatica JAY-10</t>
  </si>
  <si>
    <t>VALVULA NEUMATICA JAY -10</t>
  </si>
  <si>
    <t>Cámara de agua auto llenado c/flotante INSPIRED</t>
  </si>
  <si>
    <t>Cámara p/calentador BMC G3 Original</t>
  </si>
  <si>
    <t>Cámara humidificadora GALEMED c/flotante</t>
  </si>
  <si>
    <t>Cámara humidificadora sin flotante CLOUD 2959</t>
  </si>
  <si>
    <t>Cámara humidificadora p/CPAP YAMIND DM26</t>
  </si>
  <si>
    <t>Cámara humidificadora p/CPAP YAMIND DM28</t>
  </si>
  <si>
    <t>Cámara p/calentador BMC GII H-60 Original</t>
  </si>
  <si>
    <t>Cámara p/calentador BMC G2S Original</t>
  </si>
  <si>
    <t>Cámara para Calentador Humidificador RH-800</t>
  </si>
  <si>
    <t>Filtro p/conc. portátil LONGFIAN JAY-10D</t>
  </si>
  <si>
    <t>Banda torácica BMC</t>
  </si>
  <si>
    <t>Sensor de sat. c/broche NELLCOR pediátrico 315P</t>
  </si>
  <si>
    <t>Par de clips p/máscara nasal BMC N2</t>
  </si>
  <si>
    <t>Par de clips p/máscara nasal BMC N4</t>
  </si>
  <si>
    <t>Par de clips p/máscara buconasalÂ BMCÂ F1B</t>
  </si>
  <si>
    <t>Aerocámara colapsable c/conector de 22mm AEROVENT</t>
  </si>
  <si>
    <t>Válvula de PEEP c/conector WInner</t>
  </si>
  <si>
    <t>Resucitador AMBU SPUR II pediátrico</t>
  </si>
  <si>
    <t>Resucitador manual PVC WINNER pediátrico TW8121</t>
  </si>
  <si>
    <t>Conector aerocámara adulto HUDSON DCDMDIA</t>
  </si>
  <si>
    <t>Conector aerocámara pediátrico HUDSON DCDMDIP</t>
  </si>
  <si>
    <t>Conector aerocámara HUDSON pediátrico 1751HU</t>
  </si>
  <si>
    <t>Conector M c/acople rápido para CUFF</t>
  </si>
  <si>
    <t>Máscara total face NVI ad.</t>
  </si>
  <si>
    <t>Frasco plástico c/ tapa para aspirador SILFAB</t>
  </si>
  <si>
    <t>Circuito respiratorio pediátrico DCD036</t>
  </si>
  <si>
    <t>Sonda nasogástrica KOLER neo. (K-35) 1,4 mm S-14</t>
  </si>
  <si>
    <t>Sonda nasogástrica KOLER infan. (K-33) 2,0 mm S-20</t>
  </si>
  <si>
    <t>Sonda nasogástrica KOLER niÃ±o (K-31) 2,3 mm S-23</t>
  </si>
  <si>
    <t>Sonda nasogástrica KOLER adulto (K-30) 2,8 mm S-28</t>
  </si>
  <si>
    <t>Sonda nasogástrica SILMAG 392-09</t>
  </si>
  <si>
    <t>Prolongador PNI c/acople rápido MEDITECH</t>
  </si>
  <si>
    <t>Manguera prolongador PNI c/acople rápido UMEC12</t>
  </si>
  <si>
    <t>Cuchilla descartable pediátrica MAC1</t>
  </si>
  <si>
    <t>Lámpara H3 12V 55W PK22S</t>
  </si>
  <si>
    <t>Lámpara 15V 150W GZ6,35 EFR - OSR</t>
  </si>
  <si>
    <t>Lámpara 7158 24V 150W G6.35-15 - PHE</t>
  </si>
  <si>
    <t>Lámpara XENON ENDOSC.PE175W BF</t>
  </si>
  <si>
    <t>Lámpara 21V 150W RM 2P EKE - OSR</t>
  </si>
  <si>
    <t>Lámpara ORLAMPE MICROSC.ZEISS 6V 30W</t>
  </si>
  <si>
    <t>Lámpara TUV HNS T8 15W 25X1</t>
  </si>
  <si>
    <t>Lámpara TUV HNS T8 30W 25X1</t>
  </si>
  <si>
    <t>Lámpara 12V 100W  GZ 6.35 EFP - OSR</t>
  </si>
  <si>
    <t>Conector en ángulo de 90Â° (15M a 15F)</t>
  </si>
  <si>
    <t>Cargador de 12v p/conc. portátil LONGFIAN JAY-10D</t>
  </si>
  <si>
    <t>Set de base de válvula de exhal. y actuador lineal</t>
  </si>
  <si>
    <t>Globo de prueba pediátrico 500 ml - 22 mm</t>
  </si>
  <si>
    <t>Lámpara neon miniatura</t>
  </si>
  <si>
    <t>Canister Ciolita JAY-10D (Portátil)</t>
  </si>
  <si>
    <t>Perilla plástica</t>
  </si>
  <si>
    <t>Jarra aspirador plástica</t>
  </si>
  <si>
    <t>Placa plástica soporte electronica</t>
  </si>
  <si>
    <t>Precinto plástico 4.7 X 250</t>
  </si>
  <si>
    <t>Carcaza plástica MOVI-VAC fase 2</t>
  </si>
  <si>
    <t>Soporte de plaqueta plástico</t>
  </si>
  <si>
    <t>Soporte mástil plegado completo</t>
  </si>
  <si>
    <t>Soporte plástico calefactor</t>
  </si>
  <si>
    <t>Resistencia cerámica 8K2 5W</t>
  </si>
  <si>
    <t>Resistencia cerámica 4.7 OHM 5W</t>
  </si>
  <si>
    <t>Resistencia cerámica 10 OHM 5W</t>
  </si>
  <si>
    <t>Resistencia cerámica 22 K 5 V</t>
  </si>
  <si>
    <t>Receptáculo de columna Top G3HF</t>
  </si>
  <si>
    <t>Receptáculos de columna inferior G3HF</t>
  </si>
  <si>
    <t>Kit de cántula Barb G4</t>
  </si>
  <si>
    <t>Kit de receptáculo de producto G4</t>
  </si>
  <si>
    <t>Reemplazo del kit de cántula G5</t>
  </si>
  <si>
    <t>Kit de receptáculo G5</t>
  </si>
  <si>
    <t>Kit de fanáticos G5</t>
  </si>
  <si>
    <t>Válvula neumática JAY-5</t>
  </si>
  <si>
    <t>Válvula neumática JAY-5Q</t>
  </si>
  <si>
    <t>Cámara p/calentador BMC GII H-60 Genérico</t>
  </si>
  <si>
    <t>Cámara p/calentador BMC GI Genérico</t>
  </si>
  <si>
    <t>Cámara p/calentador BMC G2S Genérico</t>
  </si>
  <si>
    <t>Cámara p/calentador BMC G3 Genérico</t>
  </si>
  <si>
    <t>Filtro de aire Auto CPAP BMC MINI Genérico</t>
  </si>
  <si>
    <t>Filtro de aire CPAP/BPAP GII/G2S Genérico</t>
  </si>
  <si>
    <t>Filtro de aire CPAP/BPAP GI BMC Genérico</t>
  </si>
  <si>
    <t>Filtro de aire CPAP/BPAP G3 Genérico</t>
  </si>
  <si>
    <t>Filtro genérico EVERFLO</t>
  </si>
  <si>
    <t>Filtro genérico externo p/RESMED Stellar 150</t>
  </si>
  <si>
    <t>Arnés p/máscara BMC original con apoyo frontal</t>
  </si>
  <si>
    <t>Arnés p/máscara BMC original sin apoyo frontal</t>
  </si>
  <si>
    <t>Etiqueta especificaciones eléctricas</t>
  </si>
  <si>
    <t>Etiqueta especificaciones técnicas</t>
  </si>
  <si>
    <t>Etiqueta genérica tipo calco</t>
  </si>
  <si>
    <t>Interruptor térmico 95Â° C</t>
  </si>
  <si>
    <t>Tuerca métrica 3 MM</t>
  </si>
  <si>
    <t>Tuerca métrica 5 MM</t>
  </si>
  <si>
    <t>Tuerca métrica 4 MM</t>
  </si>
  <si>
    <t>Regulador de oxígeno ZS 0-15 sin humidificador</t>
  </si>
  <si>
    <t>Carro p/cilindro de oxígeno ZS</t>
  </si>
  <si>
    <t>Prolongador de oximetría COVIDIEN DOC10</t>
  </si>
  <si>
    <t>Cable paciente Electrobisturí KAIROS MX-1</t>
  </si>
  <si>
    <t>Mochila de oxígeno 425</t>
  </si>
  <si>
    <t>Regulador de oxígeno ZS 0-15 C/HME</t>
  </si>
  <si>
    <t>Jarra para aspirador a batería BEMIS 800 c.c.</t>
  </si>
  <si>
    <t>Tapa de jarra p/aspirador a batería BEMIS 800 c.c.</t>
  </si>
  <si>
    <t>Jarra para aspirador a batería KONSUNG</t>
  </si>
  <si>
    <t>Cámara humidificadora c/flotante y guía BESMED</t>
  </si>
  <si>
    <t>Cámara humid. c/flotante y guía DRAGER MP02605</t>
  </si>
  <si>
    <t>Filtro respiratorio HME traqueotomía 4008</t>
  </si>
  <si>
    <t>Filtros de partíc. rígid. Inogen One G3 (par) 301</t>
  </si>
  <si>
    <t>Filtro HME adulto c/puerto oxígeno HAND 42390</t>
  </si>
  <si>
    <t>Kit nebulizador paciente traqueotomía HUDSON 1882</t>
  </si>
  <si>
    <t>Caudalímetro c/acople rápido</t>
  </si>
  <si>
    <t>Collarín aurinco p/cánula traqueotomía</t>
  </si>
  <si>
    <t>Guía p/capnografía GALEMED 300002</t>
  </si>
  <si>
    <t>Caudalímetro (M2) O2 0-15 DISS</t>
  </si>
  <si>
    <t>Guía MILSET Enteral Pico Cruz - Escalonado</t>
  </si>
  <si>
    <t>Hebilla para polígrafo BMC</t>
  </si>
  <si>
    <t>Prolongador para oxímetro MASIMO LNC10</t>
  </si>
  <si>
    <t>Prolongador para oxímetro MASIMO LNC14</t>
  </si>
  <si>
    <t>Batería de 8 celdas Inogen One G4 BA-408</t>
  </si>
  <si>
    <t>Batería p/conc. portátil LONGFIAN JAY-10D</t>
  </si>
  <si>
    <t>Batería p/PB560 Ref. PT00075778</t>
  </si>
  <si>
    <t>Batería p/conc. portátil INOGEN ROVE6</t>
  </si>
  <si>
    <t>Batería externa generica p/terapia de sueÃ±o</t>
  </si>
  <si>
    <t>Base cargador de batería G3 c/fuente ext.</t>
  </si>
  <si>
    <t>Capacitor electrolítico 220 UF 50V</t>
  </si>
  <si>
    <t>Capacitor electrolítico 2,2 UF 50V</t>
  </si>
  <si>
    <t>Capacitor electrolítico 47UF x 35V</t>
  </si>
  <si>
    <t>Capacitor electrolítico 100UF x 35V</t>
  </si>
  <si>
    <t>Flapper bomba de vacío</t>
  </si>
  <si>
    <t>Labio sello bomba de vacío</t>
  </si>
  <si>
    <t>Housing 0,156 3 Vías</t>
  </si>
  <si>
    <t>Housing 0, 156 5 Vías</t>
  </si>
  <si>
    <t>Batería gel 6V 7 A/H</t>
  </si>
  <si>
    <t>Header 0,156 Recto 3 Vías</t>
  </si>
  <si>
    <t>Batería gel 6V A/H</t>
  </si>
  <si>
    <t>Batería gel 6V 1,2AH</t>
  </si>
  <si>
    <t>Batería gel 12V 1,3AH</t>
  </si>
  <si>
    <t>Pack de baterías de Litio 14.4V 2000mA</t>
  </si>
  <si>
    <t>Pack baterías NI-CD 6X1800 mA</t>
  </si>
  <si>
    <t>Soporte interno batería-motor</t>
  </si>
  <si>
    <t>Filtro partidario rígido G3HF</t>
  </si>
  <si>
    <t>Tablero de batería G4</t>
  </si>
  <si>
    <t>Arnés de la batería G4</t>
  </si>
  <si>
    <t>Kit de cucharada de partículas gruesas G4</t>
  </si>
  <si>
    <t>Reemplazo del kit de filtro de partículas gruesas</t>
  </si>
  <si>
    <t>Kit de tablero de batería G5</t>
  </si>
  <si>
    <t>Electrocardiógrafo CARDIOTECNICAÂ RG606</t>
  </si>
  <si>
    <t>Nebulizador ultrasónico ASPEN NU320</t>
  </si>
  <si>
    <t>Nebulizador ultrasónico SILFAB N-64</t>
  </si>
  <si>
    <t>Nebulizador ultrasónico SILFAB N-67</t>
  </si>
  <si>
    <t>Regulador de presión TRG MOCHILA</t>
  </si>
  <si>
    <t>Módulo de capnografía RESPIRONICS comp. c/Meditech</t>
  </si>
  <si>
    <t>Preinstalación de central de monitoreo</t>
  </si>
  <si>
    <t>Instalación y config. de central de monitoreo</t>
  </si>
  <si>
    <t>Wifi KIT Modelo p/bpap de titulación WL-100</t>
  </si>
  <si>
    <t>Módulo de oximetria p/GII y G2S</t>
  </si>
  <si>
    <t>Módulo de oximetria p/G3</t>
  </si>
  <si>
    <t>Sensor de saturación p/poligráfo medium</t>
  </si>
  <si>
    <t>Sensor de saturación p/poligráfo large</t>
  </si>
  <si>
    <t>Sensor de saturación BMC Medical p/G3</t>
  </si>
  <si>
    <t>Conector p/canula nasal módulo Polywatch</t>
  </si>
  <si>
    <t>Fuente de alimentación BMC G2-G2S</t>
  </si>
  <si>
    <t>Manguito CUFF de presión adulto 1 vía x</t>
  </si>
  <si>
    <t>Manguito CUFF de presión pediátrico 1 vía x</t>
  </si>
  <si>
    <t>Fuente de alimentación original BMC G3</t>
  </si>
  <si>
    <t>Fuente de alimentación original BMC G2-G2S</t>
  </si>
  <si>
    <t>Caudalímetro conexión DISS</t>
  </si>
  <si>
    <t>Boquillas de cartón adulto para espirometría</t>
  </si>
  <si>
    <t>Sistema cerrado de aspiración ad. FRENCH SIS16FR</t>
  </si>
  <si>
    <t>Válvula de fonación c/conex. de oxíg. SHILEY SSVO</t>
  </si>
  <si>
    <t>Válvula de fonación SHILEY SSV</t>
  </si>
  <si>
    <t>Regulador de presión pre-ajustado</t>
  </si>
  <si>
    <t>Colchoneta de repuesto p/colchón antiescaras</t>
  </si>
  <si>
    <t>Fuente de alimentación AC Inogen One G3 BA-301</t>
  </si>
  <si>
    <t>Fuente de alimentación de AC Inogen G4 BA-401</t>
  </si>
  <si>
    <t>Manguera de O2 1.5mts (BL) conexión DISSR/DISSR</t>
  </si>
  <si>
    <t>Manguera de aire 1.5mts (AM) conexiónÂ DISSR/DISSR</t>
  </si>
  <si>
    <t>Colchón antiescaras STANDARD, con celdas</t>
  </si>
  <si>
    <t>Conector c/pico toma de presión 22mm M-H 1002</t>
  </si>
  <si>
    <t>Conector 22-22-15 c/toma presión</t>
  </si>
  <si>
    <t>Con. p/guía de alimentación FID MEDICAL PICOCRUZ</t>
  </si>
  <si>
    <t>Cinta sin dinamómetro para mochila O2</t>
  </si>
  <si>
    <t>Frasco alimentación enteral 650 ml FRASFID650</t>
  </si>
  <si>
    <t>Sonda p/succión KOLER (K-30P) SA-30</t>
  </si>
  <si>
    <t>Sonda p/succión KOLER (K-31P/26P) 2,3 mm SA-31</t>
  </si>
  <si>
    <t>Sonda p/succión KOLER (K-33P/24P) 2,0 mm SA-33</t>
  </si>
  <si>
    <t>Sonda p/succión KOLER (K-35P) 1,4 mm SA-35</t>
  </si>
  <si>
    <t>Sonda p/succión KOLER (K-29) 4,0 mm SM-40</t>
  </si>
  <si>
    <t>Sonda p/succión c/reg. KOLER (K-29P) 4,0 mm SM-40P</t>
  </si>
  <si>
    <t>Sonda p/succión KOLER (K32) 5,0 mm SM-50</t>
  </si>
  <si>
    <t>Sonda p/succión c/reg. KOLER (K-32P) 5,0 mm SM-50P</t>
  </si>
  <si>
    <t>Sonda de aspiración continua SILMAG 340-12</t>
  </si>
  <si>
    <t>Manguito CUFF de presión pediátrico 1 vía</t>
  </si>
  <si>
    <t>Manguito CUFF de presión neonatal 1 vía</t>
  </si>
  <si>
    <t>Manguito CUFF de presión neonatal 2 vías</t>
  </si>
  <si>
    <t>Manguito CUFF de presión pediátrico 1 vía PROP x</t>
  </si>
  <si>
    <t>Cable de presión invasiva PI-BD</t>
  </si>
  <si>
    <t>Cable de presión invasiva PI-EDWARD</t>
  </si>
  <si>
    <t>Transductor de presión BD MERITRANS 682000</t>
  </si>
  <si>
    <t>Conector Y ad. 22 mm recto s/termómetro y auclavab</t>
  </si>
  <si>
    <t>Cable de alimentación 220v tipo</t>
  </si>
  <si>
    <t>Cable de alimentación 220v tipo CPU</t>
  </si>
  <si>
    <t>Cable de calibración p/Oxymag-Agile</t>
  </si>
  <si>
    <t>Dispositivo para medir presión regulada</t>
  </si>
  <si>
    <t>Llave cónica p/montaje de comp. específ. Magnamed</t>
  </si>
  <si>
    <t>Simulador de pulmón neonatal 40 ml c/conector 15F</t>
  </si>
  <si>
    <t>Diferencia de cotización</t>
  </si>
  <si>
    <t>Fuente de alimentación externa G3, G4, G5</t>
  </si>
  <si>
    <t>Etiqueta regulación vacío</t>
  </si>
  <si>
    <t>Etiqueta alimentación externa</t>
  </si>
  <si>
    <t>Etiqueta A-220 SEPID (Tapa vacuómetro)</t>
  </si>
  <si>
    <t>Etiqueta A-220 alimentación externa</t>
  </si>
  <si>
    <t>Etiqueta 40 x 30 MM papel ilustración x 1000 unida</t>
  </si>
  <si>
    <t>Etiqueta 50x50 MM Papel Ilustración Rollo 1000 un</t>
  </si>
  <si>
    <t>Etiqueta 80x50 MM Papel Ilustración Rollo 1000 un</t>
  </si>
  <si>
    <t>Etiqueta 38x20 MM Papel Ilustración Rollo 1000 un</t>
  </si>
  <si>
    <t>Etiqueta 29x20 mm Papel ilustración x 1000 u</t>
  </si>
  <si>
    <t>Fuente de alimentación M1 MINI 19V 1.26A Original</t>
  </si>
  <si>
    <t>Vacuómetro diámetro 52MM Fij. Frontal</t>
  </si>
  <si>
    <t>Vacuómetro diametro 50mm p/aspirador SILFAB</t>
  </si>
  <si>
    <t>Fuente de alimentación ext. 12,5 V 3A p/MOVI VAC</t>
  </si>
  <si>
    <t>Fuente de alimentación genérica 12,5 V 3A MOVI VAC</t>
  </si>
  <si>
    <t>Fuente de alimentación 24V 60W p/BMC</t>
  </si>
  <si>
    <t>Fuente de alimentación 12v A 24V 60W p/BMC GII/G2s</t>
  </si>
  <si>
    <t>Pila botón recargable LIR 2450 3.6 v</t>
  </si>
  <si>
    <t>Pila botón 3 v CR-2032</t>
  </si>
  <si>
    <t>Pila botón CR1220</t>
  </si>
  <si>
    <t>Perilla plástica p/potenciómetro</t>
  </si>
  <si>
    <t>Soporte potenciómetro</t>
  </si>
  <si>
    <t>Soporte fijación canister</t>
  </si>
  <si>
    <t>Soporte fijación respirador</t>
  </si>
  <si>
    <t>Potenciómetro miniatura 5K LIN</t>
  </si>
  <si>
    <t>Válvula regulación de vacío</t>
  </si>
  <si>
    <t>Cable de entrada de alimentación G3HF</t>
  </si>
  <si>
    <t>Tornillo de formación de rosca M3x8 G3HF</t>
  </si>
  <si>
    <t>Entrada de alimentación de CC G4</t>
  </si>
  <si>
    <t>Kit de alimentación principal G5</t>
  </si>
  <si>
    <t>Kit de ensamblaje de alimentación G5</t>
  </si>
  <si>
    <t>Kit de tablero de alimentación G5</t>
  </si>
  <si>
    <t>VN004</t>
  </si>
  <si>
    <t>Válvula Pilot Everflo</t>
  </si>
  <si>
    <t>CPAP G1</t>
  </si>
  <si>
    <t>BPAP G1</t>
  </si>
  <si>
    <t>AUTO CPAP G1</t>
  </si>
  <si>
    <t>CPAP G2S</t>
  </si>
  <si>
    <t>AUTO CPAP G2S</t>
  </si>
  <si>
    <t>AUTO CPAP G3</t>
  </si>
  <si>
    <t>Nombre encontrado en códigos</t>
  </si>
  <si>
    <t>covidien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</si>
</sst>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_-[$€-2]* #,##0.00_-;\-[$€-2]* #,##0.00_-;_-[$€-2]* &quot;-&quot;??_-"/>
    <numFmt numFmtId="165" formatCode="[$USD]\ #,##0.00"/>
  </numFmts>
  <fonts count="2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indexed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9"/>
      <color indexed="22"/>
      <name val="Arial"/>
      <family val="2"/>
    </font>
    <font>
      <b/>
      <i/>
      <sz val="9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u/>
      <sz val="10"/>
      <color indexed="12"/>
      <name val="Arial"/>
      <family val="2"/>
    </font>
    <font>
      <b/>
      <sz val="11"/>
      <color indexed="41"/>
      <name val="Lucida Fax"/>
      <family val="1"/>
    </font>
    <font>
      <b/>
      <i/>
      <u/>
      <sz val="9"/>
      <name val="Arial"/>
      <family val="2"/>
    </font>
    <font>
      <b/>
      <sz val="9"/>
      <color indexed="9"/>
      <name val="Arial"/>
      <family val="2"/>
    </font>
    <font>
      <b/>
      <sz val="9"/>
      <color indexed="10"/>
      <name val="Arial"/>
      <family val="2"/>
    </font>
    <font>
      <b/>
      <sz val="9"/>
      <color indexed="43"/>
      <name val="Arial"/>
      <family val="2"/>
    </font>
    <font>
      <b/>
      <sz val="9"/>
      <color indexed="13"/>
      <name val="Arial"/>
      <family val="2"/>
    </font>
    <font>
      <b/>
      <sz val="9"/>
      <color rgb="FFFFFF00"/>
      <name val="Arial"/>
      <family val="2"/>
    </font>
    <font>
      <sz val="11"/>
      <color theme="1"/>
      <name val="Calibri"/>
      <family val="2"/>
      <scheme val="minor"/>
    </font>
    <font>
      <b/>
      <sz val="9"/>
      <color rgb="FF66FFFF"/>
      <name val="Arial"/>
      <family val="2"/>
    </font>
    <font>
      <b/>
      <sz val="9"/>
      <color rgb="FFFF000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b/>
      <sz val="9"/>
      <color rgb="FF000000"/>
      <name val="Calibri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0" fillId="0" borderId="0"/>
  </cellStyleXfs>
  <cellXfs count="260">
    <xf numFmtId="0" fontId="0" fillId="0" borderId="0" xfId="0"/>
    <xf numFmtId="0" fontId="1" fillId="0" borderId="0" xfId="0" applyFont="1"/>
    <xf numFmtId="0" fontId="2" fillId="0" borderId="5" xfId="0" applyFont="1" applyBorder="1"/>
    <xf numFmtId="2" fontId="1" fillId="7" borderId="5" xfId="0" applyNumberFormat="1" applyFont="1" applyFill="1" applyBorder="1"/>
    <xf numFmtId="2" fontId="1" fillId="8" borderId="5" xfId="0" applyNumberFormat="1" applyFont="1" applyFill="1" applyBorder="1"/>
    <xf numFmtId="0" fontId="2" fillId="11" borderId="5" xfId="0" applyFont="1" applyFill="1" applyBorder="1"/>
    <xf numFmtId="2" fontId="1" fillId="2" borderId="0" xfId="0" applyNumberFormat="1" applyFont="1" applyFill="1"/>
    <xf numFmtId="14" fontId="1" fillId="11" borderId="0" xfId="0" applyNumberFormat="1" applyFont="1" applyFill="1" applyAlignment="1">
      <alignment horizontal="center"/>
    </xf>
    <xf numFmtId="0" fontId="1" fillId="11" borderId="0" xfId="0" applyFont="1" applyFill="1"/>
    <xf numFmtId="2" fontId="1" fillId="11" borderId="0" xfId="0" applyNumberFormat="1" applyFont="1" applyFill="1"/>
    <xf numFmtId="2" fontId="4" fillId="11" borderId="0" xfId="2" applyNumberFormat="1" applyFill="1" applyAlignment="1" applyProtection="1"/>
    <xf numFmtId="0" fontId="4" fillId="11" borderId="0" xfId="2" applyFill="1" applyAlignment="1" applyProtection="1"/>
    <xf numFmtId="14" fontId="13" fillId="3" borderId="1" xfId="0" applyNumberFormat="1" applyFont="1" applyFill="1" applyBorder="1" applyAlignment="1">
      <alignment horizontal="center"/>
    </xf>
    <xf numFmtId="0" fontId="13" fillId="3" borderId="2" xfId="0" applyFont="1" applyFill="1" applyBorder="1"/>
    <xf numFmtId="0" fontId="9" fillId="11" borderId="0" xfId="0" applyFont="1" applyFill="1"/>
    <xf numFmtId="0" fontId="6" fillId="11" borderId="0" xfId="0" applyFont="1" applyFill="1" applyAlignment="1">
      <alignment horizontal="center"/>
    </xf>
    <xf numFmtId="2" fontId="5" fillId="7" borderId="0" xfId="0" applyNumberFormat="1" applyFont="1" applyFill="1"/>
    <xf numFmtId="2" fontId="5" fillId="8" borderId="0" xfId="0" applyNumberFormat="1" applyFont="1" applyFill="1" applyAlignment="1">
      <alignment horizontal="center"/>
    </xf>
    <xf numFmtId="0" fontId="14" fillId="11" borderId="0" xfId="0" applyFont="1" applyFill="1"/>
    <xf numFmtId="14" fontId="5" fillId="16" borderId="5" xfId="0" applyNumberFormat="1" applyFont="1" applyFill="1" applyBorder="1" applyAlignment="1">
      <alignment horizontal="center"/>
    </xf>
    <xf numFmtId="0" fontId="6" fillId="16" borderId="5" xfId="0" applyFont="1" applyFill="1" applyBorder="1" applyAlignment="1">
      <alignment horizontal="center"/>
    </xf>
    <xf numFmtId="2" fontId="8" fillId="16" borderId="5" xfId="0" applyNumberFormat="1" applyFont="1" applyFill="1" applyBorder="1"/>
    <xf numFmtId="2" fontId="1" fillId="16" borderId="5" xfId="0" applyNumberFormat="1" applyFont="1" applyFill="1" applyBorder="1"/>
    <xf numFmtId="14" fontId="15" fillId="14" borderId="5" xfId="0" applyNumberFormat="1" applyFont="1" applyFill="1" applyBorder="1" applyAlignment="1">
      <alignment horizontal="center"/>
    </xf>
    <xf numFmtId="2" fontId="1" fillId="8" borderId="8" xfId="0" applyNumberFormat="1" applyFont="1" applyFill="1" applyBorder="1" applyAlignment="1">
      <alignment horizontal="center"/>
    </xf>
    <xf numFmtId="2" fontId="1" fillId="8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16" fillId="8" borderId="5" xfId="0" applyNumberFormat="1" applyFont="1" applyFill="1" applyBorder="1" applyAlignment="1">
      <alignment horizontal="center"/>
    </xf>
    <xf numFmtId="14" fontId="15" fillId="12" borderId="5" xfId="0" applyNumberFormat="1" applyFont="1" applyFill="1" applyBorder="1" applyAlignment="1">
      <alignment horizontal="center"/>
    </xf>
    <xf numFmtId="14" fontId="15" fillId="3" borderId="5" xfId="0" applyNumberFormat="1" applyFont="1" applyFill="1" applyBorder="1" applyAlignment="1">
      <alignment horizontal="center"/>
    </xf>
    <xf numFmtId="14" fontId="17" fillId="17" borderId="5" xfId="0" applyNumberFormat="1" applyFont="1" applyFill="1" applyBorder="1" applyAlignment="1">
      <alignment horizontal="center"/>
    </xf>
    <xf numFmtId="2" fontId="1" fillId="16" borderId="5" xfId="0" applyNumberFormat="1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14" fontId="5" fillId="4" borderId="5" xfId="0" applyNumberFormat="1" applyFont="1" applyFill="1" applyBorder="1" applyAlignment="1">
      <alignment horizontal="center"/>
    </xf>
    <xf numFmtId="14" fontId="18" fillId="13" borderId="5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15" fillId="12" borderId="6" xfId="0" applyNumberFormat="1" applyFont="1" applyFill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2" fontId="1" fillId="8" borderId="7" xfId="0" applyNumberFormat="1" applyFont="1" applyFill="1" applyBorder="1" applyAlignment="1">
      <alignment horizontal="center"/>
    </xf>
    <xf numFmtId="14" fontId="17" fillId="17" borderId="4" xfId="0" applyNumberFormat="1" applyFont="1" applyFill="1" applyBorder="1" applyAlignment="1">
      <alignment horizontal="center"/>
    </xf>
    <xf numFmtId="2" fontId="16" fillId="16" borderId="5" xfId="0" applyNumberFormat="1" applyFont="1" applyFill="1" applyBorder="1" applyAlignment="1">
      <alignment horizontal="center"/>
    </xf>
    <xf numFmtId="14" fontId="16" fillId="14" borderId="5" xfId="0" applyNumberFormat="1" applyFont="1" applyFill="1" applyBorder="1" applyAlignment="1">
      <alignment horizontal="center"/>
    </xf>
    <xf numFmtId="2" fontId="1" fillId="16" borderId="8" xfId="0" applyNumberFormat="1" applyFont="1" applyFill="1" applyBorder="1" applyAlignment="1">
      <alignment horizontal="center"/>
    </xf>
    <xf numFmtId="14" fontId="15" fillId="16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2" fontId="1" fillId="8" borderId="5" xfId="0" applyNumberFormat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0" fillId="18" borderId="0" xfId="0" applyFill="1"/>
    <xf numFmtId="2" fontId="1" fillId="21" borderId="8" xfId="0" applyNumberFormat="1" applyFont="1" applyFill="1" applyBorder="1" applyAlignment="1">
      <alignment horizontal="center"/>
    </xf>
    <xf numFmtId="2" fontId="16" fillId="21" borderId="5" xfId="0" applyNumberFormat="1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2" fontId="1" fillId="21" borderId="5" xfId="0" applyNumberFormat="1" applyFont="1" applyFill="1" applyBorder="1"/>
    <xf numFmtId="14" fontId="21" fillId="20" borderId="5" xfId="0" applyNumberFormat="1" applyFont="1" applyFill="1" applyBorder="1" applyAlignment="1">
      <alignment horizontal="center"/>
    </xf>
    <xf numFmtId="14" fontId="17" fillId="21" borderId="5" xfId="0" applyNumberFormat="1" applyFont="1" applyFill="1" applyBorder="1" applyAlignment="1">
      <alignment horizontal="center"/>
    </xf>
    <xf numFmtId="0" fontId="6" fillId="21" borderId="5" xfId="0" applyFont="1" applyFill="1" applyBorder="1" applyAlignment="1">
      <alignment horizontal="center"/>
    </xf>
    <xf numFmtId="2" fontId="16" fillId="8" borderId="14" xfId="0" applyNumberFormat="1" applyFont="1" applyFill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2" fontId="1" fillId="7" borderId="14" xfId="0" applyNumberFormat="1" applyFont="1" applyFill="1" applyBorder="1"/>
    <xf numFmtId="2" fontId="1" fillId="8" borderId="14" xfId="0" applyNumberFormat="1" applyFont="1" applyFill="1" applyBorder="1"/>
    <xf numFmtId="14" fontId="17" fillId="17" borderId="14" xfId="0" applyNumberFormat="1" applyFont="1" applyFill="1" applyBorder="1" applyAlignment="1">
      <alignment horizontal="center"/>
    </xf>
    <xf numFmtId="14" fontId="15" fillId="14" borderId="14" xfId="0" applyNumberFormat="1" applyFont="1" applyFill="1" applyBorder="1" applyAlignment="1">
      <alignment horizontal="center"/>
    </xf>
    <xf numFmtId="2" fontId="1" fillId="8" borderId="15" xfId="0" applyNumberFormat="1" applyFont="1" applyFill="1" applyBorder="1" applyAlignment="1">
      <alignment horizontal="center"/>
    </xf>
    <xf numFmtId="14" fontId="19" fillId="10" borderId="14" xfId="0" applyNumberFormat="1" applyFont="1" applyFill="1" applyBorder="1" applyAlignment="1">
      <alignment horizontal="center"/>
    </xf>
    <xf numFmtId="14" fontId="5" fillId="9" borderId="14" xfId="0" applyNumberFormat="1" applyFont="1" applyFill="1" applyBorder="1" applyAlignment="1">
      <alignment horizontal="center"/>
    </xf>
    <xf numFmtId="14" fontId="15" fillId="12" borderId="14" xfId="0" applyNumberFormat="1" applyFont="1" applyFill="1" applyBorder="1" applyAlignment="1">
      <alignment horizontal="center"/>
    </xf>
    <xf numFmtId="14" fontId="23" fillId="23" borderId="14" xfId="0" applyNumberFormat="1" applyFont="1" applyFill="1" applyBorder="1" applyAlignment="1">
      <alignment horizontal="center"/>
    </xf>
    <xf numFmtId="14" fontId="23" fillId="18" borderId="14" xfId="0" applyNumberFormat="1" applyFont="1" applyFill="1" applyBorder="1" applyAlignment="1">
      <alignment horizontal="center"/>
    </xf>
    <xf numFmtId="14" fontId="5" fillId="18" borderId="14" xfId="0" applyNumberFormat="1" applyFont="1" applyFill="1" applyBorder="1" applyAlignment="1">
      <alignment horizontal="center"/>
    </xf>
    <xf numFmtId="14" fontId="19" fillId="18" borderId="14" xfId="0" applyNumberFormat="1" applyFont="1" applyFill="1" applyBorder="1" applyAlignment="1">
      <alignment horizontal="center"/>
    </xf>
    <xf numFmtId="2" fontId="1" fillId="22" borderId="14" xfId="0" applyNumberFormat="1" applyFont="1" applyFill="1" applyBorder="1" applyAlignment="1">
      <alignment horizontal="center"/>
    </xf>
    <xf numFmtId="2" fontId="16" fillId="22" borderId="14" xfId="0" applyNumberFormat="1" applyFont="1" applyFill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24" fillId="0" borderId="14" xfId="0" applyFont="1" applyBorder="1"/>
    <xf numFmtId="14" fontId="21" fillId="18" borderId="14" xfId="0" applyNumberFormat="1" applyFont="1" applyFill="1" applyBorder="1" applyAlignment="1">
      <alignment horizontal="center"/>
    </xf>
    <xf numFmtId="14" fontId="23" fillId="26" borderId="14" xfId="0" applyNumberFormat="1" applyFont="1" applyFill="1" applyBorder="1" applyAlignment="1">
      <alignment horizontal="center"/>
    </xf>
    <xf numFmtId="2" fontId="1" fillId="8" borderId="14" xfId="0" applyNumberFormat="1" applyFont="1" applyFill="1" applyBorder="1" applyAlignment="1">
      <alignment horizontal="center"/>
    </xf>
    <xf numFmtId="14" fontId="15" fillId="3" borderId="1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9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3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31" borderId="14" xfId="0" applyFont="1" applyFill="1" applyBorder="1"/>
    <xf numFmtId="0" fontId="2" fillId="32" borderId="5" xfId="0" applyFont="1" applyFill="1" applyBorder="1"/>
    <xf numFmtId="0" fontId="2" fillId="25" borderId="5" xfId="0" applyFont="1" applyFill="1" applyBorder="1"/>
    <xf numFmtId="0" fontId="2" fillId="32" borderId="14" xfId="0" applyFont="1" applyFill="1" applyBorder="1"/>
    <xf numFmtId="0" fontId="1" fillId="2" borderId="14" xfId="0" applyFont="1" applyFill="1" applyBorder="1"/>
    <xf numFmtId="2" fontId="1" fillId="2" borderId="17" xfId="0" applyNumberFormat="1" applyFont="1" applyFill="1" applyBorder="1"/>
    <xf numFmtId="0" fontId="0" fillId="0" borderId="0" xfId="0"/>
    <xf numFmtId="0" fontId="2" fillId="0" borderId="14" xfId="0" applyFont="1" applyBorder="1"/>
    <xf numFmtId="2" fontId="1" fillId="8" borderId="14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2" fontId="16" fillId="8" borderId="14" xfId="0" applyNumberFormat="1" applyFont="1" applyFill="1" applyBorder="1" applyAlignment="1">
      <alignment horizontal="center"/>
    </xf>
    <xf numFmtId="0" fontId="2" fillId="33" borderId="14" xfId="0" applyFont="1" applyFill="1" applyBorder="1"/>
    <xf numFmtId="2" fontId="1" fillId="22" borderId="14" xfId="0" applyNumberFormat="1" applyFont="1" applyFill="1" applyBorder="1" applyAlignment="1">
      <alignment horizontal="left" vertical="center"/>
    </xf>
    <xf numFmtId="2" fontId="22" fillId="22" borderId="14" xfId="0" applyNumberFormat="1" applyFont="1" applyFill="1" applyBorder="1" applyAlignment="1">
      <alignment horizontal="center"/>
    </xf>
    <xf numFmtId="0" fontId="2" fillId="21" borderId="14" xfId="0" applyFont="1" applyFill="1" applyBorder="1" applyAlignment="1">
      <alignment horizontal="center"/>
    </xf>
    <xf numFmtId="14" fontId="15" fillId="21" borderId="14" xfId="0" applyNumberFormat="1" applyFont="1" applyFill="1" applyBorder="1" applyAlignment="1">
      <alignment horizontal="center"/>
    </xf>
    <xf numFmtId="2" fontId="1" fillId="21" borderId="15" xfId="0" applyNumberFormat="1" applyFont="1" applyFill="1" applyBorder="1" applyAlignment="1">
      <alignment horizontal="center"/>
    </xf>
    <xf numFmtId="2" fontId="16" fillId="21" borderId="14" xfId="0" applyNumberFormat="1" applyFont="1" applyFill="1" applyBorder="1" applyAlignment="1">
      <alignment horizontal="center"/>
    </xf>
    <xf numFmtId="0" fontId="6" fillId="21" borderId="14" xfId="0" applyFont="1" applyFill="1" applyBorder="1" applyAlignment="1">
      <alignment horizontal="center" vertical="center"/>
    </xf>
    <xf numFmtId="2" fontId="1" fillId="21" borderId="14" xfId="0" applyNumberFormat="1" applyFont="1" applyFill="1" applyBorder="1"/>
    <xf numFmtId="0" fontId="6" fillId="24" borderId="14" xfId="0" applyFont="1" applyFill="1" applyBorder="1" applyAlignment="1">
      <alignment horizontal="center" vertical="center"/>
    </xf>
    <xf numFmtId="0" fontId="6" fillId="34" borderId="14" xfId="0" applyFont="1" applyFill="1" applyBorder="1" applyAlignment="1">
      <alignment horizontal="center" vertical="center"/>
    </xf>
    <xf numFmtId="14" fontId="15" fillId="24" borderId="14" xfId="0" applyNumberFormat="1" applyFont="1" applyFill="1" applyBorder="1" applyAlignment="1">
      <alignment horizontal="center"/>
    </xf>
    <xf numFmtId="2" fontId="1" fillId="24" borderId="15" xfId="0" applyNumberFormat="1" applyFont="1" applyFill="1" applyBorder="1" applyAlignment="1">
      <alignment horizontal="center"/>
    </xf>
    <xf numFmtId="2" fontId="16" fillId="24" borderId="14" xfId="0" applyNumberFormat="1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2" fontId="1" fillId="24" borderId="14" xfId="0" applyNumberFormat="1" applyFont="1" applyFill="1" applyBorder="1"/>
    <xf numFmtId="14" fontId="15" fillId="34" borderId="14" xfId="0" applyNumberFormat="1" applyFont="1" applyFill="1" applyBorder="1" applyAlignment="1">
      <alignment horizontal="center"/>
    </xf>
    <xf numFmtId="2" fontId="1" fillId="34" borderId="15" xfId="0" applyNumberFormat="1" applyFont="1" applyFill="1" applyBorder="1" applyAlignment="1">
      <alignment horizontal="center"/>
    </xf>
    <xf numFmtId="0" fontId="2" fillId="34" borderId="14" xfId="0" applyFont="1" applyFill="1" applyBorder="1" applyAlignment="1">
      <alignment horizontal="center"/>
    </xf>
    <xf numFmtId="2" fontId="1" fillId="34" borderId="14" xfId="0" applyNumberFormat="1" applyFont="1" applyFill="1" applyBorder="1"/>
    <xf numFmtId="14" fontId="5" fillId="34" borderId="14" xfId="0" applyNumberFormat="1" applyFont="1" applyFill="1" applyBorder="1" applyAlignment="1">
      <alignment horizontal="center"/>
    </xf>
    <xf numFmtId="165" fontId="26" fillId="0" borderId="18" xfId="0" applyNumberFormat="1" applyFont="1" applyBorder="1" applyAlignment="1">
      <alignment horizontal="center" vertical="top" wrapText="1"/>
    </xf>
    <xf numFmtId="0" fontId="0" fillId="0" borderId="0" xfId="0"/>
    <xf numFmtId="14" fontId="1" fillId="34" borderId="0" xfId="0" applyNumberFormat="1" applyFont="1" applyFill="1" applyAlignment="1">
      <alignment horizontal="center"/>
    </xf>
    <xf numFmtId="0" fontId="1" fillId="34" borderId="0" xfId="0" applyFont="1" applyFill="1"/>
    <xf numFmtId="2" fontId="1" fillId="34" borderId="0" xfId="0" applyNumberFormat="1" applyFont="1" applyFill="1"/>
    <xf numFmtId="0" fontId="2" fillId="34" borderId="0" xfId="0" applyFont="1" applyFill="1" applyAlignment="1">
      <alignment horizontal="center"/>
    </xf>
    <xf numFmtId="0" fontId="0" fillId="24" borderId="0" xfId="0" applyFill="1"/>
    <xf numFmtId="165" fontId="26" fillId="24" borderId="18" xfId="0" applyNumberFormat="1" applyFont="1" applyFill="1" applyBorder="1" applyAlignment="1">
      <alignment horizontal="center" vertical="top" wrapText="1"/>
    </xf>
    <xf numFmtId="14" fontId="23" fillId="34" borderId="14" xfId="0" applyNumberFormat="1" applyFont="1" applyFill="1" applyBorder="1" applyAlignment="1">
      <alignment horizontal="center"/>
    </xf>
    <xf numFmtId="0" fontId="27" fillId="18" borderId="20" xfId="7" applyNumberFormat="1" applyFont="1" applyFill="1" applyBorder="1" applyAlignment="1"/>
    <xf numFmtId="0" fontId="27" fillId="18" borderId="19" xfId="7" applyNumberFormat="1" applyFont="1" applyFill="1" applyBorder="1" applyAlignment="1"/>
    <xf numFmtId="2" fontId="2" fillId="0" borderId="14" xfId="0" applyNumberFormat="1" applyFont="1" applyBorder="1" applyAlignment="1">
      <alignment horizontal="center"/>
    </xf>
    <xf numFmtId="165" fontId="16" fillId="8" borderId="14" xfId="0" applyNumberFormat="1" applyFont="1" applyFill="1" applyBorder="1" applyAlignment="1">
      <alignment horizontal="center"/>
    </xf>
    <xf numFmtId="14" fontId="21" fillId="18" borderId="6" xfId="0" applyNumberFormat="1" applyFont="1" applyFill="1" applyBorder="1" applyAlignment="1">
      <alignment horizontal="center"/>
    </xf>
    <xf numFmtId="2" fontId="1" fillId="8" borderId="21" xfId="0" applyNumberFormat="1" applyFont="1" applyFill="1" applyBorder="1" applyAlignment="1">
      <alignment horizontal="center"/>
    </xf>
    <xf numFmtId="2" fontId="16" fillId="8" borderId="6" xfId="0" applyNumberFormat="1" applyFont="1" applyFill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2" fontId="1" fillId="7" borderId="6" xfId="0" applyNumberFormat="1" applyFont="1" applyFill="1" applyBorder="1"/>
    <xf numFmtId="2" fontId="1" fillId="8" borderId="6" xfId="0" applyNumberFormat="1" applyFont="1" applyFill="1" applyBorder="1"/>
    <xf numFmtId="14" fontId="15" fillId="12" borderId="12" xfId="0" applyNumberFormat="1" applyFont="1" applyFill="1" applyBorder="1" applyAlignment="1">
      <alignment horizontal="center"/>
    </xf>
    <xf numFmtId="2" fontId="1" fillId="8" borderId="12" xfId="0" applyNumberFormat="1" applyFont="1" applyFill="1" applyBorder="1" applyAlignment="1">
      <alignment horizontal="center"/>
    </xf>
    <xf numFmtId="2" fontId="16" fillId="8" borderId="12" xfId="0" applyNumberFormat="1" applyFont="1" applyFill="1" applyBorder="1" applyAlignment="1">
      <alignment horizont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2" fontId="1" fillId="7" borderId="12" xfId="0" applyNumberFormat="1" applyFont="1" applyFill="1" applyBorder="1"/>
    <xf numFmtId="2" fontId="1" fillId="8" borderId="12" xfId="0" applyNumberFormat="1" applyFont="1" applyFill="1" applyBorder="1"/>
    <xf numFmtId="14" fontId="16" fillId="16" borderId="13" xfId="0" applyNumberFormat="1" applyFont="1" applyFill="1" applyBorder="1" applyAlignment="1">
      <alignment horizontal="center"/>
    </xf>
    <xf numFmtId="2" fontId="1" fillId="16" borderId="9" xfId="0" applyNumberFormat="1" applyFont="1" applyFill="1" applyBorder="1" applyAlignment="1">
      <alignment horizontal="center"/>
    </xf>
    <xf numFmtId="0" fontId="6" fillId="16" borderId="9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/>
    </xf>
    <xf numFmtId="2" fontId="1" fillId="16" borderId="9" xfId="0" applyNumberFormat="1" applyFont="1" applyFill="1" applyBorder="1"/>
    <xf numFmtId="2" fontId="1" fillId="16" borderId="22" xfId="0" applyNumberFormat="1" applyFont="1" applyFill="1" applyBorder="1"/>
    <xf numFmtId="14" fontId="5" fillId="16" borderId="23" xfId="0" applyNumberFormat="1" applyFont="1" applyFill="1" applyBorder="1" applyAlignment="1">
      <alignment horizontal="center" vertical="center" wrapText="1"/>
    </xf>
    <xf numFmtId="14" fontId="5" fillId="16" borderId="24" xfId="0" applyNumberFormat="1" applyFont="1" applyFill="1" applyBorder="1" applyAlignment="1">
      <alignment horizontal="center" vertical="center"/>
    </xf>
    <xf numFmtId="14" fontId="5" fillId="16" borderId="24" xfId="0" applyNumberFormat="1" applyFont="1" applyFill="1" applyBorder="1" applyAlignment="1">
      <alignment horizontal="center" vertical="center" wrapText="1"/>
    </xf>
    <xf numFmtId="0" fontId="5" fillId="16" borderId="24" xfId="0" applyFont="1" applyFill="1" applyBorder="1" applyAlignment="1">
      <alignment horizontal="center" vertical="center"/>
    </xf>
    <xf numFmtId="2" fontId="5" fillId="16" borderId="10" xfId="0" applyNumberFormat="1" applyFont="1" applyFill="1" applyBorder="1" applyAlignment="1">
      <alignment vertical="center"/>
    </xf>
    <xf numFmtId="2" fontId="5" fillId="16" borderId="25" xfId="0" applyNumberFormat="1" applyFont="1" applyFill="1" applyBorder="1" applyAlignment="1">
      <alignment vertical="center"/>
    </xf>
    <xf numFmtId="14" fontId="15" fillId="35" borderId="13" xfId="0" applyNumberFormat="1" applyFont="1" applyFill="1" applyBorder="1" applyAlignment="1">
      <alignment horizontal="center"/>
    </xf>
    <xf numFmtId="2" fontId="1" fillId="35" borderId="11" xfId="0" applyNumberFormat="1" applyFont="1" applyFill="1" applyBorder="1" applyAlignment="1">
      <alignment horizontal="center"/>
    </xf>
    <xf numFmtId="2" fontId="16" fillId="35" borderId="9" xfId="0" applyNumberFormat="1" applyFont="1" applyFill="1" applyBorder="1" applyAlignment="1">
      <alignment horizontal="center"/>
    </xf>
    <xf numFmtId="0" fontId="6" fillId="35" borderId="9" xfId="0" applyFont="1" applyFill="1" applyBorder="1" applyAlignment="1">
      <alignment horizontal="center" vertical="center"/>
    </xf>
    <xf numFmtId="0" fontId="2" fillId="35" borderId="9" xfId="0" applyFont="1" applyFill="1" applyBorder="1" applyAlignment="1">
      <alignment horizontal="center"/>
    </xf>
    <xf numFmtId="2" fontId="1" fillId="35" borderId="9" xfId="0" applyNumberFormat="1" applyFont="1" applyFill="1" applyBorder="1"/>
    <xf numFmtId="2" fontId="1" fillId="35" borderId="22" xfId="0" applyNumberFormat="1" applyFont="1" applyFill="1" applyBorder="1"/>
    <xf numFmtId="2" fontId="1" fillId="8" borderId="6" xfId="0" applyNumberFormat="1" applyFont="1" applyFill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2" fontId="1" fillId="8" borderId="26" xfId="0" applyNumberFormat="1" applyFont="1" applyFill="1" applyBorder="1" applyAlignment="1">
      <alignment horizontal="center"/>
    </xf>
    <xf numFmtId="0" fontId="24" fillId="0" borderId="12" xfId="0" applyFont="1" applyBorder="1"/>
    <xf numFmtId="0" fontId="1" fillId="0" borderId="12" xfId="0" applyFont="1" applyBorder="1" applyAlignment="1">
      <alignment horizontal="center"/>
    </xf>
    <xf numFmtId="14" fontId="15" fillId="16" borderId="13" xfId="0" applyNumberFormat="1" applyFont="1" applyFill="1" applyBorder="1" applyAlignment="1">
      <alignment horizontal="center"/>
    </xf>
    <xf numFmtId="2" fontId="16" fillId="16" borderId="9" xfId="0" applyNumberFormat="1" applyFont="1" applyFill="1" applyBorder="1" applyAlignment="1">
      <alignment horizontal="center"/>
    </xf>
    <xf numFmtId="2" fontId="5" fillId="11" borderId="0" xfId="0" applyNumberFormat="1" applyFont="1" applyFill="1"/>
    <xf numFmtId="2" fontId="5" fillId="4" borderId="0" xfId="1" applyNumberFormat="1" applyFont="1" applyFill="1"/>
    <xf numFmtId="2" fontId="5" fillId="5" borderId="0" xfId="0" applyNumberFormat="1" applyFont="1" applyFill="1"/>
    <xf numFmtId="2" fontId="5" fillId="6" borderId="0" xfId="0" applyNumberFormat="1" applyFont="1" applyFill="1"/>
    <xf numFmtId="2" fontId="5" fillId="16" borderId="24" xfId="1" applyNumberFormat="1" applyFont="1" applyFill="1" applyBorder="1" applyAlignment="1">
      <alignment horizontal="center" vertical="center"/>
    </xf>
    <xf numFmtId="2" fontId="1" fillId="35" borderId="9" xfId="1" applyNumberFormat="1" applyFont="1" applyFill="1" applyBorder="1"/>
    <xf numFmtId="2" fontId="1" fillId="24" borderId="14" xfId="1" applyNumberFormat="1" applyFont="1" applyFill="1" applyBorder="1"/>
    <xf numFmtId="2" fontId="1" fillId="4" borderId="5" xfId="1" applyNumberFormat="1" applyFont="1" applyFill="1" applyBorder="1"/>
    <xf numFmtId="2" fontId="1" fillId="5" borderId="5" xfId="0" applyNumberFormat="1" applyFont="1" applyFill="1" applyBorder="1"/>
    <xf numFmtId="2" fontId="1" fillId="6" borderId="5" xfId="0" applyNumberFormat="1" applyFont="1" applyFill="1" applyBorder="1"/>
    <xf numFmtId="2" fontId="1" fillId="21" borderId="14" xfId="1" applyNumberFormat="1" applyFont="1" applyFill="1" applyBorder="1"/>
    <xf numFmtId="2" fontId="1" fillId="4" borderId="14" xfId="1" applyNumberFormat="1" applyFont="1" applyFill="1" applyBorder="1"/>
    <xf numFmtId="2" fontId="1" fillId="4" borderId="6" xfId="1" applyNumberFormat="1" applyFont="1" applyFill="1" applyBorder="1"/>
    <xf numFmtId="2" fontId="1" fillId="16" borderId="9" xfId="1" applyNumberFormat="1" applyFont="1" applyFill="1" applyBorder="1"/>
    <xf numFmtId="2" fontId="1" fillId="4" borderId="12" xfId="1" applyNumberFormat="1" applyFont="1" applyFill="1" applyBorder="1"/>
    <xf numFmtId="2" fontId="1" fillId="4" borderId="9" xfId="1" applyNumberFormat="1" applyFont="1" applyFill="1" applyBorder="1"/>
    <xf numFmtId="2" fontId="8" fillId="16" borderId="5" xfId="1" applyNumberFormat="1" applyFont="1" applyFill="1" applyBorder="1"/>
    <xf numFmtId="2" fontId="1" fillId="21" borderId="5" xfId="1" applyNumberFormat="1" applyFont="1" applyFill="1" applyBorder="1"/>
    <xf numFmtId="2" fontId="1" fillId="16" borderId="5" xfId="1" applyNumberFormat="1" applyFont="1" applyFill="1" applyBorder="1"/>
    <xf numFmtId="2" fontId="2" fillId="16" borderId="5" xfId="0" applyNumberFormat="1" applyFont="1" applyFill="1" applyBorder="1" applyAlignment="1">
      <alignment horizontal="center"/>
    </xf>
    <xf numFmtId="2" fontId="1" fillId="2" borderId="0" xfId="1" applyNumberFormat="1" applyFont="1" applyFill="1"/>
    <xf numFmtId="0" fontId="2" fillId="11" borderId="0" xfId="0" applyFont="1" applyFill="1"/>
    <xf numFmtId="2" fontId="2" fillId="11" borderId="0" xfId="0" applyNumberFormat="1" applyFont="1" applyFill="1"/>
    <xf numFmtId="0" fontId="1" fillId="11" borderId="0" xfId="0" applyNumberFormat="1" applyFont="1" applyFill="1" applyAlignment="1">
      <alignment horizontal="center"/>
    </xf>
    <xf numFmtId="0" fontId="13" fillId="3" borderId="16" xfId="0" applyNumberFormat="1" applyFont="1" applyFill="1" applyBorder="1" applyAlignment="1">
      <alignment horizontal="center"/>
    </xf>
    <xf numFmtId="0" fontId="5" fillId="16" borderId="27" xfId="0" applyNumberFormat="1" applyFont="1" applyFill="1" applyBorder="1" applyAlignment="1">
      <alignment horizontal="center" vertical="center" wrapText="1"/>
    </xf>
    <xf numFmtId="0" fontId="15" fillId="35" borderId="16" xfId="0" applyNumberFormat="1" applyFont="1" applyFill="1" applyBorder="1" applyAlignment="1">
      <alignment horizontal="center"/>
    </xf>
    <xf numFmtId="0" fontId="15" fillId="24" borderId="15" xfId="0" applyNumberFormat="1" applyFont="1" applyFill="1" applyBorder="1" applyAlignment="1">
      <alignment horizontal="center"/>
    </xf>
    <xf numFmtId="0" fontId="15" fillId="14" borderId="15" xfId="0" applyNumberFormat="1" applyFont="1" applyFill="1" applyBorder="1" applyAlignment="1">
      <alignment horizontal="center"/>
    </xf>
    <xf numFmtId="0" fontId="15" fillId="21" borderId="15" xfId="0" applyNumberFormat="1" applyFont="1" applyFill="1" applyBorder="1" applyAlignment="1">
      <alignment horizontal="center"/>
    </xf>
    <xf numFmtId="0" fontId="23" fillId="26" borderId="15" xfId="0" applyNumberFormat="1" applyFont="1" applyFill="1" applyBorder="1" applyAlignment="1">
      <alignment horizontal="center"/>
    </xf>
    <xf numFmtId="0" fontId="0" fillId="24" borderId="0" xfId="0" applyNumberFormat="1" applyFill="1"/>
    <xf numFmtId="0" fontId="23" fillId="34" borderId="15" xfId="0" applyNumberFormat="1" applyFont="1" applyFill="1" applyBorder="1" applyAlignment="1">
      <alignment horizontal="center"/>
    </xf>
    <xf numFmtId="0" fontId="15" fillId="34" borderId="14" xfId="0" applyNumberFormat="1" applyFont="1" applyFill="1" applyBorder="1" applyAlignment="1">
      <alignment horizontal="center"/>
    </xf>
    <xf numFmtId="0" fontId="15" fillId="34" borderId="15" xfId="0" applyNumberFormat="1" applyFont="1" applyFill="1" applyBorder="1" applyAlignment="1">
      <alignment horizontal="center"/>
    </xf>
    <xf numFmtId="0" fontId="1" fillId="34" borderId="0" xfId="0" applyNumberFormat="1" applyFont="1" applyFill="1" applyAlignment="1">
      <alignment horizontal="center"/>
    </xf>
    <xf numFmtId="0" fontId="21" fillId="18" borderId="15" xfId="0" applyNumberFormat="1" applyFont="1" applyFill="1" applyBorder="1" applyAlignment="1">
      <alignment horizontal="center"/>
    </xf>
    <xf numFmtId="0" fontId="21" fillId="20" borderId="15" xfId="0" applyNumberFormat="1" applyFont="1" applyFill="1" applyBorder="1" applyAlignment="1">
      <alignment horizontal="center"/>
    </xf>
    <xf numFmtId="0" fontId="21" fillId="18" borderId="21" xfId="0" applyNumberFormat="1" applyFont="1" applyFill="1" applyBorder="1" applyAlignment="1">
      <alignment horizontal="center"/>
    </xf>
    <xf numFmtId="0" fontId="16" fillId="16" borderId="28" xfId="0" applyNumberFormat="1" applyFont="1" applyFill="1" applyBorder="1" applyAlignment="1">
      <alignment horizontal="center"/>
    </xf>
    <xf numFmtId="0" fontId="15" fillId="12" borderId="12" xfId="0" applyNumberFormat="1" applyFont="1" applyFill="1" applyBorder="1" applyAlignment="1">
      <alignment horizontal="center"/>
    </xf>
    <xf numFmtId="0" fontId="15" fillId="3" borderId="14" xfId="0" applyNumberFormat="1" applyFont="1" applyFill="1" applyBorder="1" applyAlignment="1">
      <alignment horizontal="center"/>
    </xf>
    <xf numFmtId="0" fontId="17" fillId="17" borderId="14" xfId="0" applyNumberFormat="1" applyFont="1" applyFill="1" applyBorder="1" applyAlignment="1">
      <alignment horizontal="center"/>
    </xf>
    <xf numFmtId="0" fontId="15" fillId="12" borderId="14" xfId="0" applyNumberFormat="1" applyFont="1" applyFill="1" applyBorder="1" applyAlignment="1">
      <alignment horizontal="center"/>
    </xf>
    <xf numFmtId="0" fontId="18" fillId="13" borderId="14" xfId="0" applyNumberFormat="1" applyFont="1" applyFill="1" applyBorder="1" applyAlignment="1">
      <alignment horizontal="center"/>
    </xf>
    <xf numFmtId="0" fontId="15" fillId="12" borderId="6" xfId="0" applyNumberFormat="1" applyFont="1" applyFill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17" fillId="17" borderId="12" xfId="0" applyNumberFormat="1" applyFont="1" applyFill="1" applyBorder="1" applyAlignment="1">
      <alignment horizontal="center"/>
    </xf>
    <xf numFmtId="0" fontId="15" fillId="16" borderId="28" xfId="0" applyNumberFormat="1" applyFont="1" applyFill="1" applyBorder="1" applyAlignment="1">
      <alignment horizontal="center"/>
    </xf>
    <xf numFmtId="0" fontId="24" fillId="0" borderId="12" xfId="0" applyNumberFormat="1" applyFont="1" applyBorder="1" applyAlignment="1">
      <alignment horizontal="center"/>
    </xf>
    <xf numFmtId="0" fontId="24" fillId="0" borderId="14" xfId="0" applyNumberFormat="1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5" fillId="0" borderId="7" xfId="0" applyNumberFormat="1" applyFont="1" applyBorder="1" applyAlignment="1">
      <alignment horizontal="center"/>
    </xf>
    <xf numFmtId="0" fontId="5" fillId="16" borderId="14" xfId="0" applyNumberFormat="1" applyFont="1" applyFill="1" applyBorder="1" applyAlignment="1">
      <alignment horizontal="center"/>
    </xf>
    <xf numFmtId="0" fontId="16" fillId="14" borderId="15" xfId="0" applyNumberFormat="1" applyFont="1" applyFill="1" applyBorder="1" applyAlignment="1">
      <alignment horizontal="center"/>
    </xf>
    <xf numFmtId="0" fontId="17" fillId="17" borderId="15" xfId="0" applyNumberFormat="1" applyFont="1" applyFill="1" applyBorder="1" applyAlignment="1">
      <alignment horizontal="center"/>
    </xf>
    <xf numFmtId="0" fontId="15" fillId="12" borderId="15" xfId="0" applyNumberFormat="1" applyFont="1" applyFill="1" applyBorder="1" applyAlignment="1">
      <alignment horizontal="center"/>
    </xf>
    <xf numFmtId="0" fontId="17" fillId="21" borderId="15" xfId="0" applyNumberFormat="1" applyFont="1" applyFill="1" applyBorder="1" applyAlignment="1">
      <alignment horizontal="center"/>
    </xf>
    <xf numFmtId="0" fontId="15" fillId="16" borderId="14" xfId="0" applyNumberFormat="1" applyFont="1" applyFill="1" applyBorder="1" applyAlignment="1">
      <alignment horizontal="center"/>
    </xf>
    <xf numFmtId="0" fontId="1" fillId="2" borderId="14" xfId="0" applyNumberFormat="1" applyFont="1" applyFill="1" applyBorder="1"/>
    <xf numFmtId="0" fontId="1" fillId="0" borderId="14" xfId="0" applyNumberFormat="1" applyFont="1" applyBorder="1"/>
    <xf numFmtId="0" fontId="5" fillId="4" borderId="14" xfId="0" applyNumberFormat="1" applyFont="1" applyFill="1" applyBorder="1" applyAlignment="1">
      <alignment horizontal="center"/>
    </xf>
    <xf numFmtId="0" fontId="5" fillId="4" borderId="6" xfId="0" applyNumberFormat="1" applyFont="1" applyFill="1" applyBorder="1" applyAlignment="1">
      <alignment horizontal="center"/>
    </xf>
    <xf numFmtId="0" fontId="15" fillId="16" borderId="15" xfId="0" applyNumberFormat="1" applyFont="1" applyFill="1" applyBorder="1" applyAlignment="1">
      <alignment horizontal="center"/>
    </xf>
    <xf numFmtId="0" fontId="5" fillId="18" borderId="14" xfId="0" applyNumberFormat="1" applyFont="1" applyFill="1" applyBorder="1" applyAlignment="1">
      <alignment horizontal="center"/>
    </xf>
    <xf numFmtId="0" fontId="6" fillId="16" borderId="5" xfId="0" applyNumberFormat="1" applyFont="1" applyFill="1" applyBorder="1" applyAlignment="1">
      <alignment horizontal="center"/>
    </xf>
    <xf numFmtId="0" fontId="2" fillId="0" borderId="14" xfId="0" applyNumberFormat="1" applyFont="1" applyBorder="1" applyAlignment="1">
      <alignment horizontal="center"/>
    </xf>
    <xf numFmtId="0" fontId="2" fillId="33" borderId="14" xfId="0" applyNumberFormat="1" applyFont="1" applyFill="1" applyBorder="1" applyAlignment="1">
      <alignment horizontal="center"/>
    </xf>
    <xf numFmtId="0" fontId="1" fillId="0" borderId="0" xfId="0" applyNumberFormat="1" applyFont="1" applyAlignment="1">
      <alignment horizontal="center"/>
    </xf>
    <xf numFmtId="2" fontId="2" fillId="11" borderId="0" xfId="2" applyNumberFormat="1" applyFont="1" applyFill="1" applyAlignment="1" applyProtection="1">
      <alignment horizontal="center" wrapText="1"/>
    </xf>
    <xf numFmtId="2" fontId="12" fillId="15" borderId="0" xfId="2" applyNumberFormat="1" applyFont="1" applyFill="1" applyBorder="1" applyAlignment="1" applyProtection="1"/>
    <xf numFmtId="2" fontId="12" fillId="15" borderId="29" xfId="2" applyNumberFormat="1" applyFont="1" applyFill="1" applyBorder="1" applyAlignment="1" applyProtection="1"/>
    <xf numFmtId="2" fontId="16" fillId="8" borderId="0" xfId="0" applyNumberFormat="1" applyFont="1" applyFill="1" applyBorder="1" applyAlignment="1">
      <alignment horizontal="center"/>
    </xf>
    <xf numFmtId="2" fontId="1" fillId="5" borderId="14" xfId="0" applyNumberFormat="1" applyFont="1" applyFill="1" applyBorder="1"/>
    <xf numFmtId="2" fontId="1" fillId="6" borderId="14" xfId="0" applyNumberFormat="1" applyFont="1" applyFill="1" applyBorder="1"/>
    <xf numFmtId="0" fontId="2" fillId="0" borderId="0" xfId="0" applyFont="1" applyBorder="1" applyAlignment="1">
      <alignment horizontal="center"/>
    </xf>
    <xf numFmtId="2" fontId="1" fillId="4" borderId="0" xfId="1" applyNumberFormat="1" applyFont="1" applyFill="1" applyBorder="1"/>
    <xf numFmtId="2" fontId="1" fillId="5" borderId="0" xfId="0" applyNumberFormat="1" applyFont="1" applyFill="1" applyBorder="1"/>
    <xf numFmtId="2" fontId="1" fillId="6" borderId="0" xfId="0" applyNumberFormat="1" applyFont="1" applyFill="1" applyBorder="1"/>
    <xf numFmtId="14" fontId="21" fillId="18" borderId="0" xfId="0" applyNumberFormat="1" applyFont="1" applyFill="1" applyBorder="1" applyAlignment="1">
      <alignment horizontal="center"/>
    </xf>
  </cellXfs>
  <cellStyles count="8">
    <cellStyle name="Euro" xfId="1"/>
    <cellStyle name="Hipervínculo" xfId="2" builtinId="8"/>
    <cellStyle name="Moneda 2" xfId="4"/>
    <cellStyle name="Moneda 2 2" xfId="6"/>
    <cellStyle name="Normal" xfId="0" builtinId="0"/>
    <cellStyle name="Normal 2" xfId="3"/>
    <cellStyle name="Normal 5" xfId="7"/>
    <cellStyle name="Porcentaje 2" xfId="5"/>
  </cellStyles>
  <dxfs count="0"/>
  <tableStyles count="0" defaultTableStyle="TableStyleMedium2" defaultPivotStyle="PivotStyleLight16"/>
  <colors>
    <mruColors>
      <color rgb="FFFF0000"/>
      <color rgb="FFFFFF99"/>
      <color rgb="FF009999"/>
      <color rgb="FFFFFFCC"/>
      <color rgb="FFCCECFF"/>
      <color rgb="FFCCFFFF"/>
      <color rgb="FF33CCFF"/>
      <color rgb="FFFF0066"/>
      <color rgb="FF66FFFF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114300</xdr:rowOff>
    </xdr:from>
    <xdr:to>
      <xdr:col>2</xdr:col>
      <xdr:colOff>419100</xdr:colOff>
      <xdr:row>3</xdr:row>
      <xdr:rowOff>95250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2049"/>
            </a:ext>
          </a:extLst>
        </xdr:cNvPr>
        <xdr:cNvSpPr/>
      </xdr:nvSpPr>
      <xdr:spPr bwMode="auto">
        <a:xfrm>
          <a:off x="180975" y="114300"/>
          <a:ext cx="151447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180975</xdr:colOff>
      <xdr:row>0</xdr:row>
      <xdr:rowOff>114300</xdr:rowOff>
    </xdr:from>
    <xdr:to>
      <xdr:col>2</xdr:col>
      <xdr:colOff>419100</xdr:colOff>
      <xdr:row>3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4300"/>
          <a:ext cx="151447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114300</xdr:rowOff>
    </xdr:from>
    <xdr:to>
      <xdr:col>2</xdr:col>
      <xdr:colOff>419100</xdr:colOff>
      <xdr:row>3</xdr:row>
      <xdr:rowOff>95250</xdr:rowOff>
    </xdr:to>
    <xdr:sp macro="" textlink="">
      <xdr:nvSpPr>
        <xdr:cNvPr id="2049" name="Object 1" hidden="1">
          <a:extLst>
            <a:ext uri="{63B3BB69-23CF-44E3-9099-C40C66FF867C}">
              <a14:compatExt xmlns:a14="http://schemas.microsoft.com/office/drawing/2010/main" spid="_x0000_s204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180975</xdr:colOff>
      <xdr:row>0</xdr:row>
      <xdr:rowOff>114300</xdr:rowOff>
    </xdr:from>
    <xdr:to>
      <xdr:col>2</xdr:col>
      <xdr:colOff>419100</xdr:colOff>
      <xdr:row>3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4300"/>
          <a:ext cx="151447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339"/>
  <sheetViews>
    <sheetView tabSelected="1" zoomScaleNormal="100" workbookViewId="0">
      <pane ySplit="6" topLeftCell="A122" activePane="bottomLeft" state="frozen"/>
      <selection activeCell="H9" sqref="H9"/>
      <selection pane="bottomLeft" activeCell="A132" sqref="A132:XFD132"/>
    </sheetView>
  </sheetViews>
  <sheetFormatPr baseColWidth="10" defaultRowHeight="15" x14ac:dyDescent="0.25"/>
  <cols>
    <col min="1" max="1" width="9.5703125" style="51" customWidth="1"/>
    <col min="2" max="2" width="9.5703125" style="248" customWidth="1"/>
    <col min="3" max="3" width="14.28515625" style="1" bestFit="1" customWidth="1"/>
    <col min="4" max="4" width="10.5703125" style="52" bestFit="1" customWidth="1"/>
    <col min="5" max="5" width="10.5703125" style="52" hidden="1" customWidth="1"/>
    <col min="6" max="7" width="46.28515625" style="1" customWidth="1"/>
    <col min="8" max="8" width="12.85546875" style="53" customWidth="1"/>
    <col min="9" max="9" width="12.7109375" style="53" customWidth="1"/>
    <col min="10" max="10" width="5.85546875" style="53" bestFit="1" customWidth="1"/>
    <col min="11" max="11" width="13.85546875" style="200" bestFit="1" customWidth="1"/>
    <col min="12" max="13" width="13.85546875" style="6" bestFit="1" customWidth="1"/>
    <col min="14" max="14" width="10.28515625" style="6" bestFit="1" customWidth="1"/>
    <col min="15" max="15" width="9.42578125" style="6" bestFit="1" customWidth="1"/>
    <col min="16" max="17" width="11.42578125" style="54"/>
    <col min="18" max="260" width="11.42578125" style="128"/>
    <col min="261" max="261" width="9.5703125" style="128" customWidth="1"/>
    <col min="262" max="262" width="9.85546875" style="128" customWidth="1"/>
    <col min="263" max="263" width="7.140625" style="128" customWidth="1"/>
    <col min="264" max="264" width="46.28515625" style="128" customWidth="1"/>
    <col min="265" max="265" width="12.85546875" style="128" customWidth="1"/>
    <col min="266" max="266" width="12.7109375" style="128" customWidth="1"/>
    <col min="267" max="267" width="9.7109375" style="128" customWidth="1"/>
    <col min="268" max="268" width="7.42578125" style="128" customWidth="1"/>
    <col min="269" max="269" width="7.28515625" style="128" customWidth="1"/>
    <col min="270" max="270" width="7.42578125" style="128" customWidth="1"/>
    <col min="271" max="271" width="8" style="128" customWidth="1"/>
    <col min="272" max="516" width="11.42578125" style="128"/>
    <col min="517" max="517" width="9.5703125" style="128" customWidth="1"/>
    <col min="518" max="518" width="9.85546875" style="128" customWidth="1"/>
    <col min="519" max="519" width="7.140625" style="128" customWidth="1"/>
    <col min="520" max="520" width="46.28515625" style="128" customWidth="1"/>
    <col min="521" max="521" width="12.85546875" style="128" customWidth="1"/>
    <col min="522" max="522" width="12.7109375" style="128" customWidth="1"/>
    <col min="523" max="523" width="9.7109375" style="128" customWidth="1"/>
    <col min="524" max="524" width="7.42578125" style="128" customWidth="1"/>
    <col min="525" max="525" width="7.28515625" style="128" customWidth="1"/>
    <col min="526" max="526" width="7.42578125" style="128" customWidth="1"/>
    <col min="527" max="527" width="8" style="128" customWidth="1"/>
    <col min="528" max="772" width="11.42578125" style="128"/>
    <col min="773" max="773" width="9.5703125" style="128" customWidth="1"/>
    <col min="774" max="774" width="9.85546875" style="128" customWidth="1"/>
    <col min="775" max="775" width="7.140625" style="128" customWidth="1"/>
    <col min="776" max="776" width="46.28515625" style="128" customWidth="1"/>
    <col min="777" max="777" width="12.85546875" style="128" customWidth="1"/>
    <col min="778" max="778" width="12.7109375" style="128" customWidth="1"/>
    <col min="779" max="779" width="9.7109375" style="128" customWidth="1"/>
    <col min="780" max="780" width="7.42578125" style="128" customWidth="1"/>
    <col min="781" max="781" width="7.28515625" style="128" customWidth="1"/>
    <col min="782" max="782" width="7.42578125" style="128" customWidth="1"/>
    <col min="783" max="783" width="8" style="128" customWidth="1"/>
    <col min="784" max="1028" width="11.42578125" style="128"/>
    <col min="1029" max="1029" width="9.5703125" style="128" customWidth="1"/>
    <col min="1030" max="1030" width="9.85546875" style="128" customWidth="1"/>
    <col min="1031" max="1031" width="7.140625" style="128" customWidth="1"/>
    <col min="1032" max="1032" width="46.28515625" style="128" customWidth="1"/>
    <col min="1033" max="1033" width="12.85546875" style="128" customWidth="1"/>
    <col min="1034" max="1034" width="12.7109375" style="128" customWidth="1"/>
    <col min="1035" max="1035" width="9.7109375" style="128" customWidth="1"/>
    <col min="1036" max="1036" width="7.42578125" style="128" customWidth="1"/>
    <col min="1037" max="1037" width="7.28515625" style="128" customWidth="1"/>
    <col min="1038" max="1038" width="7.42578125" style="128" customWidth="1"/>
    <col min="1039" max="1039" width="8" style="128" customWidth="1"/>
    <col min="1040" max="1284" width="11.42578125" style="128"/>
    <col min="1285" max="1285" width="9.5703125" style="128" customWidth="1"/>
    <col min="1286" max="1286" width="9.85546875" style="128" customWidth="1"/>
    <col min="1287" max="1287" width="7.140625" style="128" customWidth="1"/>
    <col min="1288" max="1288" width="46.28515625" style="128" customWidth="1"/>
    <col min="1289" max="1289" width="12.85546875" style="128" customWidth="1"/>
    <col min="1290" max="1290" width="12.7109375" style="128" customWidth="1"/>
    <col min="1291" max="1291" width="9.7109375" style="128" customWidth="1"/>
    <col min="1292" max="1292" width="7.42578125" style="128" customWidth="1"/>
    <col min="1293" max="1293" width="7.28515625" style="128" customWidth="1"/>
    <col min="1294" max="1294" width="7.42578125" style="128" customWidth="1"/>
    <col min="1295" max="1295" width="8" style="128" customWidth="1"/>
    <col min="1296" max="1540" width="11.42578125" style="128"/>
    <col min="1541" max="1541" width="9.5703125" style="128" customWidth="1"/>
    <col min="1542" max="1542" width="9.85546875" style="128" customWidth="1"/>
    <col min="1543" max="1543" width="7.140625" style="128" customWidth="1"/>
    <col min="1544" max="1544" width="46.28515625" style="128" customWidth="1"/>
    <col min="1545" max="1545" width="12.85546875" style="128" customWidth="1"/>
    <col min="1546" max="1546" width="12.7109375" style="128" customWidth="1"/>
    <col min="1547" max="1547" width="9.7109375" style="128" customWidth="1"/>
    <col min="1548" max="1548" width="7.42578125" style="128" customWidth="1"/>
    <col min="1549" max="1549" width="7.28515625" style="128" customWidth="1"/>
    <col min="1550" max="1550" width="7.42578125" style="128" customWidth="1"/>
    <col min="1551" max="1551" width="8" style="128" customWidth="1"/>
    <col min="1552" max="1796" width="11.42578125" style="128"/>
    <col min="1797" max="1797" width="9.5703125" style="128" customWidth="1"/>
    <col min="1798" max="1798" width="9.85546875" style="128" customWidth="1"/>
    <col min="1799" max="1799" width="7.140625" style="128" customWidth="1"/>
    <col min="1800" max="1800" width="46.28515625" style="128" customWidth="1"/>
    <col min="1801" max="1801" width="12.85546875" style="128" customWidth="1"/>
    <col min="1802" max="1802" width="12.7109375" style="128" customWidth="1"/>
    <col min="1803" max="1803" width="9.7109375" style="128" customWidth="1"/>
    <col min="1804" max="1804" width="7.42578125" style="128" customWidth="1"/>
    <col min="1805" max="1805" width="7.28515625" style="128" customWidth="1"/>
    <col min="1806" max="1806" width="7.42578125" style="128" customWidth="1"/>
    <col min="1807" max="1807" width="8" style="128" customWidth="1"/>
    <col min="1808" max="2052" width="11.42578125" style="128"/>
    <col min="2053" max="2053" width="9.5703125" style="128" customWidth="1"/>
    <col min="2054" max="2054" width="9.85546875" style="128" customWidth="1"/>
    <col min="2055" max="2055" width="7.140625" style="128" customWidth="1"/>
    <col min="2056" max="2056" width="46.28515625" style="128" customWidth="1"/>
    <col min="2057" max="2057" width="12.85546875" style="128" customWidth="1"/>
    <col min="2058" max="2058" width="12.7109375" style="128" customWidth="1"/>
    <col min="2059" max="2059" width="9.7109375" style="128" customWidth="1"/>
    <col min="2060" max="2060" width="7.42578125" style="128" customWidth="1"/>
    <col min="2061" max="2061" width="7.28515625" style="128" customWidth="1"/>
    <col min="2062" max="2062" width="7.42578125" style="128" customWidth="1"/>
    <col min="2063" max="2063" width="8" style="128" customWidth="1"/>
    <col min="2064" max="2308" width="11.42578125" style="128"/>
    <col min="2309" max="2309" width="9.5703125" style="128" customWidth="1"/>
    <col min="2310" max="2310" width="9.85546875" style="128" customWidth="1"/>
    <col min="2311" max="2311" width="7.140625" style="128" customWidth="1"/>
    <col min="2312" max="2312" width="46.28515625" style="128" customWidth="1"/>
    <col min="2313" max="2313" width="12.85546875" style="128" customWidth="1"/>
    <col min="2314" max="2314" width="12.7109375" style="128" customWidth="1"/>
    <col min="2315" max="2315" width="9.7109375" style="128" customWidth="1"/>
    <col min="2316" max="2316" width="7.42578125" style="128" customWidth="1"/>
    <col min="2317" max="2317" width="7.28515625" style="128" customWidth="1"/>
    <col min="2318" max="2318" width="7.42578125" style="128" customWidth="1"/>
    <col min="2319" max="2319" width="8" style="128" customWidth="1"/>
    <col min="2320" max="2564" width="11.42578125" style="128"/>
    <col min="2565" max="2565" width="9.5703125" style="128" customWidth="1"/>
    <col min="2566" max="2566" width="9.85546875" style="128" customWidth="1"/>
    <col min="2567" max="2567" width="7.140625" style="128" customWidth="1"/>
    <col min="2568" max="2568" width="46.28515625" style="128" customWidth="1"/>
    <col min="2569" max="2569" width="12.85546875" style="128" customWidth="1"/>
    <col min="2570" max="2570" width="12.7109375" style="128" customWidth="1"/>
    <col min="2571" max="2571" width="9.7109375" style="128" customWidth="1"/>
    <col min="2572" max="2572" width="7.42578125" style="128" customWidth="1"/>
    <col min="2573" max="2573" width="7.28515625" style="128" customWidth="1"/>
    <col min="2574" max="2574" width="7.42578125" style="128" customWidth="1"/>
    <col min="2575" max="2575" width="8" style="128" customWidth="1"/>
    <col min="2576" max="2820" width="11.42578125" style="128"/>
    <col min="2821" max="2821" width="9.5703125" style="128" customWidth="1"/>
    <col min="2822" max="2822" width="9.85546875" style="128" customWidth="1"/>
    <col min="2823" max="2823" width="7.140625" style="128" customWidth="1"/>
    <col min="2824" max="2824" width="46.28515625" style="128" customWidth="1"/>
    <col min="2825" max="2825" width="12.85546875" style="128" customWidth="1"/>
    <col min="2826" max="2826" width="12.7109375" style="128" customWidth="1"/>
    <col min="2827" max="2827" width="9.7109375" style="128" customWidth="1"/>
    <col min="2828" max="2828" width="7.42578125" style="128" customWidth="1"/>
    <col min="2829" max="2829" width="7.28515625" style="128" customWidth="1"/>
    <col min="2830" max="2830" width="7.42578125" style="128" customWidth="1"/>
    <col min="2831" max="2831" width="8" style="128" customWidth="1"/>
    <col min="2832" max="3076" width="11.42578125" style="128"/>
    <col min="3077" max="3077" width="9.5703125" style="128" customWidth="1"/>
    <col min="3078" max="3078" width="9.85546875" style="128" customWidth="1"/>
    <col min="3079" max="3079" width="7.140625" style="128" customWidth="1"/>
    <col min="3080" max="3080" width="46.28515625" style="128" customWidth="1"/>
    <col min="3081" max="3081" width="12.85546875" style="128" customWidth="1"/>
    <col min="3082" max="3082" width="12.7109375" style="128" customWidth="1"/>
    <col min="3083" max="3083" width="9.7109375" style="128" customWidth="1"/>
    <col min="3084" max="3084" width="7.42578125" style="128" customWidth="1"/>
    <col min="3085" max="3085" width="7.28515625" style="128" customWidth="1"/>
    <col min="3086" max="3086" width="7.42578125" style="128" customWidth="1"/>
    <col min="3087" max="3087" width="8" style="128" customWidth="1"/>
    <col min="3088" max="3332" width="11.42578125" style="128"/>
    <col min="3333" max="3333" width="9.5703125" style="128" customWidth="1"/>
    <col min="3334" max="3334" width="9.85546875" style="128" customWidth="1"/>
    <col min="3335" max="3335" width="7.140625" style="128" customWidth="1"/>
    <col min="3336" max="3336" width="46.28515625" style="128" customWidth="1"/>
    <col min="3337" max="3337" width="12.85546875" style="128" customWidth="1"/>
    <col min="3338" max="3338" width="12.7109375" style="128" customWidth="1"/>
    <col min="3339" max="3339" width="9.7109375" style="128" customWidth="1"/>
    <col min="3340" max="3340" width="7.42578125" style="128" customWidth="1"/>
    <col min="3341" max="3341" width="7.28515625" style="128" customWidth="1"/>
    <col min="3342" max="3342" width="7.42578125" style="128" customWidth="1"/>
    <col min="3343" max="3343" width="8" style="128" customWidth="1"/>
    <col min="3344" max="3588" width="11.42578125" style="128"/>
    <col min="3589" max="3589" width="9.5703125" style="128" customWidth="1"/>
    <col min="3590" max="3590" width="9.85546875" style="128" customWidth="1"/>
    <col min="3591" max="3591" width="7.140625" style="128" customWidth="1"/>
    <col min="3592" max="3592" width="46.28515625" style="128" customWidth="1"/>
    <col min="3593" max="3593" width="12.85546875" style="128" customWidth="1"/>
    <col min="3594" max="3594" width="12.7109375" style="128" customWidth="1"/>
    <col min="3595" max="3595" width="9.7109375" style="128" customWidth="1"/>
    <col min="3596" max="3596" width="7.42578125" style="128" customWidth="1"/>
    <col min="3597" max="3597" width="7.28515625" style="128" customWidth="1"/>
    <col min="3598" max="3598" width="7.42578125" style="128" customWidth="1"/>
    <col min="3599" max="3599" width="8" style="128" customWidth="1"/>
    <col min="3600" max="3844" width="11.42578125" style="128"/>
    <col min="3845" max="3845" width="9.5703125" style="128" customWidth="1"/>
    <col min="3846" max="3846" width="9.85546875" style="128" customWidth="1"/>
    <col min="3847" max="3847" width="7.140625" style="128" customWidth="1"/>
    <col min="3848" max="3848" width="46.28515625" style="128" customWidth="1"/>
    <col min="3849" max="3849" width="12.85546875" style="128" customWidth="1"/>
    <col min="3850" max="3850" width="12.7109375" style="128" customWidth="1"/>
    <col min="3851" max="3851" width="9.7109375" style="128" customWidth="1"/>
    <col min="3852" max="3852" width="7.42578125" style="128" customWidth="1"/>
    <col min="3853" max="3853" width="7.28515625" style="128" customWidth="1"/>
    <col min="3854" max="3854" width="7.42578125" style="128" customWidth="1"/>
    <col min="3855" max="3855" width="8" style="128" customWidth="1"/>
    <col min="3856" max="4100" width="11.42578125" style="128"/>
    <col min="4101" max="4101" width="9.5703125" style="128" customWidth="1"/>
    <col min="4102" max="4102" width="9.85546875" style="128" customWidth="1"/>
    <col min="4103" max="4103" width="7.140625" style="128" customWidth="1"/>
    <col min="4104" max="4104" width="46.28515625" style="128" customWidth="1"/>
    <col min="4105" max="4105" width="12.85546875" style="128" customWidth="1"/>
    <col min="4106" max="4106" width="12.7109375" style="128" customWidth="1"/>
    <col min="4107" max="4107" width="9.7109375" style="128" customWidth="1"/>
    <col min="4108" max="4108" width="7.42578125" style="128" customWidth="1"/>
    <col min="4109" max="4109" width="7.28515625" style="128" customWidth="1"/>
    <col min="4110" max="4110" width="7.42578125" style="128" customWidth="1"/>
    <col min="4111" max="4111" width="8" style="128" customWidth="1"/>
    <col min="4112" max="4356" width="11.42578125" style="128"/>
    <col min="4357" max="4357" width="9.5703125" style="128" customWidth="1"/>
    <col min="4358" max="4358" width="9.85546875" style="128" customWidth="1"/>
    <col min="4359" max="4359" width="7.140625" style="128" customWidth="1"/>
    <col min="4360" max="4360" width="46.28515625" style="128" customWidth="1"/>
    <col min="4361" max="4361" width="12.85546875" style="128" customWidth="1"/>
    <col min="4362" max="4362" width="12.7109375" style="128" customWidth="1"/>
    <col min="4363" max="4363" width="9.7109375" style="128" customWidth="1"/>
    <col min="4364" max="4364" width="7.42578125" style="128" customWidth="1"/>
    <col min="4365" max="4365" width="7.28515625" style="128" customWidth="1"/>
    <col min="4366" max="4366" width="7.42578125" style="128" customWidth="1"/>
    <col min="4367" max="4367" width="8" style="128" customWidth="1"/>
    <col min="4368" max="4612" width="11.42578125" style="128"/>
    <col min="4613" max="4613" width="9.5703125" style="128" customWidth="1"/>
    <col min="4614" max="4614" width="9.85546875" style="128" customWidth="1"/>
    <col min="4615" max="4615" width="7.140625" style="128" customWidth="1"/>
    <col min="4616" max="4616" width="46.28515625" style="128" customWidth="1"/>
    <col min="4617" max="4617" width="12.85546875" style="128" customWidth="1"/>
    <col min="4618" max="4618" width="12.7109375" style="128" customWidth="1"/>
    <col min="4619" max="4619" width="9.7109375" style="128" customWidth="1"/>
    <col min="4620" max="4620" width="7.42578125" style="128" customWidth="1"/>
    <col min="4621" max="4621" width="7.28515625" style="128" customWidth="1"/>
    <col min="4622" max="4622" width="7.42578125" style="128" customWidth="1"/>
    <col min="4623" max="4623" width="8" style="128" customWidth="1"/>
    <col min="4624" max="4868" width="11.42578125" style="128"/>
    <col min="4869" max="4869" width="9.5703125" style="128" customWidth="1"/>
    <col min="4870" max="4870" width="9.85546875" style="128" customWidth="1"/>
    <col min="4871" max="4871" width="7.140625" style="128" customWidth="1"/>
    <col min="4872" max="4872" width="46.28515625" style="128" customWidth="1"/>
    <col min="4873" max="4873" width="12.85546875" style="128" customWidth="1"/>
    <col min="4874" max="4874" width="12.7109375" style="128" customWidth="1"/>
    <col min="4875" max="4875" width="9.7109375" style="128" customWidth="1"/>
    <col min="4876" max="4876" width="7.42578125" style="128" customWidth="1"/>
    <col min="4877" max="4877" width="7.28515625" style="128" customWidth="1"/>
    <col min="4878" max="4878" width="7.42578125" style="128" customWidth="1"/>
    <col min="4879" max="4879" width="8" style="128" customWidth="1"/>
    <col min="4880" max="5124" width="11.42578125" style="128"/>
    <col min="5125" max="5125" width="9.5703125" style="128" customWidth="1"/>
    <col min="5126" max="5126" width="9.85546875" style="128" customWidth="1"/>
    <col min="5127" max="5127" width="7.140625" style="128" customWidth="1"/>
    <col min="5128" max="5128" width="46.28515625" style="128" customWidth="1"/>
    <col min="5129" max="5129" width="12.85546875" style="128" customWidth="1"/>
    <col min="5130" max="5130" width="12.7109375" style="128" customWidth="1"/>
    <col min="5131" max="5131" width="9.7109375" style="128" customWidth="1"/>
    <col min="5132" max="5132" width="7.42578125" style="128" customWidth="1"/>
    <col min="5133" max="5133" width="7.28515625" style="128" customWidth="1"/>
    <col min="5134" max="5134" width="7.42578125" style="128" customWidth="1"/>
    <col min="5135" max="5135" width="8" style="128" customWidth="1"/>
    <col min="5136" max="5380" width="11.42578125" style="128"/>
    <col min="5381" max="5381" width="9.5703125" style="128" customWidth="1"/>
    <col min="5382" max="5382" width="9.85546875" style="128" customWidth="1"/>
    <col min="5383" max="5383" width="7.140625" style="128" customWidth="1"/>
    <col min="5384" max="5384" width="46.28515625" style="128" customWidth="1"/>
    <col min="5385" max="5385" width="12.85546875" style="128" customWidth="1"/>
    <col min="5386" max="5386" width="12.7109375" style="128" customWidth="1"/>
    <col min="5387" max="5387" width="9.7109375" style="128" customWidth="1"/>
    <col min="5388" max="5388" width="7.42578125" style="128" customWidth="1"/>
    <col min="5389" max="5389" width="7.28515625" style="128" customWidth="1"/>
    <col min="5390" max="5390" width="7.42578125" style="128" customWidth="1"/>
    <col min="5391" max="5391" width="8" style="128" customWidth="1"/>
    <col min="5392" max="5636" width="11.42578125" style="128"/>
    <col min="5637" max="5637" width="9.5703125" style="128" customWidth="1"/>
    <col min="5638" max="5638" width="9.85546875" style="128" customWidth="1"/>
    <col min="5639" max="5639" width="7.140625" style="128" customWidth="1"/>
    <col min="5640" max="5640" width="46.28515625" style="128" customWidth="1"/>
    <col min="5641" max="5641" width="12.85546875" style="128" customWidth="1"/>
    <col min="5642" max="5642" width="12.7109375" style="128" customWidth="1"/>
    <col min="5643" max="5643" width="9.7109375" style="128" customWidth="1"/>
    <col min="5644" max="5644" width="7.42578125" style="128" customWidth="1"/>
    <col min="5645" max="5645" width="7.28515625" style="128" customWidth="1"/>
    <col min="5646" max="5646" width="7.42578125" style="128" customWidth="1"/>
    <col min="5647" max="5647" width="8" style="128" customWidth="1"/>
    <col min="5648" max="5892" width="11.42578125" style="128"/>
    <col min="5893" max="5893" width="9.5703125" style="128" customWidth="1"/>
    <col min="5894" max="5894" width="9.85546875" style="128" customWidth="1"/>
    <col min="5895" max="5895" width="7.140625" style="128" customWidth="1"/>
    <col min="5896" max="5896" width="46.28515625" style="128" customWidth="1"/>
    <col min="5897" max="5897" width="12.85546875" style="128" customWidth="1"/>
    <col min="5898" max="5898" width="12.7109375" style="128" customWidth="1"/>
    <col min="5899" max="5899" width="9.7109375" style="128" customWidth="1"/>
    <col min="5900" max="5900" width="7.42578125" style="128" customWidth="1"/>
    <col min="5901" max="5901" width="7.28515625" style="128" customWidth="1"/>
    <col min="5902" max="5902" width="7.42578125" style="128" customWidth="1"/>
    <col min="5903" max="5903" width="8" style="128" customWidth="1"/>
    <col min="5904" max="6148" width="11.42578125" style="128"/>
    <col min="6149" max="6149" width="9.5703125" style="128" customWidth="1"/>
    <col min="6150" max="6150" width="9.85546875" style="128" customWidth="1"/>
    <col min="6151" max="6151" width="7.140625" style="128" customWidth="1"/>
    <col min="6152" max="6152" width="46.28515625" style="128" customWidth="1"/>
    <col min="6153" max="6153" width="12.85546875" style="128" customWidth="1"/>
    <col min="6154" max="6154" width="12.7109375" style="128" customWidth="1"/>
    <col min="6155" max="6155" width="9.7109375" style="128" customWidth="1"/>
    <col min="6156" max="6156" width="7.42578125" style="128" customWidth="1"/>
    <col min="6157" max="6157" width="7.28515625" style="128" customWidth="1"/>
    <col min="6158" max="6158" width="7.42578125" style="128" customWidth="1"/>
    <col min="6159" max="6159" width="8" style="128" customWidth="1"/>
    <col min="6160" max="6404" width="11.42578125" style="128"/>
    <col min="6405" max="6405" width="9.5703125" style="128" customWidth="1"/>
    <col min="6406" max="6406" width="9.85546875" style="128" customWidth="1"/>
    <col min="6407" max="6407" width="7.140625" style="128" customWidth="1"/>
    <col min="6408" max="6408" width="46.28515625" style="128" customWidth="1"/>
    <col min="6409" max="6409" width="12.85546875" style="128" customWidth="1"/>
    <col min="6410" max="6410" width="12.7109375" style="128" customWidth="1"/>
    <col min="6411" max="6411" width="9.7109375" style="128" customWidth="1"/>
    <col min="6412" max="6412" width="7.42578125" style="128" customWidth="1"/>
    <col min="6413" max="6413" width="7.28515625" style="128" customWidth="1"/>
    <col min="6414" max="6414" width="7.42578125" style="128" customWidth="1"/>
    <col min="6415" max="6415" width="8" style="128" customWidth="1"/>
    <col min="6416" max="6660" width="11.42578125" style="128"/>
    <col min="6661" max="6661" width="9.5703125" style="128" customWidth="1"/>
    <col min="6662" max="6662" width="9.85546875" style="128" customWidth="1"/>
    <col min="6663" max="6663" width="7.140625" style="128" customWidth="1"/>
    <col min="6664" max="6664" width="46.28515625" style="128" customWidth="1"/>
    <col min="6665" max="6665" width="12.85546875" style="128" customWidth="1"/>
    <col min="6666" max="6666" width="12.7109375" style="128" customWidth="1"/>
    <col min="6667" max="6667" width="9.7109375" style="128" customWidth="1"/>
    <col min="6668" max="6668" width="7.42578125" style="128" customWidth="1"/>
    <col min="6669" max="6669" width="7.28515625" style="128" customWidth="1"/>
    <col min="6670" max="6670" width="7.42578125" style="128" customWidth="1"/>
    <col min="6671" max="6671" width="8" style="128" customWidth="1"/>
    <col min="6672" max="6916" width="11.42578125" style="128"/>
    <col min="6917" max="6917" width="9.5703125" style="128" customWidth="1"/>
    <col min="6918" max="6918" width="9.85546875" style="128" customWidth="1"/>
    <col min="6919" max="6919" width="7.140625" style="128" customWidth="1"/>
    <col min="6920" max="6920" width="46.28515625" style="128" customWidth="1"/>
    <col min="6921" max="6921" width="12.85546875" style="128" customWidth="1"/>
    <col min="6922" max="6922" width="12.7109375" style="128" customWidth="1"/>
    <col min="6923" max="6923" width="9.7109375" style="128" customWidth="1"/>
    <col min="6924" max="6924" width="7.42578125" style="128" customWidth="1"/>
    <col min="6925" max="6925" width="7.28515625" style="128" customWidth="1"/>
    <col min="6926" max="6926" width="7.42578125" style="128" customWidth="1"/>
    <col min="6927" max="6927" width="8" style="128" customWidth="1"/>
    <col min="6928" max="7172" width="11.42578125" style="128"/>
    <col min="7173" max="7173" width="9.5703125" style="128" customWidth="1"/>
    <col min="7174" max="7174" width="9.85546875" style="128" customWidth="1"/>
    <col min="7175" max="7175" width="7.140625" style="128" customWidth="1"/>
    <col min="7176" max="7176" width="46.28515625" style="128" customWidth="1"/>
    <col min="7177" max="7177" width="12.85546875" style="128" customWidth="1"/>
    <col min="7178" max="7178" width="12.7109375" style="128" customWidth="1"/>
    <col min="7179" max="7179" width="9.7109375" style="128" customWidth="1"/>
    <col min="7180" max="7180" width="7.42578125" style="128" customWidth="1"/>
    <col min="7181" max="7181" width="7.28515625" style="128" customWidth="1"/>
    <col min="7182" max="7182" width="7.42578125" style="128" customWidth="1"/>
    <col min="7183" max="7183" width="8" style="128" customWidth="1"/>
    <col min="7184" max="7428" width="11.42578125" style="128"/>
    <col min="7429" max="7429" width="9.5703125" style="128" customWidth="1"/>
    <col min="7430" max="7430" width="9.85546875" style="128" customWidth="1"/>
    <col min="7431" max="7431" width="7.140625" style="128" customWidth="1"/>
    <col min="7432" max="7432" width="46.28515625" style="128" customWidth="1"/>
    <col min="7433" max="7433" width="12.85546875" style="128" customWidth="1"/>
    <col min="7434" max="7434" width="12.7109375" style="128" customWidth="1"/>
    <col min="7435" max="7435" width="9.7109375" style="128" customWidth="1"/>
    <col min="7436" max="7436" width="7.42578125" style="128" customWidth="1"/>
    <col min="7437" max="7437" width="7.28515625" style="128" customWidth="1"/>
    <col min="7438" max="7438" width="7.42578125" style="128" customWidth="1"/>
    <col min="7439" max="7439" width="8" style="128" customWidth="1"/>
    <col min="7440" max="7684" width="11.42578125" style="128"/>
    <col min="7685" max="7685" width="9.5703125" style="128" customWidth="1"/>
    <col min="7686" max="7686" width="9.85546875" style="128" customWidth="1"/>
    <col min="7687" max="7687" width="7.140625" style="128" customWidth="1"/>
    <col min="7688" max="7688" width="46.28515625" style="128" customWidth="1"/>
    <col min="7689" max="7689" width="12.85546875" style="128" customWidth="1"/>
    <col min="7690" max="7690" width="12.7109375" style="128" customWidth="1"/>
    <col min="7691" max="7691" width="9.7109375" style="128" customWidth="1"/>
    <col min="7692" max="7692" width="7.42578125" style="128" customWidth="1"/>
    <col min="7693" max="7693" width="7.28515625" style="128" customWidth="1"/>
    <col min="7694" max="7694" width="7.42578125" style="128" customWidth="1"/>
    <col min="7695" max="7695" width="8" style="128" customWidth="1"/>
    <col min="7696" max="7940" width="11.42578125" style="128"/>
    <col min="7941" max="7941" width="9.5703125" style="128" customWidth="1"/>
    <col min="7942" max="7942" width="9.85546875" style="128" customWidth="1"/>
    <col min="7943" max="7943" width="7.140625" style="128" customWidth="1"/>
    <col min="7944" max="7944" width="46.28515625" style="128" customWidth="1"/>
    <col min="7945" max="7945" width="12.85546875" style="128" customWidth="1"/>
    <col min="7946" max="7946" width="12.7109375" style="128" customWidth="1"/>
    <col min="7947" max="7947" width="9.7109375" style="128" customWidth="1"/>
    <col min="7948" max="7948" width="7.42578125" style="128" customWidth="1"/>
    <col min="7949" max="7949" width="7.28515625" style="128" customWidth="1"/>
    <col min="7950" max="7950" width="7.42578125" style="128" customWidth="1"/>
    <col min="7951" max="7951" width="8" style="128" customWidth="1"/>
    <col min="7952" max="8196" width="11.42578125" style="128"/>
    <col min="8197" max="8197" width="9.5703125" style="128" customWidth="1"/>
    <col min="8198" max="8198" width="9.85546875" style="128" customWidth="1"/>
    <col min="8199" max="8199" width="7.140625" style="128" customWidth="1"/>
    <col min="8200" max="8200" width="46.28515625" style="128" customWidth="1"/>
    <col min="8201" max="8201" width="12.85546875" style="128" customWidth="1"/>
    <col min="8202" max="8202" width="12.7109375" style="128" customWidth="1"/>
    <col min="8203" max="8203" width="9.7109375" style="128" customWidth="1"/>
    <col min="8204" max="8204" width="7.42578125" style="128" customWidth="1"/>
    <col min="8205" max="8205" width="7.28515625" style="128" customWidth="1"/>
    <col min="8206" max="8206" width="7.42578125" style="128" customWidth="1"/>
    <col min="8207" max="8207" width="8" style="128" customWidth="1"/>
    <col min="8208" max="8452" width="11.42578125" style="128"/>
    <col min="8453" max="8453" width="9.5703125" style="128" customWidth="1"/>
    <col min="8454" max="8454" width="9.85546875" style="128" customWidth="1"/>
    <col min="8455" max="8455" width="7.140625" style="128" customWidth="1"/>
    <col min="8456" max="8456" width="46.28515625" style="128" customWidth="1"/>
    <col min="8457" max="8457" width="12.85546875" style="128" customWidth="1"/>
    <col min="8458" max="8458" width="12.7109375" style="128" customWidth="1"/>
    <col min="8459" max="8459" width="9.7109375" style="128" customWidth="1"/>
    <col min="8460" max="8460" width="7.42578125" style="128" customWidth="1"/>
    <col min="8461" max="8461" width="7.28515625" style="128" customWidth="1"/>
    <col min="8462" max="8462" width="7.42578125" style="128" customWidth="1"/>
    <col min="8463" max="8463" width="8" style="128" customWidth="1"/>
    <col min="8464" max="8708" width="11.42578125" style="128"/>
    <col min="8709" max="8709" width="9.5703125" style="128" customWidth="1"/>
    <col min="8710" max="8710" width="9.85546875" style="128" customWidth="1"/>
    <col min="8711" max="8711" width="7.140625" style="128" customWidth="1"/>
    <col min="8712" max="8712" width="46.28515625" style="128" customWidth="1"/>
    <col min="8713" max="8713" width="12.85546875" style="128" customWidth="1"/>
    <col min="8714" max="8714" width="12.7109375" style="128" customWidth="1"/>
    <col min="8715" max="8715" width="9.7109375" style="128" customWidth="1"/>
    <col min="8716" max="8716" width="7.42578125" style="128" customWidth="1"/>
    <col min="8717" max="8717" width="7.28515625" style="128" customWidth="1"/>
    <col min="8718" max="8718" width="7.42578125" style="128" customWidth="1"/>
    <col min="8719" max="8719" width="8" style="128" customWidth="1"/>
    <col min="8720" max="8964" width="11.42578125" style="128"/>
    <col min="8965" max="8965" width="9.5703125" style="128" customWidth="1"/>
    <col min="8966" max="8966" width="9.85546875" style="128" customWidth="1"/>
    <col min="8967" max="8967" width="7.140625" style="128" customWidth="1"/>
    <col min="8968" max="8968" width="46.28515625" style="128" customWidth="1"/>
    <col min="8969" max="8969" width="12.85546875" style="128" customWidth="1"/>
    <col min="8970" max="8970" width="12.7109375" style="128" customWidth="1"/>
    <col min="8971" max="8971" width="9.7109375" style="128" customWidth="1"/>
    <col min="8972" max="8972" width="7.42578125" style="128" customWidth="1"/>
    <col min="8973" max="8973" width="7.28515625" style="128" customWidth="1"/>
    <col min="8974" max="8974" width="7.42578125" style="128" customWidth="1"/>
    <col min="8975" max="8975" width="8" style="128" customWidth="1"/>
    <col min="8976" max="9220" width="11.42578125" style="128"/>
    <col min="9221" max="9221" width="9.5703125" style="128" customWidth="1"/>
    <col min="9222" max="9222" width="9.85546875" style="128" customWidth="1"/>
    <col min="9223" max="9223" width="7.140625" style="128" customWidth="1"/>
    <col min="9224" max="9224" width="46.28515625" style="128" customWidth="1"/>
    <col min="9225" max="9225" width="12.85546875" style="128" customWidth="1"/>
    <col min="9226" max="9226" width="12.7109375" style="128" customWidth="1"/>
    <col min="9227" max="9227" width="9.7109375" style="128" customWidth="1"/>
    <col min="9228" max="9228" width="7.42578125" style="128" customWidth="1"/>
    <col min="9229" max="9229" width="7.28515625" style="128" customWidth="1"/>
    <col min="9230" max="9230" width="7.42578125" style="128" customWidth="1"/>
    <col min="9231" max="9231" width="8" style="128" customWidth="1"/>
    <col min="9232" max="9476" width="11.42578125" style="128"/>
    <col min="9477" max="9477" width="9.5703125" style="128" customWidth="1"/>
    <col min="9478" max="9478" width="9.85546875" style="128" customWidth="1"/>
    <col min="9479" max="9479" width="7.140625" style="128" customWidth="1"/>
    <col min="9480" max="9480" width="46.28515625" style="128" customWidth="1"/>
    <col min="9481" max="9481" width="12.85546875" style="128" customWidth="1"/>
    <col min="9482" max="9482" width="12.7109375" style="128" customWidth="1"/>
    <col min="9483" max="9483" width="9.7109375" style="128" customWidth="1"/>
    <col min="9484" max="9484" width="7.42578125" style="128" customWidth="1"/>
    <col min="9485" max="9485" width="7.28515625" style="128" customWidth="1"/>
    <col min="9486" max="9486" width="7.42578125" style="128" customWidth="1"/>
    <col min="9487" max="9487" width="8" style="128" customWidth="1"/>
    <col min="9488" max="9732" width="11.42578125" style="128"/>
    <col min="9733" max="9733" width="9.5703125" style="128" customWidth="1"/>
    <col min="9734" max="9734" width="9.85546875" style="128" customWidth="1"/>
    <col min="9735" max="9735" width="7.140625" style="128" customWidth="1"/>
    <col min="9736" max="9736" width="46.28515625" style="128" customWidth="1"/>
    <col min="9737" max="9737" width="12.85546875" style="128" customWidth="1"/>
    <col min="9738" max="9738" width="12.7109375" style="128" customWidth="1"/>
    <col min="9739" max="9739" width="9.7109375" style="128" customWidth="1"/>
    <col min="9740" max="9740" width="7.42578125" style="128" customWidth="1"/>
    <col min="9741" max="9741" width="7.28515625" style="128" customWidth="1"/>
    <col min="9742" max="9742" width="7.42578125" style="128" customWidth="1"/>
    <col min="9743" max="9743" width="8" style="128" customWidth="1"/>
    <col min="9744" max="9988" width="11.42578125" style="128"/>
    <col min="9989" max="9989" width="9.5703125" style="128" customWidth="1"/>
    <col min="9990" max="9990" width="9.85546875" style="128" customWidth="1"/>
    <col min="9991" max="9991" width="7.140625" style="128" customWidth="1"/>
    <col min="9992" max="9992" width="46.28515625" style="128" customWidth="1"/>
    <col min="9993" max="9993" width="12.85546875" style="128" customWidth="1"/>
    <col min="9994" max="9994" width="12.7109375" style="128" customWidth="1"/>
    <col min="9995" max="9995" width="9.7109375" style="128" customWidth="1"/>
    <col min="9996" max="9996" width="7.42578125" style="128" customWidth="1"/>
    <col min="9997" max="9997" width="7.28515625" style="128" customWidth="1"/>
    <col min="9998" max="9998" width="7.42578125" style="128" customWidth="1"/>
    <col min="9999" max="9999" width="8" style="128" customWidth="1"/>
    <col min="10000" max="10244" width="11.42578125" style="128"/>
    <col min="10245" max="10245" width="9.5703125" style="128" customWidth="1"/>
    <col min="10246" max="10246" width="9.85546875" style="128" customWidth="1"/>
    <col min="10247" max="10247" width="7.140625" style="128" customWidth="1"/>
    <col min="10248" max="10248" width="46.28515625" style="128" customWidth="1"/>
    <col min="10249" max="10249" width="12.85546875" style="128" customWidth="1"/>
    <col min="10250" max="10250" width="12.7109375" style="128" customWidth="1"/>
    <col min="10251" max="10251" width="9.7109375" style="128" customWidth="1"/>
    <col min="10252" max="10252" width="7.42578125" style="128" customWidth="1"/>
    <col min="10253" max="10253" width="7.28515625" style="128" customWidth="1"/>
    <col min="10254" max="10254" width="7.42578125" style="128" customWidth="1"/>
    <col min="10255" max="10255" width="8" style="128" customWidth="1"/>
    <col min="10256" max="10500" width="11.42578125" style="128"/>
    <col min="10501" max="10501" width="9.5703125" style="128" customWidth="1"/>
    <col min="10502" max="10502" width="9.85546875" style="128" customWidth="1"/>
    <col min="10503" max="10503" width="7.140625" style="128" customWidth="1"/>
    <col min="10504" max="10504" width="46.28515625" style="128" customWidth="1"/>
    <col min="10505" max="10505" width="12.85546875" style="128" customWidth="1"/>
    <col min="10506" max="10506" width="12.7109375" style="128" customWidth="1"/>
    <col min="10507" max="10507" width="9.7109375" style="128" customWidth="1"/>
    <col min="10508" max="10508" width="7.42578125" style="128" customWidth="1"/>
    <col min="10509" max="10509" width="7.28515625" style="128" customWidth="1"/>
    <col min="10510" max="10510" width="7.42578125" style="128" customWidth="1"/>
    <col min="10511" max="10511" width="8" style="128" customWidth="1"/>
    <col min="10512" max="10756" width="11.42578125" style="128"/>
    <col min="10757" max="10757" width="9.5703125" style="128" customWidth="1"/>
    <col min="10758" max="10758" width="9.85546875" style="128" customWidth="1"/>
    <col min="10759" max="10759" width="7.140625" style="128" customWidth="1"/>
    <col min="10760" max="10760" width="46.28515625" style="128" customWidth="1"/>
    <col min="10761" max="10761" width="12.85546875" style="128" customWidth="1"/>
    <col min="10762" max="10762" width="12.7109375" style="128" customWidth="1"/>
    <col min="10763" max="10763" width="9.7109375" style="128" customWidth="1"/>
    <col min="10764" max="10764" width="7.42578125" style="128" customWidth="1"/>
    <col min="10765" max="10765" width="7.28515625" style="128" customWidth="1"/>
    <col min="10766" max="10766" width="7.42578125" style="128" customWidth="1"/>
    <col min="10767" max="10767" width="8" style="128" customWidth="1"/>
    <col min="10768" max="11012" width="11.42578125" style="128"/>
    <col min="11013" max="11013" width="9.5703125" style="128" customWidth="1"/>
    <col min="11014" max="11014" width="9.85546875" style="128" customWidth="1"/>
    <col min="11015" max="11015" width="7.140625" style="128" customWidth="1"/>
    <col min="11016" max="11016" width="46.28515625" style="128" customWidth="1"/>
    <col min="11017" max="11017" width="12.85546875" style="128" customWidth="1"/>
    <col min="11018" max="11018" width="12.7109375" style="128" customWidth="1"/>
    <col min="11019" max="11019" width="9.7109375" style="128" customWidth="1"/>
    <col min="11020" max="11020" width="7.42578125" style="128" customWidth="1"/>
    <col min="11021" max="11021" width="7.28515625" style="128" customWidth="1"/>
    <col min="11022" max="11022" width="7.42578125" style="128" customWidth="1"/>
    <col min="11023" max="11023" width="8" style="128" customWidth="1"/>
    <col min="11024" max="11268" width="11.42578125" style="128"/>
    <col min="11269" max="11269" width="9.5703125" style="128" customWidth="1"/>
    <col min="11270" max="11270" width="9.85546875" style="128" customWidth="1"/>
    <col min="11271" max="11271" width="7.140625" style="128" customWidth="1"/>
    <col min="11272" max="11272" width="46.28515625" style="128" customWidth="1"/>
    <col min="11273" max="11273" width="12.85546875" style="128" customWidth="1"/>
    <col min="11274" max="11274" width="12.7109375" style="128" customWidth="1"/>
    <col min="11275" max="11275" width="9.7109375" style="128" customWidth="1"/>
    <col min="11276" max="11276" width="7.42578125" style="128" customWidth="1"/>
    <col min="11277" max="11277" width="7.28515625" style="128" customWidth="1"/>
    <col min="11278" max="11278" width="7.42578125" style="128" customWidth="1"/>
    <col min="11279" max="11279" width="8" style="128" customWidth="1"/>
    <col min="11280" max="11524" width="11.42578125" style="128"/>
    <col min="11525" max="11525" width="9.5703125" style="128" customWidth="1"/>
    <col min="11526" max="11526" width="9.85546875" style="128" customWidth="1"/>
    <col min="11527" max="11527" width="7.140625" style="128" customWidth="1"/>
    <col min="11528" max="11528" width="46.28515625" style="128" customWidth="1"/>
    <col min="11529" max="11529" width="12.85546875" style="128" customWidth="1"/>
    <col min="11530" max="11530" width="12.7109375" style="128" customWidth="1"/>
    <col min="11531" max="11531" width="9.7109375" style="128" customWidth="1"/>
    <col min="11532" max="11532" width="7.42578125" style="128" customWidth="1"/>
    <col min="11533" max="11533" width="7.28515625" style="128" customWidth="1"/>
    <col min="11534" max="11534" width="7.42578125" style="128" customWidth="1"/>
    <col min="11535" max="11535" width="8" style="128" customWidth="1"/>
    <col min="11536" max="11780" width="11.42578125" style="128"/>
    <col min="11781" max="11781" width="9.5703125" style="128" customWidth="1"/>
    <col min="11782" max="11782" width="9.85546875" style="128" customWidth="1"/>
    <col min="11783" max="11783" width="7.140625" style="128" customWidth="1"/>
    <col min="11784" max="11784" width="46.28515625" style="128" customWidth="1"/>
    <col min="11785" max="11785" width="12.85546875" style="128" customWidth="1"/>
    <col min="11786" max="11786" width="12.7109375" style="128" customWidth="1"/>
    <col min="11787" max="11787" width="9.7109375" style="128" customWidth="1"/>
    <col min="11788" max="11788" width="7.42578125" style="128" customWidth="1"/>
    <col min="11789" max="11789" width="7.28515625" style="128" customWidth="1"/>
    <col min="11790" max="11790" width="7.42578125" style="128" customWidth="1"/>
    <col min="11791" max="11791" width="8" style="128" customWidth="1"/>
    <col min="11792" max="12036" width="11.42578125" style="128"/>
    <col min="12037" max="12037" width="9.5703125" style="128" customWidth="1"/>
    <col min="12038" max="12038" width="9.85546875" style="128" customWidth="1"/>
    <col min="12039" max="12039" width="7.140625" style="128" customWidth="1"/>
    <col min="12040" max="12040" width="46.28515625" style="128" customWidth="1"/>
    <col min="12041" max="12041" width="12.85546875" style="128" customWidth="1"/>
    <col min="12042" max="12042" width="12.7109375" style="128" customWidth="1"/>
    <col min="12043" max="12043" width="9.7109375" style="128" customWidth="1"/>
    <col min="12044" max="12044" width="7.42578125" style="128" customWidth="1"/>
    <col min="12045" max="12045" width="7.28515625" style="128" customWidth="1"/>
    <col min="12046" max="12046" width="7.42578125" style="128" customWidth="1"/>
    <col min="12047" max="12047" width="8" style="128" customWidth="1"/>
    <col min="12048" max="12292" width="11.42578125" style="128"/>
    <col min="12293" max="12293" width="9.5703125" style="128" customWidth="1"/>
    <col min="12294" max="12294" width="9.85546875" style="128" customWidth="1"/>
    <col min="12295" max="12295" width="7.140625" style="128" customWidth="1"/>
    <col min="12296" max="12296" width="46.28515625" style="128" customWidth="1"/>
    <col min="12297" max="12297" width="12.85546875" style="128" customWidth="1"/>
    <col min="12298" max="12298" width="12.7109375" style="128" customWidth="1"/>
    <col min="12299" max="12299" width="9.7109375" style="128" customWidth="1"/>
    <col min="12300" max="12300" width="7.42578125" style="128" customWidth="1"/>
    <col min="12301" max="12301" width="7.28515625" style="128" customWidth="1"/>
    <col min="12302" max="12302" width="7.42578125" style="128" customWidth="1"/>
    <col min="12303" max="12303" width="8" style="128" customWidth="1"/>
    <col min="12304" max="12548" width="11.42578125" style="128"/>
    <col min="12549" max="12549" width="9.5703125" style="128" customWidth="1"/>
    <col min="12550" max="12550" width="9.85546875" style="128" customWidth="1"/>
    <col min="12551" max="12551" width="7.140625" style="128" customWidth="1"/>
    <col min="12552" max="12552" width="46.28515625" style="128" customWidth="1"/>
    <col min="12553" max="12553" width="12.85546875" style="128" customWidth="1"/>
    <col min="12554" max="12554" width="12.7109375" style="128" customWidth="1"/>
    <col min="12555" max="12555" width="9.7109375" style="128" customWidth="1"/>
    <col min="12556" max="12556" width="7.42578125" style="128" customWidth="1"/>
    <col min="12557" max="12557" width="7.28515625" style="128" customWidth="1"/>
    <col min="12558" max="12558" width="7.42578125" style="128" customWidth="1"/>
    <col min="12559" max="12559" width="8" style="128" customWidth="1"/>
    <col min="12560" max="12804" width="11.42578125" style="128"/>
    <col min="12805" max="12805" width="9.5703125" style="128" customWidth="1"/>
    <col min="12806" max="12806" width="9.85546875" style="128" customWidth="1"/>
    <col min="12807" max="12807" width="7.140625" style="128" customWidth="1"/>
    <col min="12808" max="12808" width="46.28515625" style="128" customWidth="1"/>
    <col min="12809" max="12809" width="12.85546875" style="128" customWidth="1"/>
    <col min="12810" max="12810" width="12.7109375" style="128" customWidth="1"/>
    <col min="12811" max="12811" width="9.7109375" style="128" customWidth="1"/>
    <col min="12812" max="12812" width="7.42578125" style="128" customWidth="1"/>
    <col min="12813" max="12813" width="7.28515625" style="128" customWidth="1"/>
    <col min="12814" max="12814" width="7.42578125" style="128" customWidth="1"/>
    <col min="12815" max="12815" width="8" style="128" customWidth="1"/>
    <col min="12816" max="13060" width="11.42578125" style="128"/>
    <col min="13061" max="13061" width="9.5703125" style="128" customWidth="1"/>
    <col min="13062" max="13062" width="9.85546875" style="128" customWidth="1"/>
    <col min="13063" max="13063" width="7.140625" style="128" customWidth="1"/>
    <col min="13064" max="13064" width="46.28515625" style="128" customWidth="1"/>
    <col min="13065" max="13065" width="12.85546875" style="128" customWidth="1"/>
    <col min="13066" max="13066" width="12.7109375" style="128" customWidth="1"/>
    <col min="13067" max="13067" width="9.7109375" style="128" customWidth="1"/>
    <col min="13068" max="13068" width="7.42578125" style="128" customWidth="1"/>
    <col min="13069" max="13069" width="7.28515625" style="128" customWidth="1"/>
    <col min="13070" max="13070" width="7.42578125" style="128" customWidth="1"/>
    <col min="13071" max="13071" width="8" style="128" customWidth="1"/>
    <col min="13072" max="13316" width="11.42578125" style="128"/>
    <col min="13317" max="13317" width="9.5703125" style="128" customWidth="1"/>
    <col min="13318" max="13318" width="9.85546875" style="128" customWidth="1"/>
    <col min="13319" max="13319" width="7.140625" style="128" customWidth="1"/>
    <col min="13320" max="13320" width="46.28515625" style="128" customWidth="1"/>
    <col min="13321" max="13321" width="12.85546875" style="128" customWidth="1"/>
    <col min="13322" max="13322" width="12.7109375" style="128" customWidth="1"/>
    <col min="13323" max="13323" width="9.7109375" style="128" customWidth="1"/>
    <col min="13324" max="13324" width="7.42578125" style="128" customWidth="1"/>
    <col min="13325" max="13325" width="7.28515625" style="128" customWidth="1"/>
    <col min="13326" max="13326" width="7.42578125" style="128" customWidth="1"/>
    <col min="13327" max="13327" width="8" style="128" customWidth="1"/>
    <col min="13328" max="13572" width="11.42578125" style="128"/>
    <col min="13573" max="13573" width="9.5703125" style="128" customWidth="1"/>
    <col min="13574" max="13574" width="9.85546875" style="128" customWidth="1"/>
    <col min="13575" max="13575" width="7.140625" style="128" customWidth="1"/>
    <col min="13576" max="13576" width="46.28515625" style="128" customWidth="1"/>
    <col min="13577" max="13577" width="12.85546875" style="128" customWidth="1"/>
    <col min="13578" max="13578" width="12.7109375" style="128" customWidth="1"/>
    <col min="13579" max="13579" width="9.7109375" style="128" customWidth="1"/>
    <col min="13580" max="13580" width="7.42578125" style="128" customWidth="1"/>
    <col min="13581" max="13581" width="7.28515625" style="128" customWidth="1"/>
    <col min="13582" max="13582" width="7.42578125" style="128" customWidth="1"/>
    <col min="13583" max="13583" width="8" style="128" customWidth="1"/>
    <col min="13584" max="13828" width="11.42578125" style="128"/>
    <col min="13829" max="13829" width="9.5703125" style="128" customWidth="1"/>
    <col min="13830" max="13830" width="9.85546875" style="128" customWidth="1"/>
    <col min="13831" max="13831" width="7.140625" style="128" customWidth="1"/>
    <col min="13832" max="13832" width="46.28515625" style="128" customWidth="1"/>
    <col min="13833" max="13833" width="12.85546875" style="128" customWidth="1"/>
    <col min="13834" max="13834" width="12.7109375" style="128" customWidth="1"/>
    <col min="13835" max="13835" width="9.7109375" style="128" customWidth="1"/>
    <col min="13836" max="13836" width="7.42578125" style="128" customWidth="1"/>
    <col min="13837" max="13837" width="7.28515625" style="128" customWidth="1"/>
    <col min="13838" max="13838" width="7.42578125" style="128" customWidth="1"/>
    <col min="13839" max="13839" width="8" style="128" customWidth="1"/>
    <col min="13840" max="14084" width="11.42578125" style="128"/>
    <col min="14085" max="14085" width="9.5703125" style="128" customWidth="1"/>
    <col min="14086" max="14086" width="9.85546875" style="128" customWidth="1"/>
    <col min="14087" max="14087" width="7.140625" style="128" customWidth="1"/>
    <col min="14088" max="14088" width="46.28515625" style="128" customWidth="1"/>
    <col min="14089" max="14089" width="12.85546875" style="128" customWidth="1"/>
    <col min="14090" max="14090" width="12.7109375" style="128" customWidth="1"/>
    <col min="14091" max="14091" width="9.7109375" style="128" customWidth="1"/>
    <col min="14092" max="14092" width="7.42578125" style="128" customWidth="1"/>
    <col min="14093" max="14093" width="7.28515625" style="128" customWidth="1"/>
    <col min="14094" max="14094" width="7.42578125" style="128" customWidth="1"/>
    <col min="14095" max="14095" width="8" style="128" customWidth="1"/>
    <col min="14096" max="14340" width="11.42578125" style="128"/>
    <col min="14341" max="14341" width="9.5703125" style="128" customWidth="1"/>
    <col min="14342" max="14342" width="9.85546875" style="128" customWidth="1"/>
    <col min="14343" max="14343" width="7.140625" style="128" customWidth="1"/>
    <col min="14344" max="14344" width="46.28515625" style="128" customWidth="1"/>
    <col min="14345" max="14345" width="12.85546875" style="128" customWidth="1"/>
    <col min="14346" max="14346" width="12.7109375" style="128" customWidth="1"/>
    <col min="14347" max="14347" width="9.7109375" style="128" customWidth="1"/>
    <col min="14348" max="14348" width="7.42578125" style="128" customWidth="1"/>
    <col min="14349" max="14349" width="7.28515625" style="128" customWidth="1"/>
    <col min="14350" max="14350" width="7.42578125" style="128" customWidth="1"/>
    <col min="14351" max="14351" width="8" style="128" customWidth="1"/>
    <col min="14352" max="14596" width="11.42578125" style="128"/>
    <col min="14597" max="14597" width="9.5703125" style="128" customWidth="1"/>
    <col min="14598" max="14598" width="9.85546875" style="128" customWidth="1"/>
    <col min="14599" max="14599" width="7.140625" style="128" customWidth="1"/>
    <col min="14600" max="14600" width="46.28515625" style="128" customWidth="1"/>
    <col min="14601" max="14601" width="12.85546875" style="128" customWidth="1"/>
    <col min="14602" max="14602" width="12.7109375" style="128" customWidth="1"/>
    <col min="14603" max="14603" width="9.7109375" style="128" customWidth="1"/>
    <col min="14604" max="14604" width="7.42578125" style="128" customWidth="1"/>
    <col min="14605" max="14605" width="7.28515625" style="128" customWidth="1"/>
    <col min="14606" max="14606" width="7.42578125" style="128" customWidth="1"/>
    <col min="14607" max="14607" width="8" style="128" customWidth="1"/>
    <col min="14608" max="14852" width="11.42578125" style="128"/>
    <col min="14853" max="14853" width="9.5703125" style="128" customWidth="1"/>
    <col min="14854" max="14854" width="9.85546875" style="128" customWidth="1"/>
    <col min="14855" max="14855" width="7.140625" style="128" customWidth="1"/>
    <col min="14856" max="14856" width="46.28515625" style="128" customWidth="1"/>
    <col min="14857" max="14857" width="12.85546875" style="128" customWidth="1"/>
    <col min="14858" max="14858" width="12.7109375" style="128" customWidth="1"/>
    <col min="14859" max="14859" width="9.7109375" style="128" customWidth="1"/>
    <col min="14860" max="14860" width="7.42578125" style="128" customWidth="1"/>
    <col min="14861" max="14861" width="7.28515625" style="128" customWidth="1"/>
    <col min="14862" max="14862" width="7.42578125" style="128" customWidth="1"/>
    <col min="14863" max="14863" width="8" style="128" customWidth="1"/>
    <col min="14864" max="15108" width="11.42578125" style="128"/>
    <col min="15109" max="15109" width="9.5703125" style="128" customWidth="1"/>
    <col min="15110" max="15110" width="9.85546875" style="128" customWidth="1"/>
    <col min="15111" max="15111" width="7.140625" style="128" customWidth="1"/>
    <col min="15112" max="15112" width="46.28515625" style="128" customWidth="1"/>
    <col min="15113" max="15113" width="12.85546875" style="128" customWidth="1"/>
    <col min="15114" max="15114" width="12.7109375" style="128" customWidth="1"/>
    <col min="15115" max="15115" width="9.7109375" style="128" customWidth="1"/>
    <col min="15116" max="15116" width="7.42578125" style="128" customWidth="1"/>
    <col min="15117" max="15117" width="7.28515625" style="128" customWidth="1"/>
    <col min="15118" max="15118" width="7.42578125" style="128" customWidth="1"/>
    <col min="15119" max="15119" width="8" style="128" customWidth="1"/>
    <col min="15120" max="15364" width="11.42578125" style="128"/>
    <col min="15365" max="15365" width="9.5703125" style="128" customWidth="1"/>
    <col min="15366" max="15366" width="9.85546875" style="128" customWidth="1"/>
    <col min="15367" max="15367" width="7.140625" style="128" customWidth="1"/>
    <col min="15368" max="15368" width="46.28515625" style="128" customWidth="1"/>
    <col min="15369" max="15369" width="12.85546875" style="128" customWidth="1"/>
    <col min="15370" max="15370" width="12.7109375" style="128" customWidth="1"/>
    <col min="15371" max="15371" width="9.7109375" style="128" customWidth="1"/>
    <col min="15372" max="15372" width="7.42578125" style="128" customWidth="1"/>
    <col min="15373" max="15373" width="7.28515625" style="128" customWidth="1"/>
    <col min="15374" max="15374" width="7.42578125" style="128" customWidth="1"/>
    <col min="15375" max="15375" width="8" style="128" customWidth="1"/>
    <col min="15376" max="15620" width="11.42578125" style="128"/>
    <col min="15621" max="15621" width="9.5703125" style="128" customWidth="1"/>
    <col min="15622" max="15622" width="9.85546875" style="128" customWidth="1"/>
    <col min="15623" max="15623" width="7.140625" style="128" customWidth="1"/>
    <col min="15624" max="15624" width="46.28515625" style="128" customWidth="1"/>
    <col min="15625" max="15625" width="12.85546875" style="128" customWidth="1"/>
    <col min="15626" max="15626" width="12.7109375" style="128" customWidth="1"/>
    <col min="15627" max="15627" width="9.7109375" style="128" customWidth="1"/>
    <col min="15628" max="15628" width="7.42578125" style="128" customWidth="1"/>
    <col min="15629" max="15629" width="7.28515625" style="128" customWidth="1"/>
    <col min="15630" max="15630" width="7.42578125" style="128" customWidth="1"/>
    <col min="15631" max="15631" width="8" style="128" customWidth="1"/>
    <col min="15632" max="15876" width="11.42578125" style="128"/>
    <col min="15877" max="15877" width="9.5703125" style="128" customWidth="1"/>
    <col min="15878" max="15878" width="9.85546875" style="128" customWidth="1"/>
    <col min="15879" max="15879" width="7.140625" style="128" customWidth="1"/>
    <col min="15880" max="15880" width="46.28515625" style="128" customWidth="1"/>
    <col min="15881" max="15881" width="12.85546875" style="128" customWidth="1"/>
    <col min="15882" max="15882" width="12.7109375" style="128" customWidth="1"/>
    <col min="15883" max="15883" width="9.7109375" style="128" customWidth="1"/>
    <col min="15884" max="15884" width="7.42578125" style="128" customWidth="1"/>
    <col min="15885" max="15885" width="7.28515625" style="128" customWidth="1"/>
    <col min="15886" max="15886" width="7.42578125" style="128" customWidth="1"/>
    <col min="15887" max="15887" width="8" style="128" customWidth="1"/>
    <col min="15888" max="16132" width="11.42578125" style="128"/>
    <col min="16133" max="16133" width="9.5703125" style="128" customWidth="1"/>
    <col min="16134" max="16134" width="9.85546875" style="128" customWidth="1"/>
    <col min="16135" max="16135" width="7.140625" style="128" customWidth="1"/>
    <col min="16136" max="16136" width="46.28515625" style="128" customWidth="1"/>
    <col min="16137" max="16137" width="12.85546875" style="128" customWidth="1"/>
    <col min="16138" max="16138" width="12.7109375" style="128" customWidth="1"/>
    <col min="16139" max="16139" width="9.7109375" style="128" customWidth="1"/>
    <col min="16140" max="16140" width="7.42578125" style="128" customWidth="1"/>
    <col min="16141" max="16141" width="7.28515625" style="128" customWidth="1"/>
    <col min="16142" max="16142" width="7.42578125" style="128" customWidth="1"/>
    <col min="16143" max="16143" width="8" style="128" customWidth="1"/>
    <col min="16144" max="16384" width="11.42578125" style="128"/>
  </cols>
  <sheetData>
    <row r="1" spans="1:15" ht="9" customHeight="1" x14ac:dyDescent="0.25">
      <c r="A1" s="7"/>
      <c r="B1" s="203"/>
      <c r="C1" s="8"/>
      <c r="D1" s="9"/>
      <c r="E1" s="9"/>
      <c r="F1" s="8"/>
      <c r="G1" s="8"/>
      <c r="H1" s="10"/>
      <c r="I1" s="10"/>
      <c r="J1" s="10"/>
      <c r="K1" s="10"/>
      <c r="L1" s="10"/>
      <c r="M1" s="10"/>
      <c r="N1" s="8"/>
      <c r="O1" s="8"/>
    </row>
    <row r="2" spans="1:15" ht="9" customHeight="1" x14ac:dyDescent="0.25">
      <c r="A2" s="7"/>
      <c r="B2" s="203"/>
      <c r="C2" s="8"/>
      <c r="D2" s="9"/>
      <c r="E2" s="9"/>
      <c r="F2" s="8"/>
      <c r="G2" s="8"/>
      <c r="H2" s="11"/>
      <c r="I2" s="10"/>
      <c r="J2" s="10"/>
      <c r="K2" s="250" t="s">
        <v>135</v>
      </c>
      <c r="L2" s="250">
        <v>1470</v>
      </c>
      <c r="M2" s="249" t="s">
        <v>321</v>
      </c>
      <c r="N2" s="201" t="s">
        <v>324</v>
      </c>
      <c r="O2" s="201">
        <v>0.7</v>
      </c>
    </row>
    <row r="3" spans="1:15" ht="9" customHeight="1" x14ac:dyDescent="0.25">
      <c r="A3" s="7"/>
      <c r="B3" s="203"/>
      <c r="C3" s="8"/>
      <c r="D3" s="9"/>
      <c r="E3" s="9"/>
      <c r="F3" s="8"/>
      <c r="G3" s="8"/>
      <c r="H3" s="10"/>
      <c r="I3" s="11"/>
      <c r="J3" s="11"/>
      <c r="K3" s="251"/>
      <c r="L3" s="251"/>
      <c r="M3" s="249"/>
      <c r="N3" s="201" t="s">
        <v>323</v>
      </c>
      <c r="O3" s="201">
        <v>0.6</v>
      </c>
    </row>
    <row r="4" spans="1:15" ht="9" customHeight="1" thickBot="1" x14ac:dyDescent="0.3">
      <c r="A4" s="7"/>
      <c r="B4" s="203"/>
      <c r="C4" s="8"/>
      <c r="D4" s="9"/>
      <c r="E4" s="9"/>
      <c r="F4" s="14" t="s">
        <v>20</v>
      </c>
      <c r="G4" s="14"/>
      <c r="H4" s="11"/>
      <c r="I4" s="10"/>
      <c r="J4" s="10"/>
      <c r="K4" s="10"/>
      <c r="L4" s="180"/>
      <c r="M4" s="202"/>
      <c r="N4" s="201" t="s">
        <v>322</v>
      </c>
      <c r="O4" s="201">
        <v>0.5</v>
      </c>
    </row>
    <row r="5" spans="1:15" ht="12.75" customHeight="1" thickBot="1" x14ac:dyDescent="0.3">
      <c r="A5" s="12"/>
      <c r="B5" s="204"/>
      <c r="C5" s="13"/>
      <c r="D5" s="9"/>
      <c r="E5" s="9"/>
      <c r="F5" s="18" t="s">
        <v>0</v>
      </c>
      <c r="G5" s="18"/>
      <c r="H5" s="15"/>
      <c r="I5" s="15"/>
      <c r="J5" s="15"/>
      <c r="K5" s="181" t="s">
        <v>310</v>
      </c>
      <c r="L5" s="182" t="s">
        <v>312</v>
      </c>
      <c r="M5" s="183" t="s">
        <v>328</v>
      </c>
      <c r="N5" s="16" t="s">
        <v>21</v>
      </c>
      <c r="O5" s="17" t="s">
        <v>1</v>
      </c>
    </row>
    <row r="6" spans="1:15" ht="26.25" customHeight="1" thickTop="1" thickBot="1" x14ac:dyDescent="0.3">
      <c r="A6" s="160" t="s">
        <v>2</v>
      </c>
      <c r="B6" s="205" t="s">
        <v>367</v>
      </c>
      <c r="C6" s="161" t="s">
        <v>3</v>
      </c>
      <c r="D6" s="162" t="s">
        <v>4</v>
      </c>
      <c r="E6" s="162" t="s">
        <v>366</v>
      </c>
      <c r="F6" s="163" t="s">
        <v>22</v>
      </c>
      <c r="G6" s="163" t="s">
        <v>2284</v>
      </c>
      <c r="H6" s="163" t="s">
        <v>133</v>
      </c>
      <c r="I6" s="163" t="s">
        <v>368</v>
      </c>
      <c r="J6" s="163" t="s">
        <v>295</v>
      </c>
      <c r="K6" s="184" t="s">
        <v>5</v>
      </c>
      <c r="L6" s="184" t="s">
        <v>5</v>
      </c>
      <c r="M6" s="184" t="s">
        <v>5</v>
      </c>
      <c r="N6" s="164" t="s">
        <v>5</v>
      </c>
      <c r="O6" s="165" t="s">
        <v>5</v>
      </c>
    </row>
    <row r="7" spans="1:15" ht="15.75" thickBot="1" x14ac:dyDescent="0.3">
      <c r="A7" s="166"/>
      <c r="B7" s="206"/>
      <c r="C7" s="167"/>
      <c r="D7" s="168"/>
      <c r="E7" s="168"/>
      <c r="F7" s="169" t="s">
        <v>100</v>
      </c>
      <c r="G7" s="169"/>
      <c r="H7" s="170"/>
      <c r="I7" s="170"/>
      <c r="J7" s="170"/>
      <c r="K7" s="185"/>
      <c r="L7" s="171"/>
      <c r="M7" s="171"/>
      <c r="N7" s="171"/>
      <c r="O7" s="172"/>
    </row>
    <row r="8" spans="1:15" ht="13.5" customHeight="1" x14ac:dyDescent="0.25">
      <c r="A8" s="117"/>
      <c r="B8" s="207"/>
      <c r="C8" s="118"/>
      <c r="D8" s="119"/>
      <c r="E8" s="119"/>
      <c r="F8" s="115" t="s">
        <v>2278</v>
      </c>
      <c r="G8" s="115"/>
      <c r="H8" s="120"/>
      <c r="I8" s="120"/>
      <c r="J8" s="120"/>
      <c r="K8" s="186"/>
      <c r="L8" s="121"/>
      <c r="M8" s="121"/>
      <c r="N8" s="121"/>
      <c r="O8" s="121"/>
    </row>
    <row r="9" spans="1:15" ht="13.5" customHeight="1" x14ac:dyDescent="0.25">
      <c r="A9" s="23">
        <v>42682</v>
      </c>
      <c r="B9" s="208" t="s">
        <v>369</v>
      </c>
      <c r="C9" s="24" t="s">
        <v>17</v>
      </c>
      <c r="D9" s="27">
        <v>50</v>
      </c>
      <c r="E9" s="105">
        <f>D9*$L$2</f>
        <v>73500</v>
      </c>
      <c r="F9" s="2" t="s">
        <v>101</v>
      </c>
      <c r="G9" s="102" t="str">
        <f>VLOOKUP(B9,CÓDIGOS!$A$1:$B$1000,2)</f>
        <v>Turbina CPAP GI</v>
      </c>
      <c r="H9" s="26"/>
      <c r="I9" s="26"/>
      <c r="J9" s="104">
        <v>1</v>
      </c>
      <c r="K9" s="187">
        <f>D9*$L$2*J9</f>
        <v>73500</v>
      </c>
      <c r="L9" s="188">
        <f>K9*1.1</f>
        <v>80850</v>
      </c>
      <c r="M9" s="189">
        <f>K9*5/6</f>
        <v>61250</v>
      </c>
      <c r="N9" s="3"/>
      <c r="O9" s="4"/>
    </row>
    <row r="10" spans="1:15" ht="13.5" customHeight="1" x14ac:dyDescent="0.25">
      <c r="A10" s="23">
        <v>42682</v>
      </c>
      <c r="B10" s="208" t="s">
        <v>371</v>
      </c>
      <c r="C10" s="24" t="s">
        <v>17</v>
      </c>
      <c r="D10" s="27">
        <v>50</v>
      </c>
      <c r="E10" s="105">
        <f>D10*$L$2</f>
        <v>73500</v>
      </c>
      <c r="F10" s="2" t="s">
        <v>102</v>
      </c>
      <c r="G10" s="102" t="str">
        <f>VLOOKUP(B10,CÓDIGOS!$A$1:$B$1000,2)</f>
        <v>Placa principal CPAP G1</v>
      </c>
      <c r="H10" s="26"/>
      <c r="I10" s="26"/>
      <c r="J10" s="104">
        <v>1</v>
      </c>
      <c r="K10" s="187">
        <f>D10*$L$2*J10</f>
        <v>73500</v>
      </c>
      <c r="L10" s="188">
        <f t="shared" ref="L10:L74" si="0">K10*1.1</f>
        <v>80850</v>
      </c>
      <c r="M10" s="189">
        <f t="shared" ref="M10:M74" si="1">K10*5/6</f>
        <v>61250</v>
      </c>
      <c r="N10" s="3"/>
      <c r="O10" s="4"/>
    </row>
    <row r="11" spans="1:15" ht="13.5" customHeight="1" x14ac:dyDescent="0.25">
      <c r="A11" s="117"/>
      <c r="B11" s="207"/>
      <c r="C11" s="118"/>
      <c r="D11" s="119">
        <f>K11/1.5</f>
        <v>333.33333333333331</v>
      </c>
      <c r="E11" s="105">
        <f>D11*$L$2</f>
        <v>490000</v>
      </c>
      <c r="F11" s="115" t="s">
        <v>2279</v>
      </c>
      <c r="G11" s="102" t="e">
        <f>VLOOKUP(B11,CÓDIGOS!$A$1:$B$1000,2)</f>
        <v>#N/A</v>
      </c>
      <c r="H11" s="120"/>
      <c r="I11" s="120"/>
      <c r="J11" s="120"/>
      <c r="K11" s="134">
        <v>500</v>
      </c>
      <c r="L11" s="188">
        <f t="shared" si="0"/>
        <v>550</v>
      </c>
      <c r="M11" s="189">
        <f t="shared" si="1"/>
        <v>416.66666666666669</v>
      </c>
      <c r="N11" s="121"/>
      <c r="O11" s="121"/>
    </row>
    <row r="12" spans="1:15" ht="13.5" customHeight="1" x14ac:dyDescent="0.25">
      <c r="A12" s="23">
        <v>42682</v>
      </c>
      <c r="B12" s="208"/>
      <c r="C12" s="24" t="s">
        <v>17</v>
      </c>
      <c r="D12" s="27">
        <f>D11*O3</f>
        <v>199.99999999999997</v>
      </c>
      <c r="E12" s="105">
        <f>D12*$L$2</f>
        <v>293999.99999999994</v>
      </c>
      <c r="F12" s="2" t="s">
        <v>106</v>
      </c>
      <c r="G12" s="102" t="e">
        <f>VLOOKUP(B12,CÓDIGOS!$A$1:$B$1000,2)</f>
        <v>#N/A</v>
      </c>
      <c r="H12" s="26"/>
      <c r="I12" s="26"/>
      <c r="J12" s="138">
        <v>1.5</v>
      </c>
      <c r="K12" s="187">
        <f>D12*$L$2*J12</f>
        <v>440999.99999999988</v>
      </c>
      <c r="L12" s="188">
        <f t="shared" si="0"/>
        <v>485099.99999999988</v>
      </c>
      <c r="M12" s="189">
        <f t="shared" si="1"/>
        <v>367499.99999999994</v>
      </c>
      <c r="N12" s="3"/>
      <c r="O12" s="4"/>
    </row>
    <row r="13" spans="1:15" ht="13.5" customHeight="1" x14ac:dyDescent="0.25">
      <c r="A13" s="23">
        <v>42682</v>
      </c>
      <c r="B13" s="208"/>
      <c r="C13" s="24" t="s">
        <v>17</v>
      </c>
      <c r="D13" s="27">
        <f>D11*O3</f>
        <v>199.99999999999997</v>
      </c>
      <c r="E13" s="105">
        <f>D13*$L$2</f>
        <v>293999.99999999994</v>
      </c>
      <c r="F13" s="2" t="s">
        <v>111</v>
      </c>
      <c r="G13" s="102" t="e">
        <f>VLOOKUP(B13,CÓDIGOS!$A$1:$B$1000,2)</f>
        <v>#N/A</v>
      </c>
      <c r="H13" s="26"/>
      <c r="I13" s="26"/>
      <c r="J13" s="138">
        <v>1.5</v>
      </c>
      <c r="K13" s="187">
        <f>D13*$L$2*J13</f>
        <v>440999.99999999988</v>
      </c>
      <c r="L13" s="188">
        <f t="shared" si="0"/>
        <v>485099.99999999988</v>
      </c>
      <c r="M13" s="189">
        <f t="shared" si="1"/>
        <v>367499.99999999994</v>
      </c>
      <c r="N13" s="3"/>
      <c r="O13" s="4"/>
    </row>
    <row r="14" spans="1:15" ht="13.5" customHeight="1" x14ac:dyDescent="0.25">
      <c r="A14" s="23">
        <v>42682</v>
      </c>
      <c r="B14" s="208"/>
      <c r="C14" s="24" t="s">
        <v>17</v>
      </c>
      <c r="D14" s="27">
        <f>D11*O3</f>
        <v>199.99999999999997</v>
      </c>
      <c r="E14" s="105">
        <f>D14*$L$2</f>
        <v>293999.99999999994</v>
      </c>
      <c r="F14" s="2" t="s">
        <v>108</v>
      </c>
      <c r="G14" s="102" t="e">
        <f>VLOOKUP(B14,CÓDIGOS!$A$1:$B$1000,2)</f>
        <v>#N/A</v>
      </c>
      <c r="H14" s="26"/>
      <c r="I14" s="26"/>
      <c r="J14" s="138">
        <v>1.5</v>
      </c>
      <c r="K14" s="187">
        <f>D14*$L$2*J14</f>
        <v>440999.99999999988</v>
      </c>
      <c r="L14" s="188">
        <f t="shared" si="0"/>
        <v>485099.99999999988</v>
      </c>
      <c r="M14" s="189">
        <f t="shared" si="1"/>
        <v>367499.99999999994</v>
      </c>
      <c r="N14" s="3"/>
      <c r="O14" s="4"/>
    </row>
    <row r="15" spans="1:15" ht="13.5" customHeight="1" x14ac:dyDescent="0.25">
      <c r="A15" s="23">
        <v>42682</v>
      </c>
      <c r="B15" s="208"/>
      <c r="C15" s="24" t="s">
        <v>17</v>
      </c>
      <c r="D15" s="27">
        <f>D11*O4</f>
        <v>166.66666666666666</v>
      </c>
      <c r="E15" s="105">
        <f>D15*$L$2</f>
        <v>245000</v>
      </c>
      <c r="F15" s="2" t="s">
        <v>105</v>
      </c>
      <c r="G15" s="102" t="e">
        <f>VLOOKUP(B15,CÓDIGOS!$A$1:$B$1000,2)</f>
        <v>#N/A</v>
      </c>
      <c r="H15" s="26"/>
      <c r="I15" s="26"/>
      <c r="J15" s="138">
        <v>1.5</v>
      </c>
      <c r="K15" s="187">
        <f>D15*$L$2*J15</f>
        <v>367500</v>
      </c>
      <c r="L15" s="188">
        <f t="shared" si="0"/>
        <v>404250.00000000006</v>
      </c>
      <c r="M15" s="189">
        <f t="shared" si="1"/>
        <v>306250</v>
      </c>
      <c r="N15" s="3"/>
      <c r="O15" s="4"/>
    </row>
    <row r="16" spans="1:15" ht="13.5" customHeight="1" x14ac:dyDescent="0.25">
      <c r="A16" s="23">
        <v>42682</v>
      </c>
      <c r="B16" s="208"/>
      <c r="C16" s="24" t="s">
        <v>17</v>
      </c>
      <c r="D16" s="27">
        <f>D11*O4</f>
        <v>166.66666666666666</v>
      </c>
      <c r="E16" s="105">
        <f>D16*$L$2</f>
        <v>245000</v>
      </c>
      <c r="F16" s="2" t="s">
        <v>107</v>
      </c>
      <c r="G16" s="102" t="e">
        <f>VLOOKUP(B16,CÓDIGOS!$A$1:$B$1000,2)</f>
        <v>#N/A</v>
      </c>
      <c r="H16" s="26"/>
      <c r="I16" s="26"/>
      <c r="J16" s="138">
        <v>1.5</v>
      </c>
      <c r="K16" s="187">
        <f>D16*$L$2*J16</f>
        <v>367500</v>
      </c>
      <c r="L16" s="188">
        <f t="shared" si="0"/>
        <v>404250.00000000006</v>
      </c>
      <c r="M16" s="189">
        <f t="shared" si="1"/>
        <v>306250</v>
      </c>
      <c r="N16" s="3"/>
      <c r="O16" s="4"/>
    </row>
    <row r="17" spans="1:15" ht="13.5" customHeight="1" x14ac:dyDescent="0.25">
      <c r="A17" s="23">
        <v>42682</v>
      </c>
      <c r="B17" s="208"/>
      <c r="C17" s="24" t="s">
        <v>17</v>
      </c>
      <c r="D17" s="27">
        <f>D11*O4</f>
        <v>166.66666666666666</v>
      </c>
      <c r="E17" s="105">
        <f>D17*$L$2</f>
        <v>245000</v>
      </c>
      <c r="F17" s="2" t="s">
        <v>110</v>
      </c>
      <c r="G17" s="102" t="e">
        <f>VLOOKUP(B17,CÓDIGOS!$A$1:$B$1000,2)</f>
        <v>#N/A</v>
      </c>
      <c r="H17" s="26"/>
      <c r="I17" s="26"/>
      <c r="J17" s="138">
        <v>1.5</v>
      </c>
      <c r="K17" s="187">
        <f>D17*$L$2*J17</f>
        <v>367500</v>
      </c>
      <c r="L17" s="188">
        <f t="shared" si="0"/>
        <v>404250.00000000006</v>
      </c>
      <c r="M17" s="189">
        <f t="shared" si="1"/>
        <v>306250</v>
      </c>
      <c r="N17" s="3"/>
      <c r="O17" s="4"/>
    </row>
    <row r="18" spans="1:15" ht="13.5" customHeight="1" x14ac:dyDescent="0.25">
      <c r="A18" s="68"/>
      <c r="B18" s="208"/>
      <c r="C18" s="69"/>
      <c r="D18" s="105">
        <f>D11*O2</f>
        <v>233.33333333333331</v>
      </c>
      <c r="E18" s="105">
        <f>D18*$L$2</f>
        <v>343000</v>
      </c>
      <c r="F18" s="102" t="s">
        <v>308</v>
      </c>
      <c r="G18" s="102" t="e">
        <f>VLOOKUP(B18,CÓDIGOS!$A$1:$B$1000,2)</f>
        <v>#N/A</v>
      </c>
      <c r="H18" s="104"/>
      <c r="I18" s="104"/>
      <c r="J18" s="138">
        <v>1.5</v>
      </c>
      <c r="K18" s="187">
        <f>D18*$L$2*J18</f>
        <v>514500</v>
      </c>
      <c r="L18" s="188">
        <f t="shared" si="0"/>
        <v>565950</v>
      </c>
      <c r="M18" s="189">
        <f t="shared" si="1"/>
        <v>428750</v>
      </c>
      <c r="N18" s="65"/>
      <c r="O18" s="66"/>
    </row>
    <row r="19" spans="1:15" ht="13.5" customHeight="1" x14ac:dyDescent="0.25">
      <c r="A19" s="117"/>
      <c r="B19" s="207"/>
      <c r="C19" s="118"/>
      <c r="D19" s="119">
        <f>K19/1.5</f>
        <v>100</v>
      </c>
      <c r="E19" s="105">
        <f>D19*$L$2</f>
        <v>147000</v>
      </c>
      <c r="F19" s="115" t="s">
        <v>2280</v>
      </c>
      <c r="G19" s="102" t="e">
        <f>VLOOKUP(B19,CÓDIGOS!$A$1:$B$1000,2)</f>
        <v>#N/A</v>
      </c>
      <c r="H19" s="120"/>
      <c r="I19" s="120"/>
      <c r="J19" s="138">
        <v>1.5</v>
      </c>
      <c r="K19" s="134">
        <v>150</v>
      </c>
      <c r="L19" s="188">
        <f t="shared" si="0"/>
        <v>165</v>
      </c>
      <c r="M19" s="189">
        <f t="shared" si="1"/>
        <v>125</v>
      </c>
      <c r="N19" s="121"/>
      <c r="O19" s="121"/>
    </row>
    <row r="20" spans="1:15" ht="13.5" customHeight="1" x14ac:dyDescent="0.25">
      <c r="A20" s="23">
        <v>42682</v>
      </c>
      <c r="B20" s="208"/>
      <c r="C20" s="24" t="s">
        <v>17</v>
      </c>
      <c r="D20" s="27">
        <v>50</v>
      </c>
      <c r="E20" s="105">
        <f>D20*$L$2</f>
        <v>73500</v>
      </c>
      <c r="F20" s="2" t="s">
        <v>104</v>
      </c>
      <c r="G20" s="102" t="e">
        <f>VLOOKUP(B20,CÓDIGOS!$A$1:$B$1000,2)</f>
        <v>#N/A</v>
      </c>
      <c r="H20" s="26"/>
      <c r="I20" s="26"/>
      <c r="J20" s="138">
        <v>1.5</v>
      </c>
      <c r="K20" s="187">
        <f>D20*$L$2*J20</f>
        <v>110250</v>
      </c>
      <c r="L20" s="188">
        <f t="shared" si="0"/>
        <v>121275.00000000001</v>
      </c>
      <c r="M20" s="189">
        <f t="shared" si="1"/>
        <v>91875</v>
      </c>
      <c r="N20" s="3"/>
      <c r="O20" s="4"/>
    </row>
    <row r="21" spans="1:15" ht="13.5" customHeight="1" x14ac:dyDescent="0.25">
      <c r="A21" s="23">
        <v>42682</v>
      </c>
      <c r="B21" s="208"/>
      <c r="C21" s="24" t="s">
        <v>17</v>
      </c>
      <c r="D21" s="27">
        <v>80</v>
      </c>
      <c r="E21" s="105">
        <f>D21*$L$2</f>
        <v>117600</v>
      </c>
      <c r="F21" s="2" t="s">
        <v>103</v>
      </c>
      <c r="G21" s="102" t="e">
        <f>VLOOKUP(B21,CÓDIGOS!$A$1:$B$1000,2)</f>
        <v>#N/A</v>
      </c>
      <c r="H21" s="26"/>
      <c r="I21" s="26"/>
      <c r="J21" s="138">
        <v>1.5</v>
      </c>
      <c r="K21" s="187">
        <f>D21*$L$2*J21</f>
        <v>176400</v>
      </c>
      <c r="L21" s="188">
        <f t="shared" si="0"/>
        <v>194040.00000000003</v>
      </c>
      <c r="M21" s="189">
        <f t="shared" si="1"/>
        <v>147000</v>
      </c>
      <c r="N21" s="3"/>
      <c r="O21" s="4"/>
    </row>
    <row r="22" spans="1:15" x14ac:dyDescent="0.25">
      <c r="A22" s="110"/>
      <c r="B22" s="209"/>
      <c r="C22" s="111"/>
      <c r="D22" s="112"/>
      <c r="E22" s="105">
        <f>D22*$L$2</f>
        <v>0</v>
      </c>
      <c r="F22" s="113" t="s">
        <v>302</v>
      </c>
      <c r="G22" s="102" t="e">
        <f>VLOOKUP(B22,CÓDIGOS!$A$1:$B$1000,2)</f>
        <v>#N/A</v>
      </c>
      <c r="H22" s="109"/>
      <c r="I22" s="109"/>
      <c r="J22" s="138">
        <v>1.5</v>
      </c>
      <c r="K22" s="190"/>
      <c r="L22" s="188">
        <f t="shared" si="0"/>
        <v>0</v>
      </c>
      <c r="M22" s="189">
        <f t="shared" si="1"/>
        <v>0</v>
      </c>
      <c r="N22" s="114"/>
      <c r="O22" s="114"/>
    </row>
    <row r="23" spans="1:15" ht="13.5" customHeight="1" x14ac:dyDescent="0.25">
      <c r="A23" s="117"/>
      <c r="B23" s="207"/>
      <c r="C23" s="118"/>
      <c r="D23" s="119">
        <f>K23/1.5</f>
        <v>166.66666666666666</v>
      </c>
      <c r="E23" s="105">
        <f>D23*$L$2</f>
        <v>245000</v>
      </c>
      <c r="F23" s="115" t="s">
        <v>303</v>
      </c>
      <c r="G23" s="102" t="e">
        <f>VLOOKUP(B23,CÓDIGOS!$A$1:$B$1000,2)</f>
        <v>#N/A</v>
      </c>
      <c r="H23" s="120"/>
      <c r="I23" s="120"/>
      <c r="J23" s="138">
        <v>1.5</v>
      </c>
      <c r="K23" s="134">
        <v>250</v>
      </c>
      <c r="L23" s="188">
        <f t="shared" si="0"/>
        <v>275</v>
      </c>
      <c r="M23" s="189">
        <f t="shared" si="1"/>
        <v>208.33333333333334</v>
      </c>
      <c r="N23" s="121"/>
      <c r="O23" s="121"/>
    </row>
    <row r="24" spans="1:15" ht="13.5" customHeight="1" x14ac:dyDescent="0.25">
      <c r="A24" s="84">
        <v>44992</v>
      </c>
      <c r="B24" s="210"/>
      <c r="C24" s="69" t="s">
        <v>17</v>
      </c>
      <c r="D24" s="105">
        <f>D23*O3</f>
        <v>99.999999999999986</v>
      </c>
      <c r="E24" s="105">
        <f>D24*$L$2</f>
        <v>146999.99999999997</v>
      </c>
      <c r="F24" s="102" t="s">
        <v>307</v>
      </c>
      <c r="G24" s="102" t="e">
        <f>VLOOKUP(B24,CÓDIGOS!$A$1:$B$1000,2)</f>
        <v>#N/A</v>
      </c>
      <c r="H24" s="104"/>
      <c r="I24" s="104"/>
      <c r="J24" s="138">
        <v>1.5</v>
      </c>
      <c r="K24" s="187">
        <f>D24*$L$2*J24</f>
        <v>220499.99999999994</v>
      </c>
      <c r="L24" s="188">
        <f t="shared" si="0"/>
        <v>242549.99999999994</v>
      </c>
      <c r="M24" s="189">
        <f t="shared" si="1"/>
        <v>183749.99999999997</v>
      </c>
      <c r="N24" s="65"/>
      <c r="O24" s="66"/>
    </row>
    <row r="25" spans="1:15" ht="13.5" customHeight="1" x14ac:dyDescent="0.25">
      <c r="A25" s="84">
        <v>44992</v>
      </c>
      <c r="B25" s="210"/>
      <c r="C25" s="69" t="s">
        <v>17</v>
      </c>
      <c r="D25" s="105">
        <f>D23*O4</f>
        <v>83.333333333333329</v>
      </c>
      <c r="E25" s="105">
        <f>D25*$L$2</f>
        <v>122500</v>
      </c>
      <c r="F25" s="102" t="s">
        <v>197</v>
      </c>
      <c r="G25" s="102" t="e">
        <f>VLOOKUP(B25,CÓDIGOS!$A$1:$B$1000,2)</f>
        <v>#N/A</v>
      </c>
      <c r="H25" s="104"/>
      <c r="I25" s="104"/>
      <c r="J25" s="138">
        <v>1.5</v>
      </c>
      <c r="K25" s="187">
        <f>D25*$L$2*J25</f>
        <v>183750</v>
      </c>
      <c r="L25" s="188">
        <f t="shared" si="0"/>
        <v>202125.00000000003</v>
      </c>
      <c r="M25" s="189">
        <f t="shared" si="1"/>
        <v>153125</v>
      </c>
      <c r="N25" s="65"/>
      <c r="O25" s="66"/>
    </row>
    <row r="26" spans="1:15" ht="13.5" customHeight="1" x14ac:dyDescent="0.25">
      <c r="A26" s="84"/>
      <c r="B26" s="210"/>
      <c r="C26" s="69"/>
      <c r="D26" s="105">
        <f>D23*$O$2</f>
        <v>116.66666666666666</v>
      </c>
      <c r="E26" s="105">
        <f>D26*$L$2</f>
        <v>171500</v>
      </c>
      <c r="F26" s="102" t="s">
        <v>308</v>
      </c>
      <c r="G26" s="102" t="e">
        <f>VLOOKUP(B26,CÓDIGOS!$A$1:$B$1000,2)</f>
        <v>#N/A</v>
      </c>
      <c r="H26" s="104"/>
      <c r="I26" s="104"/>
      <c r="J26" s="138">
        <v>1.5</v>
      </c>
      <c r="K26" s="187">
        <f>D26*$L$2*J26</f>
        <v>257250</v>
      </c>
      <c r="L26" s="188">
        <f t="shared" si="0"/>
        <v>282975</v>
      </c>
      <c r="M26" s="189">
        <f t="shared" si="1"/>
        <v>214375</v>
      </c>
      <c r="N26" s="65"/>
      <c r="O26" s="66"/>
    </row>
    <row r="27" spans="1:15" ht="13.5" customHeight="1" x14ac:dyDescent="0.25">
      <c r="A27" s="117"/>
      <c r="B27" s="207"/>
      <c r="C27" s="118"/>
      <c r="D27" s="119">
        <f>K27/1.5</f>
        <v>200</v>
      </c>
      <c r="E27" s="105">
        <f>D27*$L$2</f>
        <v>294000</v>
      </c>
      <c r="F27" s="115" t="s">
        <v>304</v>
      </c>
      <c r="G27" s="102" t="e">
        <f>VLOOKUP(B27,CÓDIGOS!$A$1:$B$1000,2)</f>
        <v>#N/A</v>
      </c>
      <c r="H27" s="120"/>
      <c r="I27" s="120"/>
      <c r="J27" s="138">
        <v>1.5</v>
      </c>
      <c r="K27" s="134">
        <v>300</v>
      </c>
      <c r="L27" s="188">
        <f t="shared" si="0"/>
        <v>330</v>
      </c>
      <c r="M27" s="189">
        <f t="shared" si="1"/>
        <v>250</v>
      </c>
      <c r="N27" s="121"/>
      <c r="O27" s="121"/>
    </row>
    <row r="28" spans="1:15" ht="13.5" customHeight="1" x14ac:dyDescent="0.25">
      <c r="A28" s="84">
        <v>44992</v>
      </c>
      <c r="B28" s="210"/>
      <c r="C28" s="69" t="s">
        <v>17</v>
      </c>
      <c r="D28" s="105">
        <f>D27*O3</f>
        <v>120</v>
      </c>
      <c r="E28" s="105">
        <f>D28*$L$2</f>
        <v>176400</v>
      </c>
      <c r="F28" s="102" t="s">
        <v>309</v>
      </c>
      <c r="G28" s="102" t="e">
        <f>VLOOKUP(B28,CÓDIGOS!$A$1:$B$1000,2)</f>
        <v>#N/A</v>
      </c>
      <c r="H28" s="104"/>
      <c r="I28" s="104"/>
      <c r="J28" s="138">
        <v>1.5</v>
      </c>
      <c r="K28" s="187">
        <f>D28*$L$2*J28</f>
        <v>264600</v>
      </c>
      <c r="L28" s="188">
        <f t="shared" si="0"/>
        <v>291060</v>
      </c>
      <c r="M28" s="189">
        <f t="shared" si="1"/>
        <v>220500</v>
      </c>
      <c r="N28" s="65"/>
      <c r="O28" s="66"/>
    </row>
    <row r="29" spans="1:15" ht="13.5" customHeight="1" x14ac:dyDescent="0.25">
      <c r="A29" s="84">
        <v>44992</v>
      </c>
      <c r="B29" s="210">
        <v>1502001</v>
      </c>
      <c r="C29" s="69" t="s">
        <v>17</v>
      </c>
      <c r="D29" s="105">
        <f>D27*O4</f>
        <v>100</v>
      </c>
      <c r="E29" s="105">
        <f>D29*$L$2</f>
        <v>147000</v>
      </c>
      <c r="F29" s="102" t="s">
        <v>198</v>
      </c>
      <c r="G29" s="102" t="str">
        <f>VLOOKUP(B29,CÓDIGOS!$A$1:$B$1000,2)</f>
        <v>Placa de circuito impresoÂ ensamblada APAP 20A-H-O</v>
      </c>
      <c r="H29" s="104"/>
      <c r="I29" s="104"/>
      <c r="J29" s="138">
        <v>1.5</v>
      </c>
      <c r="K29" s="187">
        <f>D29*$L$2*J29</f>
        <v>220500</v>
      </c>
      <c r="L29" s="188">
        <f t="shared" si="0"/>
        <v>242550.00000000003</v>
      </c>
      <c r="M29" s="189">
        <f t="shared" si="1"/>
        <v>183750</v>
      </c>
      <c r="N29" s="65"/>
      <c r="O29" s="66"/>
    </row>
    <row r="30" spans="1:15" ht="13.5" customHeight="1" x14ac:dyDescent="0.25">
      <c r="A30" s="84">
        <v>44992</v>
      </c>
      <c r="B30" s="210"/>
      <c r="C30" s="69" t="s">
        <v>17</v>
      </c>
      <c r="D30" s="105">
        <f>D27*O2</f>
        <v>140</v>
      </c>
      <c r="E30" s="105">
        <f>D30*$L$2</f>
        <v>205800</v>
      </c>
      <c r="F30" s="102" t="s">
        <v>308</v>
      </c>
      <c r="G30" s="102" t="e">
        <f>VLOOKUP(B30,CÓDIGOS!$A$1:$B$1000,2)</f>
        <v>#N/A</v>
      </c>
      <c r="H30" s="104"/>
      <c r="I30" s="104"/>
      <c r="J30" s="138">
        <v>1.5</v>
      </c>
      <c r="K30" s="187">
        <f>D30*$L$2*J30</f>
        <v>308700</v>
      </c>
      <c r="L30" s="188">
        <f t="shared" si="0"/>
        <v>339570</v>
      </c>
      <c r="M30" s="189">
        <f t="shared" si="1"/>
        <v>257250</v>
      </c>
      <c r="N30" s="65"/>
      <c r="O30" s="66"/>
    </row>
    <row r="31" spans="1:15" ht="13.5" customHeight="1" x14ac:dyDescent="0.25">
      <c r="A31" s="117"/>
      <c r="B31" s="207"/>
      <c r="C31" s="118"/>
      <c r="D31" s="119">
        <f>K31/1.5</f>
        <v>566.66666666666663</v>
      </c>
      <c r="E31" s="105">
        <f>D31*$L$2</f>
        <v>833000</v>
      </c>
      <c r="F31" s="115" t="s">
        <v>314</v>
      </c>
      <c r="G31" s="102" t="e">
        <f>VLOOKUP(B31,CÓDIGOS!$A$1:$B$1000,2)</f>
        <v>#N/A</v>
      </c>
      <c r="H31" s="120"/>
      <c r="I31" s="120"/>
      <c r="J31" s="138">
        <v>1.5</v>
      </c>
      <c r="K31" s="134">
        <v>850</v>
      </c>
      <c r="L31" s="188">
        <f t="shared" si="0"/>
        <v>935.00000000000011</v>
      </c>
      <c r="M31" s="189">
        <f t="shared" si="1"/>
        <v>708.33333333333337</v>
      </c>
      <c r="N31" s="121"/>
      <c r="O31" s="121"/>
    </row>
    <row r="32" spans="1:15" ht="13.5" customHeight="1" x14ac:dyDescent="0.25">
      <c r="A32" s="84">
        <v>44992</v>
      </c>
      <c r="B32" s="210"/>
      <c r="C32" s="69" t="s">
        <v>17</v>
      </c>
      <c r="D32" s="105">
        <f>D31*O3</f>
        <v>339.99999999999994</v>
      </c>
      <c r="E32" s="105">
        <f>D32*$L$2</f>
        <v>499799.99999999994</v>
      </c>
      <c r="F32" s="102" t="s">
        <v>201</v>
      </c>
      <c r="G32" s="102" t="e">
        <f>VLOOKUP(B32,CÓDIGOS!$A$1:$B$1000,2)</f>
        <v>#N/A</v>
      </c>
      <c r="H32" s="104"/>
      <c r="I32" s="104"/>
      <c r="J32" s="138">
        <v>1.5</v>
      </c>
      <c r="K32" s="187">
        <f>D32*$L$2*J32</f>
        <v>749699.99999999988</v>
      </c>
      <c r="L32" s="188">
        <f t="shared" si="0"/>
        <v>824669.99999999988</v>
      </c>
      <c r="M32" s="189">
        <f t="shared" si="1"/>
        <v>624749.99999999988</v>
      </c>
      <c r="N32" s="65"/>
      <c r="O32" s="66"/>
    </row>
    <row r="33" spans="1:15" ht="13.5" customHeight="1" x14ac:dyDescent="0.25">
      <c r="A33" s="84">
        <v>44992</v>
      </c>
      <c r="B33" s="210"/>
      <c r="C33" s="69" t="s">
        <v>17</v>
      </c>
      <c r="D33" s="105">
        <f>D31*O4</f>
        <v>283.33333333333331</v>
      </c>
      <c r="E33" s="105">
        <f>D33*$L$2</f>
        <v>416500</v>
      </c>
      <c r="F33" s="102" t="s">
        <v>199</v>
      </c>
      <c r="G33" s="102" t="e">
        <f>VLOOKUP(B33,CÓDIGOS!$A$1:$B$1000,2)</f>
        <v>#N/A</v>
      </c>
      <c r="H33" s="104"/>
      <c r="I33" s="104"/>
      <c r="J33" s="138">
        <v>1.5</v>
      </c>
      <c r="K33" s="187">
        <f>D33*$L$2*J33</f>
        <v>624750</v>
      </c>
      <c r="L33" s="188">
        <f t="shared" si="0"/>
        <v>687225</v>
      </c>
      <c r="M33" s="189">
        <f t="shared" si="1"/>
        <v>520625</v>
      </c>
      <c r="N33" s="65"/>
      <c r="O33" s="66"/>
    </row>
    <row r="34" spans="1:15" ht="13.5" customHeight="1" x14ac:dyDescent="0.25">
      <c r="A34" s="84">
        <v>44992</v>
      </c>
      <c r="B34" s="210"/>
      <c r="C34" s="69" t="s">
        <v>17</v>
      </c>
      <c r="D34" s="105">
        <f>D31*O2</f>
        <v>396.66666666666663</v>
      </c>
      <c r="E34" s="105">
        <f>D34*$L$2</f>
        <v>583100</v>
      </c>
      <c r="F34" s="102" t="s">
        <v>308</v>
      </c>
      <c r="G34" s="102" t="e">
        <f>VLOOKUP(B34,CÓDIGOS!$A$1:$B$1000,2)</f>
        <v>#N/A</v>
      </c>
      <c r="H34" s="104"/>
      <c r="I34" s="104"/>
      <c r="J34" s="138">
        <v>1.5</v>
      </c>
      <c r="K34" s="187">
        <f>D34*$L$2*J34</f>
        <v>874650</v>
      </c>
      <c r="L34" s="188">
        <f t="shared" si="0"/>
        <v>962115.00000000012</v>
      </c>
      <c r="M34" s="189">
        <f t="shared" si="1"/>
        <v>728875</v>
      </c>
      <c r="N34" s="65"/>
      <c r="O34" s="66"/>
    </row>
    <row r="35" spans="1:15" ht="13.5" customHeight="1" x14ac:dyDescent="0.25">
      <c r="A35" s="133"/>
      <c r="B35" s="211"/>
      <c r="C35" s="133"/>
      <c r="D35" s="119">
        <f>K35/1.5</f>
        <v>633.33333333333337</v>
      </c>
      <c r="E35" s="105">
        <f>D35*$L$2</f>
        <v>931000</v>
      </c>
      <c r="F35" s="115" t="s">
        <v>320</v>
      </c>
      <c r="G35" s="102" t="e">
        <f>VLOOKUP(B35,CÓDIGOS!$A$1:$B$1000,2)</f>
        <v>#N/A</v>
      </c>
      <c r="H35" s="133"/>
      <c r="I35" s="133"/>
      <c r="J35" s="138">
        <v>1.5</v>
      </c>
      <c r="K35" s="134">
        <v>950</v>
      </c>
      <c r="L35" s="188">
        <f t="shared" si="0"/>
        <v>1045</v>
      </c>
      <c r="M35" s="189">
        <f t="shared" si="1"/>
        <v>791.66666666666663</v>
      </c>
      <c r="N35" s="133"/>
      <c r="O35" s="133"/>
    </row>
    <row r="36" spans="1:15" ht="13.5" customHeight="1" x14ac:dyDescent="0.25">
      <c r="A36" s="84"/>
      <c r="B36" s="210"/>
      <c r="C36" s="69"/>
      <c r="D36" s="105">
        <f>D35*O3</f>
        <v>380</v>
      </c>
      <c r="E36" s="105">
        <f>D36*$L$2</f>
        <v>558600</v>
      </c>
      <c r="F36" s="102" t="s">
        <v>201</v>
      </c>
      <c r="G36" s="102" t="e">
        <f>VLOOKUP(B36,CÓDIGOS!$A$1:$B$1000,2)</f>
        <v>#N/A</v>
      </c>
      <c r="H36" s="104"/>
      <c r="I36" s="104"/>
      <c r="J36" s="138">
        <v>1.5</v>
      </c>
      <c r="K36" s="191">
        <f>D32*$L$2*J32</f>
        <v>749699.99999999988</v>
      </c>
      <c r="L36" s="188">
        <f t="shared" si="0"/>
        <v>824669.99999999988</v>
      </c>
      <c r="M36" s="189">
        <f t="shared" si="1"/>
        <v>624749.99999999988</v>
      </c>
      <c r="N36" s="65"/>
      <c r="O36" s="66"/>
    </row>
    <row r="37" spans="1:15" ht="13.5" customHeight="1" x14ac:dyDescent="0.25">
      <c r="A37" s="84"/>
      <c r="B37" s="210"/>
      <c r="C37" s="69"/>
      <c r="D37" s="105">
        <f>D35*O4</f>
        <v>316.66666666666669</v>
      </c>
      <c r="E37" s="105">
        <f>D37*$L$2</f>
        <v>465500</v>
      </c>
      <c r="F37" s="102" t="s">
        <v>325</v>
      </c>
      <c r="G37" s="102" t="e">
        <f>VLOOKUP(B37,CÓDIGOS!$A$1:$B$1000,2)</f>
        <v>#N/A</v>
      </c>
      <c r="H37" s="104"/>
      <c r="I37" s="104"/>
      <c r="J37" s="138">
        <v>1.5</v>
      </c>
      <c r="K37" s="191">
        <f>D33*$L$2*J33</f>
        <v>624750</v>
      </c>
      <c r="L37" s="188">
        <f t="shared" si="0"/>
        <v>687225</v>
      </c>
      <c r="M37" s="189">
        <f t="shared" si="1"/>
        <v>520625</v>
      </c>
      <c r="N37" s="65"/>
      <c r="O37" s="66"/>
    </row>
    <row r="38" spans="1:15" ht="13.5" customHeight="1" x14ac:dyDescent="0.25">
      <c r="A38" s="84"/>
      <c r="B38" s="210"/>
      <c r="C38" s="69"/>
      <c r="D38" s="105">
        <f>D35*O2</f>
        <v>443.33333333333331</v>
      </c>
      <c r="E38" s="105">
        <f>D38*$L$2</f>
        <v>651700</v>
      </c>
      <c r="F38" s="102" t="s">
        <v>308</v>
      </c>
      <c r="G38" s="102" t="e">
        <f>VLOOKUP(B38,CÓDIGOS!$A$1:$B$1000,2)</f>
        <v>#N/A</v>
      </c>
      <c r="H38" s="104"/>
      <c r="I38" s="104"/>
      <c r="J38" s="138">
        <v>1.5</v>
      </c>
      <c r="K38" s="191">
        <f>D34*$L$2*J34</f>
        <v>874650</v>
      </c>
      <c r="L38" s="188">
        <f t="shared" si="0"/>
        <v>962115.00000000012</v>
      </c>
      <c r="M38" s="189">
        <f t="shared" si="1"/>
        <v>728875</v>
      </c>
      <c r="N38" s="65"/>
      <c r="O38" s="66"/>
    </row>
    <row r="39" spans="1:15" ht="13.5" customHeight="1" x14ac:dyDescent="0.25">
      <c r="A39" s="84">
        <v>44992</v>
      </c>
      <c r="B39" s="210"/>
      <c r="C39" s="69" t="s">
        <v>17</v>
      </c>
      <c r="D39" s="105"/>
      <c r="E39" s="105">
        <f>D39*$L$2</f>
        <v>0</v>
      </c>
      <c r="F39" s="102" t="s">
        <v>200</v>
      </c>
      <c r="G39" s="102" t="e">
        <f>VLOOKUP(B39,CÓDIGOS!$A$1:$B$1000,2)</f>
        <v>#N/A</v>
      </c>
      <c r="H39" s="104"/>
      <c r="I39" s="104"/>
      <c r="J39" s="138">
        <v>1.5</v>
      </c>
      <c r="K39" s="191"/>
      <c r="L39" s="188">
        <f t="shared" si="0"/>
        <v>0</v>
      </c>
      <c r="M39" s="189">
        <f t="shared" si="1"/>
        <v>0</v>
      </c>
      <c r="N39" s="65"/>
      <c r="O39" s="66"/>
    </row>
    <row r="40" spans="1:15" ht="13.5" customHeight="1" x14ac:dyDescent="0.25">
      <c r="A40" s="84">
        <v>44992</v>
      </c>
      <c r="B40" s="210"/>
      <c r="C40" s="69" t="s">
        <v>17</v>
      </c>
      <c r="D40" s="105"/>
      <c r="E40" s="105">
        <f>D40*$L$2</f>
        <v>0</v>
      </c>
      <c r="F40" s="102" t="s">
        <v>315</v>
      </c>
      <c r="G40" s="102" t="e">
        <f>VLOOKUP(B40,CÓDIGOS!$A$1:$B$1000,2)</f>
        <v>#N/A</v>
      </c>
      <c r="H40" s="104"/>
      <c r="I40" s="104"/>
      <c r="J40" s="138">
        <v>1.5</v>
      </c>
      <c r="K40" s="187">
        <f>D40*$L$2*J40</f>
        <v>0</v>
      </c>
      <c r="L40" s="188">
        <f t="shared" si="0"/>
        <v>0</v>
      </c>
      <c r="M40" s="189">
        <f t="shared" si="1"/>
        <v>0</v>
      </c>
      <c r="N40" s="65"/>
      <c r="O40" s="66"/>
    </row>
    <row r="41" spans="1:15" ht="13.5" customHeight="1" x14ac:dyDescent="0.25">
      <c r="A41" s="110"/>
      <c r="B41" s="209"/>
      <c r="C41" s="111"/>
      <c r="D41" s="112"/>
      <c r="E41" s="105">
        <f>D41*$L$2</f>
        <v>0</v>
      </c>
      <c r="F41" s="113" t="s">
        <v>311</v>
      </c>
      <c r="G41" s="102" t="e">
        <f>VLOOKUP(B41,CÓDIGOS!$A$1:$B$1000,2)</f>
        <v>#N/A</v>
      </c>
      <c r="H41" s="109"/>
      <c r="I41" s="109"/>
      <c r="J41" s="138">
        <v>1.5</v>
      </c>
      <c r="K41" s="190"/>
      <c r="L41" s="188">
        <f t="shared" si="0"/>
        <v>0</v>
      </c>
      <c r="M41" s="189">
        <f t="shared" si="1"/>
        <v>0</v>
      </c>
      <c r="N41" s="114"/>
      <c r="O41" s="114"/>
    </row>
    <row r="42" spans="1:15" ht="13.5" customHeight="1" x14ac:dyDescent="0.25">
      <c r="A42" s="135"/>
      <c r="B42" s="212"/>
      <c r="C42" s="123"/>
      <c r="D42" s="119">
        <f>K42/1.5</f>
        <v>166.66666666666666</v>
      </c>
      <c r="E42" s="105">
        <f>D42*$L$2</f>
        <v>245000</v>
      </c>
      <c r="F42" s="126" t="s">
        <v>2281</v>
      </c>
      <c r="G42" s="102" t="e">
        <f>VLOOKUP(B42,CÓDIGOS!$A$1:$B$1000,2)</f>
        <v>#N/A</v>
      </c>
      <c r="H42" s="124"/>
      <c r="I42" s="124"/>
      <c r="J42" s="138">
        <v>1.5</v>
      </c>
      <c r="K42" s="134">
        <v>250</v>
      </c>
      <c r="L42" s="188">
        <f t="shared" si="0"/>
        <v>275</v>
      </c>
      <c r="M42" s="189">
        <f t="shared" si="1"/>
        <v>208.33333333333334</v>
      </c>
      <c r="N42" s="125"/>
      <c r="O42" s="125"/>
    </row>
    <row r="43" spans="1:15" ht="13.5" customHeight="1" x14ac:dyDescent="0.25">
      <c r="A43" s="84"/>
      <c r="B43" s="210">
        <v>1502003</v>
      </c>
      <c r="C43" s="69"/>
      <c r="D43" s="105">
        <f>D42*$O$4</f>
        <v>83.333333333333329</v>
      </c>
      <c r="E43" s="105">
        <f>D43*$L$2</f>
        <v>122500</v>
      </c>
      <c r="F43" s="102" t="s">
        <v>318</v>
      </c>
      <c r="G43" s="102" t="str">
        <f>VLOOKUP(B43,CÓDIGOS!$A$1:$B$1000,2)</f>
        <v>Placa de circuito impresoÂ ensamblada CPAP G3</v>
      </c>
      <c r="H43" s="104"/>
      <c r="I43" s="104"/>
      <c r="J43" s="138">
        <v>1.5</v>
      </c>
      <c r="K43" s="191">
        <f>D43*$L$2*J43</f>
        <v>183750</v>
      </c>
      <c r="L43" s="188">
        <f t="shared" si="0"/>
        <v>202125.00000000003</v>
      </c>
      <c r="M43" s="189">
        <f t="shared" si="1"/>
        <v>153125</v>
      </c>
      <c r="N43" s="65"/>
      <c r="O43" s="66"/>
    </row>
    <row r="44" spans="1:15" ht="13.5" customHeight="1" x14ac:dyDescent="0.25">
      <c r="A44" s="84"/>
      <c r="B44" s="210">
        <v>1501002</v>
      </c>
      <c r="C44" s="69"/>
      <c r="D44" s="105">
        <f>D42*$O$3</f>
        <v>99.999999999999986</v>
      </c>
      <c r="E44" s="105">
        <f>D44*$L$2</f>
        <v>146999.99999999997</v>
      </c>
      <c r="F44" s="102" t="s">
        <v>319</v>
      </c>
      <c r="G44" s="102" t="str">
        <f>VLOOKUP(B44,CÓDIGOS!$A$1:$B$1000,2)</f>
        <v>Turbina para CPAP/Auto CPAP BMC G2S</v>
      </c>
      <c r="H44" s="104"/>
      <c r="I44" s="104"/>
      <c r="J44" s="138">
        <v>1.5</v>
      </c>
      <c r="K44" s="191">
        <f>D44*$L$2*J44</f>
        <v>220499.99999999994</v>
      </c>
      <c r="L44" s="188">
        <f t="shared" si="0"/>
        <v>242549.99999999994</v>
      </c>
      <c r="M44" s="189">
        <f t="shared" si="1"/>
        <v>183749.99999999997</v>
      </c>
      <c r="N44" s="65"/>
      <c r="O44" s="66"/>
    </row>
    <row r="45" spans="1:15" ht="13.5" customHeight="1" x14ac:dyDescent="0.25">
      <c r="A45" s="122"/>
      <c r="B45" s="213"/>
      <c r="C45" s="122"/>
      <c r="D45" s="119">
        <f>K45/1.5</f>
        <v>253.33333333333334</v>
      </c>
      <c r="E45" s="105">
        <f>D45*$L$2</f>
        <v>372400</v>
      </c>
      <c r="F45" s="126" t="s">
        <v>2282</v>
      </c>
      <c r="G45" s="102" t="e">
        <f>VLOOKUP(B45,CÓDIGOS!$A$1:$B$1000,2)</f>
        <v>#N/A</v>
      </c>
      <c r="H45" s="122"/>
      <c r="I45" s="122"/>
      <c r="J45" s="138">
        <v>1.5</v>
      </c>
      <c r="K45" s="134">
        <v>380</v>
      </c>
      <c r="L45" s="188">
        <f t="shared" si="0"/>
        <v>418.00000000000006</v>
      </c>
      <c r="M45" s="189">
        <f t="shared" si="1"/>
        <v>316.66666666666669</v>
      </c>
      <c r="N45" s="122"/>
      <c r="O45" s="122"/>
    </row>
    <row r="46" spans="1:15" ht="13.5" customHeight="1" x14ac:dyDescent="0.25">
      <c r="A46" s="84">
        <v>44992</v>
      </c>
      <c r="B46" s="210">
        <v>1502002</v>
      </c>
      <c r="C46" s="69" t="s">
        <v>17</v>
      </c>
      <c r="D46" s="105">
        <f>D45*O4</f>
        <v>126.66666666666667</v>
      </c>
      <c r="E46" s="105">
        <f>D46*$L$2</f>
        <v>186200</v>
      </c>
      <c r="F46" s="102" t="s">
        <v>313</v>
      </c>
      <c r="G46" s="102" t="str">
        <f>VLOOKUP(B46,CÓDIGOS!$A$1:$B$1000,2)</f>
        <v>Placa de circuito impresoÂ ensamblada APAP A20</v>
      </c>
      <c r="H46" s="104"/>
      <c r="I46" s="104"/>
      <c r="J46" s="138">
        <v>1.5</v>
      </c>
      <c r="K46" s="187">
        <f>D46*$L$2*J46</f>
        <v>279300</v>
      </c>
      <c r="L46" s="188">
        <f t="shared" si="0"/>
        <v>307230</v>
      </c>
      <c r="M46" s="189">
        <f t="shared" si="1"/>
        <v>232750</v>
      </c>
      <c r="N46" s="65"/>
      <c r="O46" s="66"/>
    </row>
    <row r="47" spans="1:15" ht="13.5" customHeight="1" x14ac:dyDescent="0.25">
      <c r="A47" s="84"/>
      <c r="B47" s="210">
        <v>1501002</v>
      </c>
      <c r="C47" s="69"/>
      <c r="D47" s="105">
        <f>D45*O3</f>
        <v>152</v>
      </c>
      <c r="E47" s="105">
        <f>D47*$L$2</f>
        <v>223440</v>
      </c>
      <c r="F47" s="102" t="s">
        <v>348</v>
      </c>
      <c r="G47" s="102" t="str">
        <f>VLOOKUP(B47,CÓDIGOS!$A$1:$B$1000,2)</f>
        <v>Turbina para CPAP/Auto CPAP BMC G2S</v>
      </c>
      <c r="H47" s="104"/>
      <c r="I47" s="104"/>
      <c r="J47" s="138">
        <v>1.5</v>
      </c>
      <c r="K47" s="187">
        <f>D47*$L$2*J47</f>
        <v>335160</v>
      </c>
      <c r="L47" s="188">
        <f t="shared" si="0"/>
        <v>368676.00000000006</v>
      </c>
      <c r="M47" s="189">
        <f t="shared" si="1"/>
        <v>279300</v>
      </c>
      <c r="N47" s="65"/>
      <c r="O47" s="66"/>
    </row>
    <row r="48" spans="1:15" ht="13.5" customHeight="1" x14ac:dyDescent="0.25">
      <c r="A48" s="84"/>
      <c r="B48" s="210"/>
      <c r="C48" s="69"/>
      <c r="D48" s="105"/>
      <c r="E48" s="105">
        <f>D48*$L$2</f>
        <v>0</v>
      </c>
      <c r="F48" s="102"/>
      <c r="G48" s="102" t="e">
        <f>VLOOKUP(B48,CÓDIGOS!$A$1:$B$1000,2)</f>
        <v>#N/A</v>
      </c>
      <c r="H48" s="104"/>
      <c r="I48" s="104"/>
      <c r="J48" s="138">
        <v>1.5</v>
      </c>
      <c r="K48" s="191"/>
      <c r="L48" s="188">
        <f t="shared" si="0"/>
        <v>0</v>
      </c>
      <c r="M48" s="189">
        <f t="shared" si="1"/>
        <v>0</v>
      </c>
      <c r="N48" s="65"/>
      <c r="O48" s="66"/>
    </row>
    <row r="49" spans="1:15" ht="13.5" customHeight="1" x14ac:dyDescent="0.25">
      <c r="A49" s="122"/>
      <c r="B49" s="214">
        <v>1105002</v>
      </c>
      <c r="C49" s="123"/>
      <c r="D49" s="119">
        <f>K49/1.5</f>
        <v>426.66666666666669</v>
      </c>
      <c r="E49" s="105">
        <f>D49*$L$2</f>
        <v>627200</v>
      </c>
      <c r="F49" s="116" t="s">
        <v>316</v>
      </c>
      <c r="G49" s="102" t="e">
        <f>VLOOKUP(B49,CÓDIGOS!$A$1:$B$1000,2)</f>
        <v>#N/A</v>
      </c>
      <c r="H49" s="124"/>
      <c r="I49" s="124"/>
      <c r="J49" s="138">
        <v>1.5</v>
      </c>
      <c r="K49" s="134">
        <v>640</v>
      </c>
      <c r="L49" s="188">
        <f t="shared" si="0"/>
        <v>704</v>
      </c>
      <c r="M49" s="189">
        <f t="shared" si="1"/>
        <v>533.33333333333337</v>
      </c>
      <c r="N49" s="125"/>
      <c r="O49" s="125"/>
    </row>
    <row r="50" spans="1:15" ht="13.5" customHeight="1" x14ac:dyDescent="0.25">
      <c r="A50" s="84">
        <v>44992</v>
      </c>
      <c r="B50" s="210"/>
      <c r="C50" s="69" t="s">
        <v>17</v>
      </c>
      <c r="D50" s="105">
        <f>D49*$O$4</f>
        <v>213.33333333333334</v>
      </c>
      <c r="E50" s="105">
        <f>D50*$L$2</f>
        <v>313600</v>
      </c>
      <c r="F50" s="102" t="s">
        <v>317</v>
      </c>
      <c r="G50" s="102" t="e">
        <f>VLOOKUP(B50,CÓDIGOS!$A$1:$B$1000,2)</f>
        <v>#N/A</v>
      </c>
      <c r="H50" s="104"/>
      <c r="I50" s="104"/>
      <c r="J50" s="138">
        <v>1.5</v>
      </c>
      <c r="K50" s="187">
        <f>D50*$L$2*J50</f>
        <v>470400</v>
      </c>
      <c r="L50" s="188">
        <f t="shared" si="0"/>
        <v>517440.00000000006</v>
      </c>
      <c r="M50" s="189">
        <f t="shared" si="1"/>
        <v>392000</v>
      </c>
      <c r="N50" s="65"/>
      <c r="O50" s="66"/>
    </row>
    <row r="51" spans="1:15" ht="13.5" customHeight="1" x14ac:dyDescent="0.25">
      <c r="A51" s="84">
        <v>44992</v>
      </c>
      <c r="B51" s="210">
        <v>1104004</v>
      </c>
      <c r="C51" s="69" t="s">
        <v>17</v>
      </c>
      <c r="D51" s="105">
        <f>D49*$O$3</f>
        <v>256</v>
      </c>
      <c r="E51" s="105">
        <f>D51*$L$2</f>
        <v>376320</v>
      </c>
      <c r="F51" s="102" t="s">
        <v>309</v>
      </c>
      <c r="G51" s="102" t="e">
        <f>VLOOKUP(B51,CÓDIGOS!$A$1:$B$1000,2)</f>
        <v>#N/A</v>
      </c>
      <c r="H51" s="104"/>
      <c r="I51" s="104"/>
      <c r="J51" s="138">
        <v>1.5</v>
      </c>
      <c r="K51" s="187">
        <f>D51*$L$2*J51</f>
        <v>564480</v>
      </c>
      <c r="L51" s="188">
        <f t="shared" si="0"/>
        <v>620928</v>
      </c>
      <c r="M51" s="189">
        <f t="shared" si="1"/>
        <v>470400</v>
      </c>
      <c r="N51" s="65"/>
      <c r="O51" s="66"/>
    </row>
    <row r="52" spans="1:15" ht="13.5" customHeight="1" x14ac:dyDescent="0.25">
      <c r="A52" s="122"/>
      <c r="B52" s="214">
        <v>1106003</v>
      </c>
      <c r="C52" s="123"/>
      <c r="D52" s="119">
        <f>K52/1.5</f>
        <v>480</v>
      </c>
      <c r="E52" s="105">
        <f>D52*$L$2</f>
        <v>705600</v>
      </c>
      <c r="F52" s="116" t="s">
        <v>350</v>
      </c>
      <c r="G52" s="102" t="e">
        <f>VLOOKUP(B52,CÓDIGOS!$A$1:$B$1000,2)</f>
        <v>#N/A</v>
      </c>
      <c r="H52" s="124"/>
      <c r="I52" s="124"/>
      <c r="J52" s="138">
        <v>1.5</v>
      </c>
      <c r="K52" s="134">
        <v>720</v>
      </c>
      <c r="L52" s="188">
        <f t="shared" si="0"/>
        <v>792.00000000000011</v>
      </c>
      <c r="M52" s="189">
        <f t="shared" si="1"/>
        <v>600</v>
      </c>
      <c r="N52" s="125"/>
      <c r="O52" s="125"/>
    </row>
    <row r="53" spans="1:15" ht="13.5" customHeight="1" x14ac:dyDescent="0.25">
      <c r="A53" s="84">
        <v>44992</v>
      </c>
      <c r="B53" s="210"/>
      <c r="C53" s="69" t="s">
        <v>17</v>
      </c>
      <c r="D53" s="105">
        <f>D52*$O$4</f>
        <v>240</v>
      </c>
      <c r="E53" s="105">
        <f>D53*$L$2</f>
        <v>352800</v>
      </c>
      <c r="F53" s="102" t="s">
        <v>317</v>
      </c>
      <c r="G53" s="102" t="e">
        <f>VLOOKUP(B53,CÓDIGOS!$A$1:$B$1000,2)</f>
        <v>#N/A</v>
      </c>
      <c r="H53" s="104"/>
      <c r="I53" s="104"/>
      <c r="J53" s="138">
        <v>1.5</v>
      </c>
      <c r="K53" s="187">
        <f>D53*$L$2*J53</f>
        <v>529200</v>
      </c>
      <c r="L53" s="188">
        <f t="shared" si="0"/>
        <v>582120</v>
      </c>
      <c r="M53" s="189">
        <f t="shared" si="1"/>
        <v>441000</v>
      </c>
      <c r="N53" s="65"/>
      <c r="O53" s="66"/>
    </row>
    <row r="54" spans="1:15" ht="13.5" customHeight="1" x14ac:dyDescent="0.25">
      <c r="A54" s="84">
        <v>44992</v>
      </c>
      <c r="B54" s="210">
        <v>1105003</v>
      </c>
      <c r="C54" s="69" t="s">
        <v>17</v>
      </c>
      <c r="D54" s="105">
        <f>D52*$O$3</f>
        <v>288</v>
      </c>
      <c r="E54" s="105">
        <f>D54*$L$2</f>
        <v>423360</v>
      </c>
      <c r="F54" s="102" t="s">
        <v>309</v>
      </c>
      <c r="G54" s="102" t="e">
        <f>VLOOKUP(B54,CÓDIGOS!$A$1:$B$1000,2)</f>
        <v>#N/A</v>
      </c>
      <c r="H54" s="104"/>
      <c r="I54" s="104"/>
      <c r="J54" s="138">
        <v>1.5</v>
      </c>
      <c r="K54" s="187">
        <f>D54*$L$2*J54</f>
        <v>635040</v>
      </c>
      <c r="L54" s="188">
        <f t="shared" si="0"/>
        <v>698544</v>
      </c>
      <c r="M54" s="189">
        <f t="shared" si="1"/>
        <v>529200</v>
      </c>
      <c r="N54" s="65"/>
      <c r="O54" s="66"/>
    </row>
    <row r="55" spans="1:15" ht="13.5" customHeight="1" x14ac:dyDescent="0.25">
      <c r="A55" s="129"/>
      <c r="B55" s="215">
        <v>1104005</v>
      </c>
      <c r="C55" s="130"/>
      <c r="D55" s="119">
        <f>K55/1.5</f>
        <v>666.66666666666663</v>
      </c>
      <c r="E55" s="105">
        <f>D55*$L$2</f>
        <v>980000</v>
      </c>
      <c r="F55" s="116" t="s">
        <v>351</v>
      </c>
      <c r="G55" s="102" t="e">
        <f>VLOOKUP(B55,CÓDIGOS!$A$1:$B$1000,2)</f>
        <v>#N/A</v>
      </c>
      <c r="H55" s="132"/>
      <c r="I55" s="132"/>
      <c r="J55" s="138">
        <v>1.5</v>
      </c>
      <c r="K55" s="134">
        <v>1000</v>
      </c>
      <c r="L55" s="188">
        <f t="shared" si="0"/>
        <v>1100</v>
      </c>
      <c r="M55" s="189">
        <f t="shared" si="1"/>
        <v>833.33333333333337</v>
      </c>
      <c r="N55" s="131"/>
      <c r="O55" s="131"/>
    </row>
    <row r="56" spans="1:15" ht="13.5" customHeight="1" x14ac:dyDescent="0.25">
      <c r="A56" s="84">
        <v>44992</v>
      </c>
      <c r="B56" s="210"/>
      <c r="C56" s="69" t="s">
        <v>17</v>
      </c>
      <c r="D56" s="105">
        <f>D55*$O$4</f>
        <v>333.33333333333331</v>
      </c>
      <c r="E56" s="105">
        <f>D56*$L$2</f>
        <v>490000</v>
      </c>
      <c r="F56" s="102" t="s">
        <v>352</v>
      </c>
      <c r="G56" s="102" t="e">
        <f>VLOOKUP(B56,CÓDIGOS!$A$1:$B$1000,2)</f>
        <v>#N/A</v>
      </c>
      <c r="H56" s="104"/>
      <c r="I56" s="104"/>
      <c r="J56" s="138">
        <v>1.5</v>
      </c>
      <c r="K56" s="187">
        <f>D56*$L$2*J56</f>
        <v>735000</v>
      </c>
      <c r="L56" s="188">
        <f t="shared" si="0"/>
        <v>808500.00000000012</v>
      </c>
      <c r="M56" s="189">
        <f t="shared" si="1"/>
        <v>612500</v>
      </c>
      <c r="N56" s="65"/>
      <c r="O56" s="66"/>
    </row>
    <row r="57" spans="1:15" ht="13.5" customHeight="1" x14ac:dyDescent="0.25">
      <c r="A57" s="84">
        <v>44992</v>
      </c>
      <c r="B57" s="210">
        <v>1104006</v>
      </c>
      <c r="C57" s="69" t="s">
        <v>17</v>
      </c>
      <c r="D57" s="105">
        <f>D55*$O$3</f>
        <v>399.99999999999994</v>
      </c>
      <c r="E57" s="105">
        <f>D57*$L$2</f>
        <v>587999.99999999988</v>
      </c>
      <c r="F57" s="102" t="s">
        <v>309</v>
      </c>
      <c r="G57" s="102" t="e">
        <f>VLOOKUP(B57,CÓDIGOS!$A$1:$B$1000,2)</f>
        <v>#N/A</v>
      </c>
      <c r="H57" s="104"/>
      <c r="I57" s="104"/>
      <c r="J57" s="138">
        <v>1.5</v>
      </c>
      <c r="K57" s="187">
        <f>D57*$L$2*J57</f>
        <v>881999.99999999977</v>
      </c>
      <c r="L57" s="188">
        <f t="shared" si="0"/>
        <v>970199.99999999977</v>
      </c>
      <c r="M57" s="189">
        <f t="shared" si="1"/>
        <v>734999.99999999988</v>
      </c>
      <c r="N57" s="65"/>
      <c r="O57" s="66"/>
    </row>
    <row r="58" spans="1:15" ht="13.5" customHeight="1" x14ac:dyDescent="0.25">
      <c r="A58" s="117"/>
      <c r="B58" s="207"/>
      <c r="C58" s="118"/>
      <c r="D58" s="119"/>
      <c r="E58" s="105">
        <f>D58*$L$2</f>
        <v>0</v>
      </c>
      <c r="F58" s="115" t="s">
        <v>349</v>
      </c>
      <c r="G58" s="102" t="e">
        <f>VLOOKUP(B58,CÓDIGOS!$A$1:$B$1000,2)</f>
        <v>#N/A</v>
      </c>
      <c r="H58" s="120"/>
      <c r="I58" s="120"/>
      <c r="J58" s="138">
        <v>1.5</v>
      </c>
      <c r="K58" s="186"/>
      <c r="L58" s="188">
        <f t="shared" si="0"/>
        <v>0</v>
      </c>
      <c r="M58" s="189">
        <f t="shared" si="1"/>
        <v>0</v>
      </c>
      <c r="N58" s="121"/>
      <c r="O58" s="121"/>
    </row>
    <row r="59" spans="1:15" ht="13.5" customHeight="1" x14ac:dyDescent="0.25">
      <c r="A59" s="122"/>
      <c r="B59" s="213"/>
      <c r="C59" s="122"/>
      <c r="D59" s="119">
        <f>K59/1.5</f>
        <v>333.33333333333331</v>
      </c>
      <c r="E59" s="105">
        <f>D59*$L$2</f>
        <v>490000</v>
      </c>
      <c r="F59" s="126" t="s">
        <v>2283</v>
      </c>
      <c r="G59" s="102" t="e">
        <f>VLOOKUP(B59,CÓDIGOS!$A$1:$B$1000,2)</f>
        <v>#N/A</v>
      </c>
      <c r="H59" s="122"/>
      <c r="I59" s="122"/>
      <c r="J59" s="138">
        <v>1.5</v>
      </c>
      <c r="K59" s="134">
        <v>500</v>
      </c>
      <c r="L59" s="188">
        <f t="shared" si="0"/>
        <v>550</v>
      </c>
      <c r="M59" s="189">
        <f t="shared" si="1"/>
        <v>416.66666666666669</v>
      </c>
      <c r="N59" s="122"/>
      <c r="O59" s="122"/>
    </row>
    <row r="60" spans="1:15" ht="13.5" customHeight="1" x14ac:dyDescent="0.25">
      <c r="A60" s="84">
        <v>44992</v>
      </c>
      <c r="B60" s="210">
        <v>1502004</v>
      </c>
      <c r="C60" s="69" t="s">
        <v>17</v>
      </c>
      <c r="D60" s="105">
        <f>D59*O4</f>
        <v>166.66666666666666</v>
      </c>
      <c r="E60" s="105">
        <f>D60*$L$2</f>
        <v>245000</v>
      </c>
      <c r="F60" s="102" t="s">
        <v>313</v>
      </c>
      <c r="G60" s="102" t="str">
        <f>VLOOKUP(B60,CÓDIGOS!$A$1:$B$1000,2)</f>
        <v>Placa de circuito impresoÂ ensamblada APAP G3</v>
      </c>
      <c r="H60" s="104"/>
      <c r="I60" s="104"/>
      <c r="J60" s="138">
        <v>1.5</v>
      </c>
      <c r="K60" s="187">
        <f>D60*$L$2*J60</f>
        <v>367500</v>
      </c>
      <c r="L60" s="188">
        <f t="shared" si="0"/>
        <v>404250.00000000006</v>
      </c>
      <c r="M60" s="189">
        <f t="shared" si="1"/>
        <v>306250</v>
      </c>
      <c r="N60" s="65"/>
      <c r="O60" s="66"/>
    </row>
    <row r="61" spans="1:15" ht="13.5" customHeight="1" x14ac:dyDescent="0.25">
      <c r="A61" s="84"/>
      <c r="B61" s="210">
        <v>1104011</v>
      </c>
      <c r="C61" s="69"/>
      <c r="D61" s="105">
        <f>D59*O3</f>
        <v>199.99999999999997</v>
      </c>
      <c r="E61" s="105">
        <f>D61*$L$2</f>
        <v>293999.99999999994</v>
      </c>
      <c r="F61" s="102" t="s">
        <v>348</v>
      </c>
      <c r="G61" s="102" t="e">
        <f>VLOOKUP(B61,CÓDIGOS!$A$1:$B$1000,2)</f>
        <v>#N/A</v>
      </c>
      <c r="H61" s="104"/>
      <c r="I61" s="104"/>
      <c r="J61" s="138">
        <v>1.5</v>
      </c>
      <c r="K61" s="187">
        <f>D61*$L$2*J61</f>
        <v>440999.99999999988</v>
      </c>
      <c r="L61" s="188">
        <f t="shared" si="0"/>
        <v>485099.99999999988</v>
      </c>
      <c r="M61" s="189">
        <f t="shared" si="1"/>
        <v>367499.99999999994</v>
      </c>
      <c r="N61" s="65"/>
      <c r="O61" s="66"/>
    </row>
    <row r="62" spans="1:15" ht="13.5" customHeight="1" x14ac:dyDescent="0.25">
      <c r="A62" s="122"/>
      <c r="B62" s="213">
        <v>1103003</v>
      </c>
      <c r="C62" s="122"/>
      <c r="D62" s="119">
        <f>K62/1.5</f>
        <v>733.33333333333337</v>
      </c>
      <c r="E62" s="105">
        <f>D62*$L$2</f>
        <v>1078000</v>
      </c>
      <c r="F62" s="126" t="s">
        <v>305</v>
      </c>
      <c r="G62" s="102" t="e">
        <f>VLOOKUP(B62,CÓDIGOS!$A$1:$B$1000,2)</f>
        <v>#N/A</v>
      </c>
      <c r="H62" s="122"/>
      <c r="I62" s="122"/>
      <c r="J62" s="138">
        <v>1.5</v>
      </c>
      <c r="K62" s="127">
        <v>1100</v>
      </c>
      <c r="L62" s="188">
        <f t="shared" si="0"/>
        <v>1210</v>
      </c>
      <c r="M62" s="189">
        <f t="shared" si="1"/>
        <v>916.66666666666663</v>
      </c>
      <c r="N62" s="122"/>
      <c r="O62" s="122"/>
    </row>
    <row r="63" spans="1:15" ht="13.5" customHeight="1" x14ac:dyDescent="0.25">
      <c r="A63" s="84">
        <v>44992</v>
      </c>
      <c r="B63" s="210">
        <v>1502005</v>
      </c>
      <c r="C63" s="69" t="s">
        <v>17</v>
      </c>
      <c r="D63" s="139">
        <f>D62*O4</f>
        <v>366.66666666666669</v>
      </c>
      <c r="E63" s="105">
        <f>D63*$L$2</f>
        <v>539000</v>
      </c>
      <c r="F63" s="102"/>
      <c r="G63" s="102" t="str">
        <f>VLOOKUP(B63,CÓDIGOS!$A$1:$B$1000,2)</f>
        <v>Placa de circuito impresoÂ ensamblada BPAP G3</v>
      </c>
      <c r="H63" s="104"/>
      <c r="I63" s="104"/>
      <c r="J63" s="138">
        <v>1.5</v>
      </c>
      <c r="K63" s="187">
        <f>D63*$L$2*J63</f>
        <v>808500</v>
      </c>
      <c r="L63" s="188">
        <f t="shared" si="0"/>
        <v>889350.00000000012</v>
      </c>
      <c r="M63" s="189">
        <f t="shared" si="1"/>
        <v>673750</v>
      </c>
      <c r="N63" s="65"/>
      <c r="O63" s="66"/>
    </row>
    <row r="64" spans="1:15" ht="13.5" customHeight="1" x14ac:dyDescent="0.25">
      <c r="A64" s="84"/>
      <c r="B64" s="210">
        <v>1106001</v>
      </c>
      <c r="C64" s="69"/>
      <c r="D64" s="105">
        <f>D63*O3</f>
        <v>220</v>
      </c>
      <c r="E64" s="105">
        <f>D64*$L$2</f>
        <v>323400</v>
      </c>
      <c r="F64" s="102" t="s">
        <v>348</v>
      </c>
      <c r="G64" s="102" t="e">
        <f>VLOOKUP(B64,CÓDIGOS!$A$1:$B$1000,2)</f>
        <v>#N/A</v>
      </c>
      <c r="H64" s="104"/>
      <c r="I64" s="104"/>
      <c r="J64" s="138">
        <v>1.5</v>
      </c>
      <c r="K64" s="187">
        <f>D64*$L$2*J64</f>
        <v>485100</v>
      </c>
      <c r="L64" s="188">
        <f t="shared" si="0"/>
        <v>533610</v>
      </c>
      <c r="M64" s="189">
        <f t="shared" si="1"/>
        <v>404250</v>
      </c>
      <c r="N64" s="65"/>
      <c r="O64" s="66"/>
    </row>
    <row r="65" spans="1:16384" ht="13.5" customHeight="1" x14ac:dyDescent="0.25">
      <c r="A65" s="135"/>
      <c r="B65" s="212"/>
      <c r="C65" s="123"/>
      <c r="D65" s="134"/>
      <c r="E65" s="105">
        <f>D65*$L$2</f>
        <v>0</v>
      </c>
      <c r="F65" s="126" t="s">
        <v>301</v>
      </c>
      <c r="G65" s="102" t="e">
        <f>VLOOKUP(B65,CÓDIGOS!$A$1:$B$1000,2)</f>
        <v>#N/A</v>
      </c>
      <c r="H65" s="124"/>
      <c r="I65" s="124"/>
      <c r="J65" s="138">
        <v>1.5</v>
      </c>
      <c r="K65" s="134">
        <v>420</v>
      </c>
      <c r="L65" s="188">
        <f t="shared" si="0"/>
        <v>462.00000000000006</v>
      </c>
      <c r="M65" s="189">
        <f t="shared" si="1"/>
        <v>350</v>
      </c>
      <c r="N65" s="125"/>
      <c r="O65" s="125"/>
    </row>
    <row r="66" spans="1:16384" ht="13.5" customHeight="1" x14ac:dyDescent="0.25">
      <c r="A66" s="84"/>
      <c r="B66" s="210"/>
      <c r="C66" s="69"/>
      <c r="D66" s="105">
        <f>D65*O27</f>
        <v>0</v>
      </c>
      <c r="E66" s="105">
        <f>D66*$L$2</f>
        <v>0</v>
      </c>
      <c r="F66" s="102" t="s">
        <v>318</v>
      </c>
      <c r="G66" s="102" t="e">
        <f>VLOOKUP(B66,CÓDIGOS!$A$1:$B$1000,2)</f>
        <v>#N/A</v>
      </c>
      <c r="H66" s="104"/>
      <c r="I66" s="104"/>
      <c r="J66" s="138">
        <v>1.5</v>
      </c>
      <c r="K66" s="187">
        <f>D66*$L$2*J66</f>
        <v>0</v>
      </c>
      <c r="L66" s="188">
        <f t="shared" si="0"/>
        <v>0</v>
      </c>
      <c r="M66" s="189">
        <f t="shared" si="1"/>
        <v>0</v>
      </c>
      <c r="N66" s="65"/>
      <c r="O66" s="66"/>
    </row>
    <row r="67" spans="1:16384" ht="13.5" customHeight="1" x14ac:dyDescent="0.25">
      <c r="A67" s="84"/>
      <c r="B67" s="210">
        <v>1103004</v>
      </c>
      <c r="C67" s="69"/>
      <c r="D67" s="105">
        <f>D65*O26</f>
        <v>0</v>
      </c>
      <c r="E67" s="105">
        <f>D67*$L$2</f>
        <v>0</v>
      </c>
      <c r="F67" s="102" t="s">
        <v>319</v>
      </c>
      <c r="G67" s="102" t="e">
        <f>VLOOKUP(B67,CÓDIGOS!$A$1:$B$1000,2)</f>
        <v>#N/A</v>
      </c>
      <c r="H67" s="104"/>
      <c r="I67" s="104"/>
      <c r="J67" s="138">
        <v>1.5</v>
      </c>
      <c r="K67" s="187">
        <f>D67*$L$2*J67</f>
        <v>0</v>
      </c>
      <c r="L67" s="188">
        <f t="shared" si="0"/>
        <v>0</v>
      </c>
      <c r="M67" s="189">
        <f t="shared" si="1"/>
        <v>0</v>
      </c>
      <c r="N67" s="65"/>
      <c r="O67" s="66"/>
    </row>
    <row r="68" spans="1:16384" ht="13.5" customHeight="1" x14ac:dyDescent="0.25">
      <c r="A68" s="110"/>
      <c r="B68" s="209"/>
      <c r="C68" s="111"/>
      <c r="D68" s="112"/>
      <c r="E68" s="105">
        <f>D68*$L$2</f>
        <v>0</v>
      </c>
      <c r="F68" s="113" t="s">
        <v>306</v>
      </c>
      <c r="G68" s="102" t="e">
        <f>VLOOKUP(B68,CÓDIGOS!$A$1:$B$1000,2)</f>
        <v>#N/A</v>
      </c>
      <c r="H68" s="109"/>
      <c r="I68" s="109"/>
      <c r="J68" s="109"/>
      <c r="K68" s="190"/>
      <c r="L68" s="188">
        <f t="shared" si="0"/>
        <v>0</v>
      </c>
      <c r="M68" s="189">
        <f t="shared" si="1"/>
        <v>0</v>
      </c>
      <c r="N68" s="114"/>
      <c r="O68" s="114"/>
    </row>
    <row r="69" spans="1:16384" ht="13.5" customHeight="1" x14ac:dyDescent="0.25">
      <c r="A69" s="84">
        <v>44992</v>
      </c>
      <c r="B69" s="210">
        <v>1104021</v>
      </c>
      <c r="C69" s="69" t="s">
        <v>17</v>
      </c>
      <c r="D69" s="105">
        <v>7</v>
      </c>
      <c r="E69" s="105">
        <f>D69*$L$2</f>
        <v>10290</v>
      </c>
      <c r="F69" s="102" t="s">
        <v>203</v>
      </c>
      <c r="G69" s="102" t="e">
        <f>VLOOKUP(B69,CÓDIGOS!$A$1:$B$1000,2)</f>
        <v>#N/A</v>
      </c>
      <c r="H69" s="104"/>
      <c r="I69" s="104"/>
      <c r="J69" s="104">
        <v>3.5</v>
      </c>
      <c r="K69" s="187">
        <f>D69*$L$2*J69</f>
        <v>36015</v>
      </c>
      <c r="L69" s="188">
        <f t="shared" si="0"/>
        <v>39616.5</v>
      </c>
      <c r="M69" s="189">
        <f t="shared" si="1"/>
        <v>30012.5</v>
      </c>
      <c r="N69" s="65"/>
      <c r="O69" s="66"/>
    </row>
    <row r="70" spans="1:16384" ht="13.5" customHeight="1" x14ac:dyDescent="0.25">
      <c r="A70" s="84"/>
      <c r="B70" s="208">
        <v>1502009</v>
      </c>
      <c r="C70" s="69"/>
      <c r="D70" s="105"/>
      <c r="E70" s="105"/>
      <c r="F70" s="102" t="s">
        <v>671</v>
      </c>
      <c r="G70" s="102" t="str">
        <f>VLOOKUP(B70,CÓDIGOS!$A$1:$B$1000,2)</f>
        <v>Placa calefactora para humidificador CPAP G2S</v>
      </c>
      <c r="H70" s="104"/>
      <c r="I70" s="104"/>
      <c r="J70" s="104"/>
      <c r="K70" s="191"/>
      <c r="L70" s="253"/>
      <c r="M70" s="254"/>
      <c r="N70" s="65"/>
      <c r="O70" s="66"/>
    </row>
    <row r="71" spans="1:16384" ht="13.5" customHeight="1" x14ac:dyDescent="0.25">
      <c r="A71" s="23">
        <v>42682</v>
      </c>
      <c r="B71" s="208">
        <v>1104022</v>
      </c>
      <c r="C71" s="24" t="s">
        <v>17</v>
      </c>
      <c r="D71" s="27">
        <v>10</v>
      </c>
      <c r="E71" s="105">
        <f>D71*$L$2</f>
        <v>14700</v>
      </c>
      <c r="F71" s="2" t="s">
        <v>109</v>
      </c>
      <c r="G71" s="102" t="e">
        <f>VLOOKUP(B71,CÓDIGOS!$A$1:$B$1000,2)</f>
        <v>#N/A</v>
      </c>
      <c r="H71" s="26"/>
      <c r="I71" s="26"/>
      <c r="J71" s="104">
        <v>3.5</v>
      </c>
      <c r="K71" s="187">
        <f>D71*$L$2*J71</f>
        <v>51450</v>
      </c>
      <c r="L71" s="188">
        <f t="shared" si="0"/>
        <v>56595.000000000007</v>
      </c>
      <c r="M71" s="189">
        <f t="shared" si="1"/>
        <v>42875</v>
      </c>
      <c r="N71" s="3"/>
      <c r="O71" s="4"/>
    </row>
    <row r="72" spans="1:16384" ht="13.5" customHeight="1" x14ac:dyDescent="0.25">
      <c r="A72" s="84">
        <v>44992</v>
      </c>
      <c r="B72" s="210">
        <v>1213016</v>
      </c>
      <c r="C72" s="69" t="s">
        <v>17</v>
      </c>
      <c r="D72" s="105"/>
      <c r="E72" s="105">
        <f>D72*$L$2</f>
        <v>0</v>
      </c>
      <c r="F72" s="102" t="str">
        <f>VLOOKUP(B72,CÓDIGOS!$A$1:$B$1000,2)</f>
        <v>Fuente de alimentación original BMC G3</v>
      </c>
      <c r="H72" s="104"/>
      <c r="I72" s="104"/>
      <c r="J72" s="104">
        <v>3.5</v>
      </c>
      <c r="K72" s="187">
        <f>D72*$L$2*J72</f>
        <v>0</v>
      </c>
      <c r="L72" s="188">
        <f t="shared" si="0"/>
        <v>0</v>
      </c>
      <c r="M72" s="189">
        <f t="shared" si="1"/>
        <v>0</v>
      </c>
      <c r="N72" s="65"/>
      <c r="O72" s="66"/>
    </row>
    <row r="73" spans="1:16384" ht="13.5" customHeight="1" x14ac:dyDescent="0.25">
      <c r="B73" s="216" t="s">
        <v>372</v>
      </c>
      <c r="C73" s="24" t="s">
        <v>156</v>
      </c>
      <c r="D73" s="105">
        <v>52</v>
      </c>
      <c r="E73" s="105">
        <f>D73*$L$2</f>
        <v>76440</v>
      </c>
      <c r="F73" s="102" t="s">
        <v>155</v>
      </c>
      <c r="G73" s="102" t="str">
        <f>VLOOKUP(B73,CÓDIGOS!$A$1:$B$1000,2)</f>
        <v>Fuente de alimentación 24V 60W p/BMC</v>
      </c>
      <c r="H73" s="104"/>
      <c r="I73" s="104"/>
      <c r="J73" s="104">
        <v>1.3</v>
      </c>
      <c r="K73" s="187">
        <f>D73*$L$2*J73</f>
        <v>99372</v>
      </c>
      <c r="L73" s="188">
        <f t="shared" si="0"/>
        <v>109309.20000000001</v>
      </c>
      <c r="M73" s="189">
        <f t="shared" si="1"/>
        <v>82810</v>
      </c>
      <c r="N73" s="65"/>
      <c r="O73" s="66"/>
    </row>
    <row r="74" spans="1:16384" ht="13.5" customHeight="1" x14ac:dyDescent="0.25">
      <c r="A74" s="83"/>
      <c r="B74" s="216" t="s">
        <v>373</v>
      </c>
      <c r="C74" s="24" t="s">
        <v>156</v>
      </c>
      <c r="D74" s="105">
        <v>20</v>
      </c>
      <c r="E74" s="105">
        <f>D74*$L$2</f>
        <v>29400</v>
      </c>
      <c r="F74" s="102" t="s">
        <v>354</v>
      </c>
      <c r="G74" s="102" t="str">
        <f>VLOOKUP(B74,CÓDIGOS!$A$1:$B$1000,2)</f>
        <v>Fuente de alimentación 12v A 24V 60W p/BMC GII/G2s</v>
      </c>
      <c r="H74" s="104"/>
      <c r="I74" s="104"/>
      <c r="J74" s="104">
        <v>3.5</v>
      </c>
      <c r="K74" s="187">
        <f>D74*$L$2*J74</f>
        <v>102900</v>
      </c>
      <c r="L74" s="188">
        <f t="shared" si="0"/>
        <v>113190.00000000001</v>
      </c>
      <c r="M74" s="189">
        <f t="shared" si="1"/>
        <v>85750</v>
      </c>
      <c r="N74" s="65"/>
      <c r="O74" s="66"/>
    </row>
    <row r="75" spans="1:16384" ht="13.5" customHeight="1" x14ac:dyDescent="0.25">
      <c r="A75" s="83"/>
      <c r="B75" s="216" t="s">
        <v>380</v>
      </c>
      <c r="C75" s="24" t="s">
        <v>156</v>
      </c>
      <c r="D75" s="105">
        <v>30</v>
      </c>
      <c r="E75" s="105">
        <f>D75*$L$2</f>
        <v>44100</v>
      </c>
      <c r="F75" s="102" t="s">
        <v>353</v>
      </c>
      <c r="G75" s="102"/>
      <c r="H75" s="104"/>
      <c r="I75" s="104"/>
      <c r="J75" s="104">
        <v>1.5</v>
      </c>
      <c r="K75" s="187">
        <f>D75*$L$2*J75</f>
        <v>66150</v>
      </c>
      <c r="L75" s="188">
        <f t="shared" ref="L75:L139" si="2">K75*1.1</f>
        <v>72765</v>
      </c>
      <c r="M75" s="189">
        <f t="shared" ref="M75:M139" si="3">K75*5/6</f>
        <v>55125</v>
      </c>
      <c r="N75" s="65"/>
      <c r="O75" s="66"/>
    </row>
    <row r="76" spans="1:16384" ht="13.5" customHeight="1" x14ac:dyDescent="0.25">
      <c r="A76" s="83"/>
      <c r="B76" s="216" t="s">
        <v>380</v>
      </c>
      <c r="C76" s="69"/>
      <c r="D76" s="105"/>
      <c r="E76" s="105"/>
      <c r="F76" s="102" t="s">
        <v>1216</v>
      </c>
      <c r="G76" s="102" t="str">
        <f>VLOOKUP(B76,CÓDIGOS!$A$1:$B$1000,2)</f>
        <v>FUENTE DE ALIMENTACION DE 12V A 19V 1,3 A</v>
      </c>
      <c r="H76" s="104"/>
      <c r="I76" s="104"/>
      <c r="J76" s="104"/>
      <c r="K76" s="191"/>
      <c r="L76" s="253"/>
      <c r="M76" s="254"/>
      <c r="N76" s="65"/>
      <c r="O76" s="66"/>
    </row>
    <row r="77" spans="1:16384" ht="13.5" customHeight="1" x14ac:dyDescent="0.25">
      <c r="A77" s="68"/>
      <c r="B77" s="210" t="s">
        <v>374</v>
      </c>
      <c r="C77" s="69" t="s">
        <v>17</v>
      </c>
      <c r="D77" s="105">
        <v>4</v>
      </c>
      <c r="E77" s="105">
        <f>D77*$L$2</f>
        <v>5880</v>
      </c>
      <c r="F77" s="102" t="s">
        <v>151</v>
      </c>
      <c r="G77" s="102" t="str">
        <f>VLOOKUP(B77,CÓDIGOS!$A$1:$B$1000,2)</f>
        <v>PORTA FILTRO CPAP/BPAP GII BMC</v>
      </c>
      <c r="H77" s="104"/>
      <c r="I77" s="104"/>
      <c r="J77" s="104">
        <v>3.5</v>
      </c>
      <c r="K77" s="187">
        <f>D77*$L$2*J77</f>
        <v>20580</v>
      </c>
      <c r="L77" s="188">
        <f t="shared" si="2"/>
        <v>22638.000000000004</v>
      </c>
      <c r="M77" s="189">
        <f t="shared" si="3"/>
        <v>17150</v>
      </c>
      <c r="N77" s="65"/>
      <c r="O77" s="66"/>
    </row>
    <row r="78" spans="1:16384" ht="13.5" customHeight="1" x14ac:dyDescent="0.25">
      <c r="A78" s="209">
        <v>1208048</v>
      </c>
      <c r="B78" s="209">
        <v>1208048</v>
      </c>
      <c r="C78" s="69" t="s">
        <v>17</v>
      </c>
      <c r="D78" s="105">
        <v>5</v>
      </c>
      <c r="E78" s="105">
        <f>D78*$L$2</f>
        <v>7350</v>
      </c>
      <c r="F78" s="102" t="s">
        <v>526</v>
      </c>
      <c r="G78" s="102" t="str">
        <f>VLOOKUP(B78,CÓDIGOS!$A$1:$B$1000,2)</f>
        <v>Filtro de aire CPAP/BPAP G3 BMC Original</v>
      </c>
      <c r="H78" s="104"/>
      <c r="I78" s="104"/>
      <c r="J78" s="104">
        <v>4.5</v>
      </c>
      <c r="K78" s="187">
        <f>D78*$L$2*J78</f>
        <v>33075</v>
      </c>
      <c r="L78" s="188">
        <f t="shared" ref="L78" si="4">K78*1.1</f>
        <v>36382.5</v>
      </c>
      <c r="M78" s="189">
        <f t="shared" ref="M78" si="5">K78*5/6</f>
        <v>27562.5</v>
      </c>
      <c r="N78" s="65"/>
      <c r="O78" s="66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9"/>
      <c r="BE78" s="209"/>
      <c r="BF78" s="209"/>
      <c r="BG78" s="209"/>
      <c r="BH78" s="209"/>
      <c r="BI78" s="209"/>
      <c r="BJ78" s="209"/>
      <c r="BK78" s="209"/>
      <c r="BL78" s="209"/>
      <c r="BM78" s="209"/>
      <c r="BN78" s="209"/>
      <c r="BO78" s="209"/>
      <c r="BP78" s="209"/>
      <c r="BQ78" s="209"/>
      <c r="BR78" s="209"/>
      <c r="BS78" s="209"/>
      <c r="BT78" s="209"/>
      <c r="BU78" s="209"/>
      <c r="BV78" s="209"/>
      <c r="BW78" s="209"/>
      <c r="BX78" s="209"/>
      <c r="BY78" s="209"/>
      <c r="BZ78" s="209"/>
      <c r="CA78" s="209"/>
      <c r="CB78" s="209"/>
      <c r="CC78" s="209"/>
      <c r="CD78" s="209"/>
      <c r="CE78" s="209"/>
      <c r="CF78" s="209"/>
      <c r="CG78" s="209"/>
      <c r="CH78" s="209"/>
      <c r="CI78" s="209"/>
      <c r="CJ78" s="209"/>
      <c r="CK78" s="209"/>
      <c r="CL78" s="209"/>
      <c r="CM78" s="209"/>
      <c r="CN78" s="209"/>
      <c r="CO78" s="209"/>
      <c r="CP78" s="209"/>
      <c r="CQ78" s="209"/>
      <c r="CR78" s="209"/>
      <c r="CS78" s="209"/>
      <c r="CT78" s="209"/>
      <c r="CU78" s="209"/>
      <c r="CV78" s="209"/>
      <c r="CW78" s="209"/>
      <c r="CX78" s="209"/>
      <c r="CY78" s="209"/>
      <c r="CZ78" s="209"/>
      <c r="DA78" s="209"/>
      <c r="DB78" s="209"/>
      <c r="DC78" s="209"/>
      <c r="DD78" s="209"/>
      <c r="DE78" s="209"/>
      <c r="DF78" s="209"/>
      <c r="DG78" s="209"/>
      <c r="DH78" s="209"/>
      <c r="DI78" s="209"/>
      <c r="DJ78" s="209"/>
      <c r="DK78" s="209"/>
      <c r="DL78" s="209"/>
      <c r="DM78" s="209"/>
      <c r="DN78" s="209"/>
      <c r="DO78" s="209"/>
      <c r="DP78" s="209"/>
      <c r="DQ78" s="209"/>
      <c r="DR78" s="209"/>
      <c r="DS78" s="209"/>
      <c r="DT78" s="209"/>
      <c r="DU78" s="209"/>
      <c r="DV78" s="209"/>
      <c r="DW78" s="209"/>
      <c r="DX78" s="209"/>
      <c r="DY78" s="209"/>
      <c r="DZ78" s="209"/>
      <c r="EA78" s="209"/>
      <c r="EB78" s="209"/>
      <c r="EC78" s="209"/>
      <c r="ED78" s="209"/>
      <c r="EE78" s="209"/>
      <c r="EF78" s="209"/>
      <c r="EG78" s="209"/>
      <c r="EH78" s="209"/>
      <c r="EI78" s="209"/>
      <c r="EJ78" s="209"/>
      <c r="EK78" s="209"/>
      <c r="EL78" s="209"/>
      <c r="EM78" s="209"/>
      <c r="EN78" s="209"/>
      <c r="EO78" s="209"/>
      <c r="EP78" s="209"/>
      <c r="EQ78" s="209"/>
      <c r="ER78" s="209"/>
      <c r="ES78" s="209"/>
      <c r="ET78" s="209"/>
      <c r="EU78" s="209"/>
      <c r="EV78" s="209"/>
      <c r="EW78" s="209"/>
      <c r="EX78" s="209"/>
      <c r="EY78" s="209"/>
      <c r="EZ78" s="209"/>
      <c r="FA78" s="209"/>
      <c r="FB78" s="209"/>
      <c r="FC78" s="209"/>
      <c r="FD78" s="209"/>
      <c r="FE78" s="209"/>
      <c r="FF78" s="209"/>
      <c r="FG78" s="209"/>
      <c r="FH78" s="209"/>
      <c r="FI78" s="209"/>
      <c r="FJ78" s="209"/>
      <c r="FK78" s="209"/>
      <c r="FL78" s="209"/>
      <c r="FM78" s="209"/>
      <c r="FN78" s="209"/>
      <c r="FO78" s="209"/>
      <c r="FP78" s="209"/>
      <c r="FQ78" s="209"/>
      <c r="FR78" s="209"/>
      <c r="FS78" s="209"/>
      <c r="FT78" s="209"/>
      <c r="FU78" s="209"/>
      <c r="FV78" s="209"/>
      <c r="FW78" s="209"/>
      <c r="FX78" s="209"/>
      <c r="FY78" s="209"/>
      <c r="FZ78" s="209"/>
      <c r="GA78" s="209"/>
      <c r="GB78" s="209"/>
      <c r="GC78" s="209"/>
      <c r="GD78" s="209"/>
      <c r="GE78" s="209"/>
      <c r="GF78" s="209"/>
      <c r="GG78" s="209"/>
      <c r="GH78" s="209"/>
      <c r="GI78" s="209"/>
      <c r="GJ78" s="209"/>
      <c r="GK78" s="209"/>
      <c r="GL78" s="209"/>
      <c r="GM78" s="209"/>
      <c r="GN78" s="209"/>
      <c r="GO78" s="209"/>
      <c r="GP78" s="209"/>
      <c r="GQ78" s="209"/>
      <c r="GR78" s="209"/>
      <c r="GS78" s="209"/>
      <c r="GT78" s="209"/>
      <c r="GU78" s="209"/>
      <c r="GV78" s="209"/>
      <c r="GW78" s="209"/>
      <c r="GX78" s="209"/>
      <c r="GY78" s="209"/>
      <c r="GZ78" s="209"/>
      <c r="HA78" s="209"/>
      <c r="HB78" s="209"/>
      <c r="HC78" s="209"/>
      <c r="HD78" s="209"/>
      <c r="HE78" s="209"/>
      <c r="HF78" s="209"/>
      <c r="HG78" s="209"/>
      <c r="HH78" s="209"/>
      <c r="HI78" s="209"/>
      <c r="HJ78" s="209"/>
      <c r="HK78" s="209"/>
      <c r="HL78" s="209"/>
      <c r="HM78" s="209"/>
      <c r="HN78" s="209"/>
      <c r="HO78" s="209"/>
      <c r="HP78" s="209"/>
      <c r="HQ78" s="209"/>
      <c r="HR78" s="209"/>
      <c r="HS78" s="209"/>
      <c r="HT78" s="209"/>
      <c r="HU78" s="209"/>
      <c r="HV78" s="209"/>
      <c r="HW78" s="209"/>
      <c r="HX78" s="209"/>
      <c r="HY78" s="209"/>
      <c r="HZ78" s="209"/>
      <c r="IA78" s="209"/>
      <c r="IB78" s="209"/>
      <c r="IC78" s="209"/>
      <c r="ID78" s="209"/>
      <c r="IE78" s="209"/>
      <c r="IF78" s="209"/>
      <c r="IG78" s="209"/>
      <c r="IH78" s="209"/>
      <c r="II78" s="209"/>
      <c r="IJ78" s="209"/>
      <c r="IK78" s="209"/>
      <c r="IL78" s="209"/>
      <c r="IM78" s="209"/>
      <c r="IN78" s="209"/>
      <c r="IO78" s="209"/>
      <c r="IP78" s="209"/>
      <c r="IQ78" s="209"/>
      <c r="IR78" s="209"/>
      <c r="IS78" s="209"/>
      <c r="IT78" s="209"/>
      <c r="IU78" s="209"/>
      <c r="IV78" s="209"/>
      <c r="IW78" s="209"/>
      <c r="IX78" s="209"/>
      <c r="IY78" s="209"/>
      <c r="IZ78" s="209"/>
      <c r="JA78" s="209"/>
      <c r="JB78" s="209"/>
      <c r="JC78" s="209"/>
      <c r="JD78" s="209"/>
      <c r="JE78" s="209"/>
      <c r="JF78" s="209"/>
      <c r="JG78" s="209"/>
      <c r="JH78" s="209"/>
      <c r="JI78" s="209"/>
      <c r="JJ78" s="209"/>
      <c r="JK78" s="209"/>
      <c r="JL78" s="209"/>
      <c r="JM78" s="209"/>
      <c r="JN78" s="209"/>
      <c r="JO78" s="209"/>
      <c r="JP78" s="209"/>
      <c r="JQ78" s="209"/>
      <c r="JR78" s="209"/>
      <c r="JS78" s="209"/>
      <c r="JT78" s="209"/>
      <c r="JU78" s="209"/>
      <c r="JV78" s="209"/>
      <c r="JW78" s="209"/>
      <c r="JX78" s="209"/>
      <c r="JY78" s="209"/>
      <c r="JZ78" s="209"/>
      <c r="KA78" s="209"/>
      <c r="KB78" s="209"/>
      <c r="KC78" s="209"/>
      <c r="KD78" s="209"/>
      <c r="KE78" s="209"/>
      <c r="KF78" s="209"/>
      <c r="KG78" s="209"/>
      <c r="KH78" s="209"/>
      <c r="KI78" s="209"/>
      <c r="KJ78" s="209"/>
      <c r="KK78" s="209"/>
      <c r="KL78" s="209"/>
      <c r="KM78" s="209"/>
      <c r="KN78" s="209"/>
      <c r="KO78" s="209"/>
      <c r="KP78" s="209"/>
      <c r="KQ78" s="209"/>
      <c r="KR78" s="209"/>
      <c r="KS78" s="209"/>
      <c r="KT78" s="209"/>
      <c r="KU78" s="209"/>
      <c r="KV78" s="209"/>
      <c r="KW78" s="209"/>
      <c r="KX78" s="209"/>
      <c r="KY78" s="209"/>
      <c r="KZ78" s="209"/>
      <c r="LA78" s="209"/>
      <c r="LB78" s="209"/>
      <c r="LC78" s="209"/>
      <c r="LD78" s="209"/>
      <c r="LE78" s="209"/>
      <c r="LF78" s="209"/>
      <c r="LG78" s="209"/>
      <c r="LH78" s="209"/>
      <c r="LI78" s="209"/>
      <c r="LJ78" s="209"/>
      <c r="LK78" s="209"/>
      <c r="LL78" s="209"/>
      <c r="LM78" s="209"/>
      <c r="LN78" s="209"/>
      <c r="LO78" s="209"/>
      <c r="LP78" s="209"/>
      <c r="LQ78" s="209"/>
      <c r="LR78" s="209"/>
      <c r="LS78" s="209"/>
      <c r="LT78" s="209"/>
      <c r="LU78" s="209"/>
      <c r="LV78" s="209"/>
      <c r="LW78" s="209"/>
      <c r="LX78" s="209"/>
      <c r="LY78" s="209"/>
      <c r="LZ78" s="209"/>
      <c r="MA78" s="209"/>
      <c r="MB78" s="209"/>
      <c r="MC78" s="209"/>
      <c r="MD78" s="209"/>
      <c r="ME78" s="209"/>
      <c r="MF78" s="209"/>
      <c r="MG78" s="209"/>
      <c r="MH78" s="209"/>
      <c r="MI78" s="209"/>
      <c r="MJ78" s="209"/>
      <c r="MK78" s="209"/>
      <c r="ML78" s="209"/>
      <c r="MM78" s="209"/>
      <c r="MN78" s="209"/>
      <c r="MO78" s="209"/>
      <c r="MP78" s="209"/>
      <c r="MQ78" s="209"/>
      <c r="MR78" s="209"/>
      <c r="MS78" s="209"/>
      <c r="MT78" s="209"/>
      <c r="MU78" s="209"/>
      <c r="MV78" s="209"/>
      <c r="MW78" s="209"/>
      <c r="MX78" s="209"/>
      <c r="MY78" s="209"/>
      <c r="MZ78" s="209"/>
      <c r="NA78" s="209"/>
      <c r="NB78" s="209"/>
      <c r="NC78" s="209"/>
      <c r="ND78" s="209"/>
      <c r="NE78" s="209"/>
      <c r="NF78" s="209"/>
      <c r="NG78" s="209"/>
      <c r="NH78" s="209"/>
      <c r="NI78" s="209"/>
      <c r="NJ78" s="209"/>
      <c r="NK78" s="209"/>
      <c r="NL78" s="209"/>
      <c r="NM78" s="209"/>
      <c r="NN78" s="209"/>
      <c r="NO78" s="209"/>
      <c r="NP78" s="209"/>
      <c r="NQ78" s="209"/>
      <c r="NR78" s="209"/>
      <c r="NS78" s="209"/>
      <c r="NT78" s="209"/>
      <c r="NU78" s="209"/>
      <c r="NV78" s="209"/>
      <c r="NW78" s="209"/>
      <c r="NX78" s="209"/>
      <c r="NY78" s="209"/>
      <c r="NZ78" s="209"/>
      <c r="OA78" s="209"/>
      <c r="OB78" s="209"/>
      <c r="OC78" s="209"/>
      <c r="OD78" s="209"/>
      <c r="OE78" s="209"/>
      <c r="OF78" s="209"/>
      <c r="OG78" s="209"/>
      <c r="OH78" s="209"/>
      <c r="OI78" s="209"/>
      <c r="OJ78" s="209"/>
      <c r="OK78" s="209"/>
      <c r="OL78" s="209"/>
      <c r="OM78" s="209"/>
      <c r="ON78" s="209"/>
      <c r="OO78" s="209"/>
      <c r="OP78" s="209"/>
      <c r="OQ78" s="209"/>
      <c r="OR78" s="209"/>
      <c r="OS78" s="209"/>
      <c r="OT78" s="209"/>
      <c r="OU78" s="209"/>
      <c r="OV78" s="209"/>
      <c r="OW78" s="209"/>
      <c r="OX78" s="209"/>
      <c r="OY78" s="209"/>
      <c r="OZ78" s="209"/>
      <c r="PA78" s="209"/>
      <c r="PB78" s="209"/>
      <c r="PC78" s="209"/>
      <c r="PD78" s="209"/>
      <c r="PE78" s="209"/>
      <c r="PF78" s="209"/>
      <c r="PG78" s="209"/>
      <c r="PH78" s="209"/>
      <c r="PI78" s="209"/>
      <c r="PJ78" s="209"/>
      <c r="PK78" s="209"/>
      <c r="PL78" s="209"/>
      <c r="PM78" s="209"/>
      <c r="PN78" s="209"/>
      <c r="PO78" s="209"/>
      <c r="PP78" s="209"/>
      <c r="PQ78" s="209"/>
      <c r="PR78" s="209"/>
      <c r="PS78" s="209"/>
      <c r="PT78" s="209"/>
      <c r="PU78" s="209"/>
      <c r="PV78" s="209"/>
      <c r="PW78" s="209"/>
      <c r="PX78" s="209"/>
      <c r="PY78" s="209"/>
      <c r="PZ78" s="209"/>
      <c r="QA78" s="209"/>
      <c r="QB78" s="209"/>
      <c r="QC78" s="209"/>
      <c r="QD78" s="209"/>
      <c r="QE78" s="209"/>
      <c r="QF78" s="209"/>
      <c r="QG78" s="209"/>
      <c r="QH78" s="209"/>
      <c r="QI78" s="209"/>
      <c r="QJ78" s="209"/>
      <c r="QK78" s="209"/>
      <c r="QL78" s="209"/>
      <c r="QM78" s="209"/>
      <c r="QN78" s="209"/>
      <c r="QO78" s="209"/>
      <c r="QP78" s="209"/>
      <c r="QQ78" s="209"/>
      <c r="QR78" s="209"/>
      <c r="QS78" s="209"/>
      <c r="QT78" s="209"/>
      <c r="QU78" s="209"/>
      <c r="QV78" s="209"/>
      <c r="QW78" s="209"/>
      <c r="QX78" s="209"/>
      <c r="QY78" s="209"/>
      <c r="QZ78" s="209"/>
      <c r="RA78" s="209"/>
      <c r="RB78" s="209"/>
      <c r="RC78" s="209"/>
      <c r="RD78" s="209"/>
      <c r="RE78" s="209"/>
      <c r="RF78" s="209"/>
      <c r="RG78" s="209"/>
      <c r="RH78" s="209"/>
      <c r="RI78" s="209"/>
      <c r="RJ78" s="209"/>
      <c r="RK78" s="209"/>
      <c r="RL78" s="209"/>
      <c r="RM78" s="209"/>
      <c r="RN78" s="209"/>
      <c r="RO78" s="209"/>
      <c r="RP78" s="209"/>
      <c r="RQ78" s="209"/>
      <c r="RR78" s="209"/>
      <c r="RS78" s="209"/>
      <c r="RT78" s="209"/>
      <c r="RU78" s="209"/>
      <c r="RV78" s="209"/>
      <c r="RW78" s="209"/>
      <c r="RX78" s="209"/>
      <c r="RY78" s="209"/>
      <c r="RZ78" s="209"/>
      <c r="SA78" s="209"/>
      <c r="SB78" s="209"/>
      <c r="SC78" s="209"/>
      <c r="SD78" s="209"/>
      <c r="SE78" s="209"/>
      <c r="SF78" s="209"/>
      <c r="SG78" s="209"/>
      <c r="SH78" s="209"/>
      <c r="SI78" s="209"/>
      <c r="SJ78" s="209"/>
      <c r="SK78" s="209"/>
      <c r="SL78" s="209"/>
      <c r="SM78" s="209"/>
      <c r="SN78" s="209"/>
      <c r="SO78" s="209"/>
      <c r="SP78" s="209"/>
      <c r="SQ78" s="209"/>
      <c r="SR78" s="209"/>
      <c r="SS78" s="209"/>
      <c r="ST78" s="209"/>
      <c r="SU78" s="209"/>
      <c r="SV78" s="209"/>
      <c r="SW78" s="209"/>
      <c r="SX78" s="209"/>
      <c r="SY78" s="209"/>
      <c r="SZ78" s="209"/>
      <c r="TA78" s="209"/>
      <c r="TB78" s="209"/>
      <c r="TC78" s="209"/>
      <c r="TD78" s="209"/>
      <c r="TE78" s="209"/>
      <c r="TF78" s="209"/>
      <c r="TG78" s="209"/>
      <c r="TH78" s="209"/>
      <c r="TI78" s="209"/>
      <c r="TJ78" s="209"/>
      <c r="TK78" s="209"/>
      <c r="TL78" s="209"/>
      <c r="TM78" s="209"/>
      <c r="TN78" s="209"/>
      <c r="TO78" s="209"/>
      <c r="TP78" s="209"/>
      <c r="TQ78" s="209"/>
      <c r="TR78" s="209"/>
      <c r="TS78" s="209"/>
      <c r="TT78" s="209"/>
      <c r="TU78" s="209"/>
      <c r="TV78" s="209"/>
      <c r="TW78" s="209"/>
      <c r="TX78" s="209"/>
      <c r="TY78" s="209"/>
      <c r="TZ78" s="209"/>
      <c r="UA78" s="209"/>
      <c r="UB78" s="209"/>
      <c r="UC78" s="209"/>
      <c r="UD78" s="209"/>
      <c r="UE78" s="209"/>
      <c r="UF78" s="209"/>
      <c r="UG78" s="209"/>
      <c r="UH78" s="209"/>
      <c r="UI78" s="209"/>
      <c r="UJ78" s="209"/>
      <c r="UK78" s="209"/>
      <c r="UL78" s="209"/>
      <c r="UM78" s="209"/>
      <c r="UN78" s="209"/>
      <c r="UO78" s="209"/>
      <c r="UP78" s="209"/>
      <c r="UQ78" s="209"/>
      <c r="UR78" s="209"/>
      <c r="US78" s="209"/>
      <c r="UT78" s="209"/>
      <c r="UU78" s="209"/>
      <c r="UV78" s="209"/>
      <c r="UW78" s="209"/>
      <c r="UX78" s="209"/>
      <c r="UY78" s="209"/>
      <c r="UZ78" s="209"/>
      <c r="VA78" s="209"/>
      <c r="VB78" s="209"/>
      <c r="VC78" s="209"/>
      <c r="VD78" s="209"/>
      <c r="VE78" s="209"/>
      <c r="VF78" s="209"/>
      <c r="VG78" s="209"/>
      <c r="VH78" s="209"/>
      <c r="VI78" s="209"/>
      <c r="VJ78" s="209"/>
      <c r="VK78" s="209"/>
      <c r="VL78" s="209"/>
      <c r="VM78" s="209"/>
      <c r="VN78" s="209"/>
      <c r="VO78" s="209"/>
      <c r="VP78" s="209"/>
      <c r="VQ78" s="209"/>
      <c r="VR78" s="209"/>
      <c r="VS78" s="209"/>
      <c r="VT78" s="209"/>
      <c r="VU78" s="209"/>
      <c r="VV78" s="209"/>
      <c r="VW78" s="209"/>
      <c r="VX78" s="209"/>
      <c r="VY78" s="209"/>
      <c r="VZ78" s="209"/>
      <c r="WA78" s="209"/>
      <c r="WB78" s="209"/>
      <c r="WC78" s="209"/>
      <c r="WD78" s="209"/>
      <c r="WE78" s="209"/>
      <c r="WF78" s="209"/>
      <c r="WG78" s="209"/>
      <c r="WH78" s="209"/>
      <c r="WI78" s="209"/>
      <c r="WJ78" s="209"/>
      <c r="WK78" s="209"/>
      <c r="WL78" s="209"/>
      <c r="WM78" s="209"/>
      <c r="WN78" s="209"/>
      <c r="WO78" s="209"/>
      <c r="WP78" s="209"/>
      <c r="WQ78" s="209"/>
      <c r="WR78" s="209"/>
      <c r="WS78" s="209"/>
      <c r="WT78" s="209"/>
      <c r="WU78" s="209"/>
      <c r="WV78" s="209"/>
      <c r="WW78" s="209"/>
      <c r="WX78" s="209"/>
      <c r="WY78" s="209"/>
      <c r="WZ78" s="209"/>
      <c r="XA78" s="209"/>
      <c r="XB78" s="209"/>
      <c r="XC78" s="209"/>
      <c r="XD78" s="209"/>
      <c r="XE78" s="209"/>
      <c r="XF78" s="209"/>
      <c r="XG78" s="209"/>
      <c r="XH78" s="209"/>
      <c r="XI78" s="209"/>
      <c r="XJ78" s="209"/>
      <c r="XK78" s="209"/>
      <c r="XL78" s="209"/>
      <c r="XM78" s="209"/>
      <c r="XN78" s="209"/>
      <c r="XO78" s="209"/>
      <c r="XP78" s="209"/>
      <c r="XQ78" s="209"/>
      <c r="XR78" s="209"/>
      <c r="XS78" s="209"/>
      <c r="XT78" s="209"/>
      <c r="XU78" s="209"/>
      <c r="XV78" s="209"/>
      <c r="XW78" s="209"/>
      <c r="XX78" s="209"/>
      <c r="XY78" s="209"/>
      <c r="XZ78" s="209"/>
      <c r="YA78" s="209"/>
      <c r="YB78" s="209"/>
      <c r="YC78" s="209"/>
      <c r="YD78" s="209"/>
      <c r="YE78" s="209"/>
      <c r="YF78" s="209"/>
      <c r="YG78" s="209"/>
      <c r="YH78" s="209"/>
      <c r="YI78" s="209"/>
      <c r="YJ78" s="209"/>
      <c r="YK78" s="209"/>
      <c r="YL78" s="209"/>
      <c r="YM78" s="209"/>
      <c r="YN78" s="209"/>
      <c r="YO78" s="209"/>
      <c r="YP78" s="209"/>
      <c r="YQ78" s="209"/>
      <c r="YR78" s="209"/>
      <c r="YS78" s="209"/>
      <c r="YT78" s="209"/>
      <c r="YU78" s="209"/>
      <c r="YV78" s="209"/>
      <c r="YW78" s="209"/>
      <c r="YX78" s="209"/>
      <c r="YY78" s="209"/>
      <c r="YZ78" s="209"/>
      <c r="ZA78" s="209"/>
      <c r="ZB78" s="209"/>
      <c r="ZC78" s="209"/>
      <c r="ZD78" s="209"/>
      <c r="ZE78" s="209"/>
      <c r="ZF78" s="209"/>
      <c r="ZG78" s="209"/>
      <c r="ZH78" s="209"/>
      <c r="ZI78" s="209"/>
      <c r="ZJ78" s="209"/>
      <c r="ZK78" s="209"/>
      <c r="ZL78" s="209"/>
      <c r="ZM78" s="209"/>
      <c r="ZN78" s="209"/>
      <c r="ZO78" s="209"/>
      <c r="ZP78" s="209"/>
      <c r="ZQ78" s="209"/>
      <c r="ZR78" s="209"/>
      <c r="ZS78" s="209"/>
      <c r="ZT78" s="209"/>
      <c r="ZU78" s="209"/>
      <c r="ZV78" s="209"/>
      <c r="ZW78" s="209"/>
      <c r="ZX78" s="209"/>
      <c r="ZY78" s="209"/>
      <c r="ZZ78" s="209"/>
      <c r="AAA78" s="209"/>
      <c r="AAB78" s="209"/>
      <c r="AAC78" s="209"/>
      <c r="AAD78" s="209"/>
      <c r="AAE78" s="209"/>
      <c r="AAF78" s="209"/>
      <c r="AAG78" s="209"/>
      <c r="AAH78" s="209"/>
      <c r="AAI78" s="209"/>
      <c r="AAJ78" s="209"/>
      <c r="AAK78" s="209"/>
      <c r="AAL78" s="209"/>
      <c r="AAM78" s="209"/>
      <c r="AAN78" s="209"/>
      <c r="AAO78" s="209"/>
      <c r="AAP78" s="209"/>
      <c r="AAQ78" s="209"/>
      <c r="AAR78" s="209"/>
      <c r="AAS78" s="209"/>
      <c r="AAT78" s="209"/>
      <c r="AAU78" s="209"/>
      <c r="AAV78" s="209"/>
      <c r="AAW78" s="209"/>
      <c r="AAX78" s="209"/>
      <c r="AAY78" s="209"/>
      <c r="AAZ78" s="209"/>
      <c r="ABA78" s="209"/>
      <c r="ABB78" s="209"/>
      <c r="ABC78" s="209"/>
      <c r="ABD78" s="209"/>
      <c r="ABE78" s="209"/>
      <c r="ABF78" s="209"/>
      <c r="ABG78" s="209"/>
      <c r="ABH78" s="209"/>
      <c r="ABI78" s="209"/>
      <c r="ABJ78" s="209"/>
      <c r="ABK78" s="209"/>
      <c r="ABL78" s="209"/>
      <c r="ABM78" s="209"/>
      <c r="ABN78" s="209"/>
      <c r="ABO78" s="209"/>
      <c r="ABP78" s="209"/>
      <c r="ABQ78" s="209"/>
      <c r="ABR78" s="209"/>
      <c r="ABS78" s="209"/>
      <c r="ABT78" s="209"/>
      <c r="ABU78" s="209"/>
      <c r="ABV78" s="209"/>
      <c r="ABW78" s="209"/>
      <c r="ABX78" s="209"/>
      <c r="ABY78" s="209"/>
      <c r="ABZ78" s="209"/>
      <c r="ACA78" s="209"/>
      <c r="ACB78" s="209"/>
      <c r="ACC78" s="209"/>
      <c r="ACD78" s="209"/>
      <c r="ACE78" s="209"/>
      <c r="ACF78" s="209"/>
      <c r="ACG78" s="209"/>
      <c r="ACH78" s="209"/>
      <c r="ACI78" s="209"/>
      <c r="ACJ78" s="209"/>
      <c r="ACK78" s="209"/>
      <c r="ACL78" s="209"/>
      <c r="ACM78" s="209"/>
      <c r="ACN78" s="209"/>
      <c r="ACO78" s="209"/>
      <c r="ACP78" s="209"/>
      <c r="ACQ78" s="209"/>
      <c r="ACR78" s="209"/>
      <c r="ACS78" s="209"/>
      <c r="ACT78" s="209"/>
      <c r="ACU78" s="209"/>
      <c r="ACV78" s="209"/>
      <c r="ACW78" s="209"/>
      <c r="ACX78" s="209"/>
      <c r="ACY78" s="209"/>
      <c r="ACZ78" s="209"/>
      <c r="ADA78" s="209"/>
      <c r="ADB78" s="209"/>
      <c r="ADC78" s="209"/>
      <c r="ADD78" s="209"/>
      <c r="ADE78" s="209"/>
      <c r="ADF78" s="209"/>
      <c r="ADG78" s="209"/>
      <c r="ADH78" s="209"/>
      <c r="ADI78" s="209"/>
      <c r="ADJ78" s="209"/>
      <c r="ADK78" s="209"/>
      <c r="ADL78" s="209"/>
      <c r="ADM78" s="209"/>
      <c r="ADN78" s="209"/>
      <c r="ADO78" s="209"/>
      <c r="ADP78" s="209"/>
      <c r="ADQ78" s="209"/>
      <c r="ADR78" s="209"/>
      <c r="ADS78" s="209"/>
      <c r="ADT78" s="209"/>
      <c r="ADU78" s="209"/>
      <c r="ADV78" s="209"/>
      <c r="ADW78" s="209"/>
      <c r="ADX78" s="209"/>
      <c r="ADY78" s="209"/>
      <c r="ADZ78" s="209"/>
      <c r="AEA78" s="209"/>
      <c r="AEB78" s="209"/>
      <c r="AEC78" s="209"/>
      <c r="AED78" s="209"/>
      <c r="AEE78" s="209"/>
      <c r="AEF78" s="209"/>
      <c r="AEG78" s="209"/>
      <c r="AEH78" s="209"/>
      <c r="AEI78" s="209"/>
      <c r="AEJ78" s="209"/>
      <c r="AEK78" s="209"/>
      <c r="AEL78" s="209"/>
      <c r="AEM78" s="209"/>
      <c r="AEN78" s="209"/>
      <c r="AEO78" s="209"/>
      <c r="AEP78" s="209"/>
      <c r="AEQ78" s="209"/>
      <c r="AER78" s="209"/>
      <c r="AES78" s="209"/>
      <c r="AET78" s="209"/>
      <c r="AEU78" s="209"/>
      <c r="AEV78" s="209"/>
      <c r="AEW78" s="209"/>
      <c r="AEX78" s="209"/>
      <c r="AEY78" s="209"/>
      <c r="AEZ78" s="209"/>
      <c r="AFA78" s="209"/>
      <c r="AFB78" s="209"/>
      <c r="AFC78" s="209"/>
      <c r="AFD78" s="209"/>
      <c r="AFE78" s="209"/>
      <c r="AFF78" s="209"/>
      <c r="AFG78" s="209"/>
      <c r="AFH78" s="209"/>
      <c r="AFI78" s="209"/>
      <c r="AFJ78" s="209"/>
      <c r="AFK78" s="209"/>
      <c r="AFL78" s="209"/>
      <c r="AFM78" s="209"/>
      <c r="AFN78" s="209"/>
      <c r="AFO78" s="209"/>
      <c r="AFP78" s="209"/>
      <c r="AFQ78" s="209"/>
      <c r="AFR78" s="209"/>
      <c r="AFS78" s="209"/>
      <c r="AFT78" s="209"/>
      <c r="AFU78" s="209"/>
      <c r="AFV78" s="209"/>
      <c r="AFW78" s="209"/>
      <c r="AFX78" s="209"/>
      <c r="AFY78" s="209"/>
      <c r="AFZ78" s="209"/>
      <c r="AGA78" s="209"/>
      <c r="AGB78" s="209"/>
      <c r="AGC78" s="209"/>
      <c r="AGD78" s="209"/>
      <c r="AGE78" s="209"/>
      <c r="AGF78" s="209"/>
      <c r="AGG78" s="209"/>
      <c r="AGH78" s="209"/>
      <c r="AGI78" s="209"/>
      <c r="AGJ78" s="209"/>
      <c r="AGK78" s="209"/>
      <c r="AGL78" s="209"/>
      <c r="AGM78" s="209"/>
      <c r="AGN78" s="209"/>
      <c r="AGO78" s="209"/>
      <c r="AGP78" s="209"/>
      <c r="AGQ78" s="209"/>
      <c r="AGR78" s="209"/>
      <c r="AGS78" s="209"/>
      <c r="AGT78" s="209"/>
      <c r="AGU78" s="209"/>
      <c r="AGV78" s="209"/>
      <c r="AGW78" s="209"/>
      <c r="AGX78" s="209"/>
      <c r="AGY78" s="209"/>
      <c r="AGZ78" s="209"/>
      <c r="AHA78" s="209"/>
      <c r="AHB78" s="209"/>
      <c r="AHC78" s="209"/>
      <c r="AHD78" s="209"/>
      <c r="AHE78" s="209"/>
      <c r="AHF78" s="209"/>
      <c r="AHG78" s="209"/>
      <c r="AHH78" s="209"/>
      <c r="AHI78" s="209"/>
      <c r="AHJ78" s="209"/>
      <c r="AHK78" s="209"/>
      <c r="AHL78" s="209"/>
      <c r="AHM78" s="209"/>
      <c r="AHN78" s="209"/>
      <c r="AHO78" s="209"/>
      <c r="AHP78" s="209"/>
      <c r="AHQ78" s="209"/>
      <c r="AHR78" s="209"/>
      <c r="AHS78" s="209"/>
      <c r="AHT78" s="209"/>
      <c r="AHU78" s="209"/>
      <c r="AHV78" s="209"/>
      <c r="AHW78" s="209"/>
      <c r="AHX78" s="209"/>
      <c r="AHY78" s="209"/>
      <c r="AHZ78" s="209"/>
      <c r="AIA78" s="209"/>
      <c r="AIB78" s="209"/>
      <c r="AIC78" s="209"/>
      <c r="AID78" s="209"/>
      <c r="AIE78" s="209"/>
      <c r="AIF78" s="209"/>
      <c r="AIG78" s="209"/>
      <c r="AIH78" s="209"/>
      <c r="AII78" s="209"/>
      <c r="AIJ78" s="209"/>
      <c r="AIK78" s="209"/>
      <c r="AIL78" s="209"/>
      <c r="AIM78" s="209"/>
      <c r="AIN78" s="209"/>
      <c r="AIO78" s="209"/>
      <c r="AIP78" s="209"/>
      <c r="AIQ78" s="209"/>
      <c r="AIR78" s="209"/>
      <c r="AIS78" s="209"/>
      <c r="AIT78" s="209"/>
      <c r="AIU78" s="209"/>
      <c r="AIV78" s="209"/>
      <c r="AIW78" s="209"/>
      <c r="AIX78" s="209"/>
      <c r="AIY78" s="209"/>
      <c r="AIZ78" s="209"/>
      <c r="AJA78" s="209"/>
      <c r="AJB78" s="209"/>
      <c r="AJC78" s="209"/>
      <c r="AJD78" s="209"/>
      <c r="AJE78" s="209"/>
      <c r="AJF78" s="209"/>
      <c r="AJG78" s="209"/>
      <c r="AJH78" s="209"/>
      <c r="AJI78" s="209"/>
      <c r="AJJ78" s="209"/>
      <c r="AJK78" s="209"/>
      <c r="AJL78" s="209"/>
      <c r="AJM78" s="209"/>
      <c r="AJN78" s="209"/>
      <c r="AJO78" s="209"/>
      <c r="AJP78" s="209"/>
      <c r="AJQ78" s="209"/>
      <c r="AJR78" s="209"/>
      <c r="AJS78" s="209"/>
      <c r="AJT78" s="209"/>
      <c r="AJU78" s="209"/>
      <c r="AJV78" s="209"/>
      <c r="AJW78" s="209"/>
      <c r="AJX78" s="209"/>
      <c r="AJY78" s="209"/>
      <c r="AJZ78" s="209"/>
      <c r="AKA78" s="209"/>
      <c r="AKB78" s="209"/>
      <c r="AKC78" s="209"/>
      <c r="AKD78" s="209"/>
      <c r="AKE78" s="209"/>
      <c r="AKF78" s="209"/>
      <c r="AKG78" s="209"/>
      <c r="AKH78" s="209"/>
      <c r="AKI78" s="209"/>
      <c r="AKJ78" s="209"/>
      <c r="AKK78" s="209"/>
      <c r="AKL78" s="209"/>
      <c r="AKM78" s="209"/>
      <c r="AKN78" s="209"/>
      <c r="AKO78" s="209"/>
      <c r="AKP78" s="209"/>
      <c r="AKQ78" s="209"/>
      <c r="AKR78" s="209"/>
      <c r="AKS78" s="209"/>
      <c r="AKT78" s="209"/>
      <c r="AKU78" s="209"/>
      <c r="AKV78" s="209"/>
      <c r="AKW78" s="209"/>
      <c r="AKX78" s="209"/>
      <c r="AKY78" s="209"/>
      <c r="AKZ78" s="209"/>
      <c r="ALA78" s="209"/>
      <c r="ALB78" s="209"/>
      <c r="ALC78" s="209"/>
      <c r="ALD78" s="209"/>
      <c r="ALE78" s="209"/>
      <c r="ALF78" s="209"/>
      <c r="ALG78" s="209"/>
      <c r="ALH78" s="209"/>
      <c r="ALI78" s="209"/>
      <c r="ALJ78" s="209"/>
      <c r="ALK78" s="209"/>
      <c r="ALL78" s="209"/>
      <c r="ALM78" s="209"/>
      <c r="ALN78" s="209"/>
      <c r="ALO78" s="209"/>
      <c r="ALP78" s="209"/>
      <c r="ALQ78" s="209"/>
      <c r="ALR78" s="209"/>
      <c r="ALS78" s="209"/>
      <c r="ALT78" s="209"/>
      <c r="ALU78" s="209"/>
      <c r="ALV78" s="209"/>
      <c r="ALW78" s="209"/>
      <c r="ALX78" s="209"/>
      <c r="ALY78" s="209"/>
      <c r="ALZ78" s="209"/>
      <c r="AMA78" s="209"/>
      <c r="AMB78" s="209"/>
      <c r="AMC78" s="209"/>
      <c r="AMD78" s="209"/>
      <c r="AME78" s="209"/>
      <c r="AMF78" s="209"/>
      <c r="AMG78" s="209"/>
      <c r="AMH78" s="209"/>
      <c r="AMI78" s="209"/>
      <c r="AMJ78" s="209"/>
      <c r="AMK78" s="209"/>
      <c r="AML78" s="209"/>
      <c r="AMM78" s="209"/>
      <c r="AMN78" s="209"/>
      <c r="AMO78" s="209"/>
      <c r="AMP78" s="209"/>
      <c r="AMQ78" s="209"/>
      <c r="AMR78" s="209"/>
      <c r="AMS78" s="209"/>
      <c r="AMT78" s="209"/>
      <c r="AMU78" s="209"/>
      <c r="AMV78" s="209"/>
      <c r="AMW78" s="209"/>
      <c r="AMX78" s="209"/>
      <c r="AMY78" s="209"/>
      <c r="AMZ78" s="209"/>
      <c r="ANA78" s="209"/>
      <c r="ANB78" s="209"/>
      <c r="ANC78" s="209"/>
      <c r="AND78" s="209"/>
      <c r="ANE78" s="209"/>
      <c r="ANF78" s="209"/>
      <c r="ANG78" s="209"/>
      <c r="ANH78" s="209"/>
      <c r="ANI78" s="209"/>
      <c r="ANJ78" s="209"/>
      <c r="ANK78" s="209"/>
      <c r="ANL78" s="209"/>
      <c r="ANM78" s="209"/>
      <c r="ANN78" s="209"/>
      <c r="ANO78" s="209"/>
      <c r="ANP78" s="209"/>
      <c r="ANQ78" s="209"/>
      <c r="ANR78" s="209"/>
      <c r="ANS78" s="209"/>
      <c r="ANT78" s="209"/>
      <c r="ANU78" s="209"/>
      <c r="ANV78" s="209"/>
      <c r="ANW78" s="209"/>
      <c r="ANX78" s="209"/>
      <c r="ANY78" s="209"/>
      <c r="ANZ78" s="209"/>
      <c r="AOA78" s="209"/>
      <c r="AOB78" s="209"/>
      <c r="AOC78" s="209"/>
      <c r="AOD78" s="209"/>
      <c r="AOE78" s="209"/>
      <c r="AOF78" s="209"/>
      <c r="AOG78" s="209"/>
      <c r="AOH78" s="209"/>
      <c r="AOI78" s="209"/>
      <c r="AOJ78" s="209"/>
      <c r="AOK78" s="209"/>
      <c r="AOL78" s="209"/>
      <c r="AOM78" s="209"/>
      <c r="AON78" s="209"/>
      <c r="AOO78" s="209"/>
      <c r="AOP78" s="209"/>
      <c r="AOQ78" s="209"/>
      <c r="AOR78" s="209"/>
      <c r="AOS78" s="209"/>
      <c r="AOT78" s="209"/>
      <c r="AOU78" s="209"/>
      <c r="AOV78" s="209"/>
      <c r="AOW78" s="209"/>
      <c r="AOX78" s="209"/>
      <c r="AOY78" s="209"/>
      <c r="AOZ78" s="209"/>
      <c r="APA78" s="209"/>
      <c r="APB78" s="209"/>
      <c r="APC78" s="209"/>
      <c r="APD78" s="209"/>
      <c r="APE78" s="209"/>
      <c r="APF78" s="209"/>
      <c r="APG78" s="209"/>
      <c r="APH78" s="209"/>
      <c r="API78" s="209"/>
      <c r="APJ78" s="209"/>
      <c r="APK78" s="209"/>
      <c r="APL78" s="209"/>
      <c r="APM78" s="209"/>
      <c r="APN78" s="209"/>
      <c r="APO78" s="209"/>
      <c r="APP78" s="209"/>
      <c r="APQ78" s="209"/>
      <c r="APR78" s="209"/>
      <c r="APS78" s="209"/>
      <c r="APT78" s="209"/>
      <c r="APU78" s="209"/>
      <c r="APV78" s="209"/>
      <c r="APW78" s="209"/>
      <c r="APX78" s="209"/>
      <c r="APY78" s="209"/>
      <c r="APZ78" s="209"/>
      <c r="AQA78" s="209"/>
      <c r="AQB78" s="209"/>
      <c r="AQC78" s="209"/>
      <c r="AQD78" s="209"/>
      <c r="AQE78" s="209"/>
      <c r="AQF78" s="209"/>
      <c r="AQG78" s="209"/>
      <c r="AQH78" s="209"/>
      <c r="AQI78" s="209"/>
      <c r="AQJ78" s="209"/>
      <c r="AQK78" s="209"/>
      <c r="AQL78" s="209"/>
      <c r="AQM78" s="209"/>
      <c r="AQN78" s="209"/>
      <c r="AQO78" s="209"/>
      <c r="AQP78" s="209"/>
      <c r="AQQ78" s="209"/>
      <c r="AQR78" s="209"/>
      <c r="AQS78" s="209"/>
      <c r="AQT78" s="209"/>
      <c r="AQU78" s="209"/>
      <c r="AQV78" s="209"/>
      <c r="AQW78" s="209"/>
      <c r="AQX78" s="209"/>
      <c r="AQY78" s="209"/>
      <c r="AQZ78" s="209"/>
      <c r="ARA78" s="209"/>
      <c r="ARB78" s="209"/>
      <c r="ARC78" s="209"/>
      <c r="ARD78" s="209"/>
      <c r="ARE78" s="209"/>
      <c r="ARF78" s="209"/>
      <c r="ARG78" s="209"/>
      <c r="ARH78" s="209"/>
      <c r="ARI78" s="209"/>
      <c r="ARJ78" s="209"/>
      <c r="ARK78" s="209"/>
      <c r="ARL78" s="209"/>
      <c r="ARM78" s="209"/>
      <c r="ARN78" s="209"/>
      <c r="ARO78" s="209"/>
      <c r="ARP78" s="209"/>
      <c r="ARQ78" s="209"/>
      <c r="ARR78" s="209"/>
      <c r="ARS78" s="209"/>
      <c r="ART78" s="209"/>
      <c r="ARU78" s="209"/>
      <c r="ARV78" s="209"/>
      <c r="ARW78" s="209"/>
      <c r="ARX78" s="209"/>
      <c r="ARY78" s="209"/>
      <c r="ARZ78" s="209"/>
      <c r="ASA78" s="209"/>
      <c r="ASB78" s="209"/>
      <c r="ASC78" s="209"/>
      <c r="ASD78" s="209"/>
      <c r="ASE78" s="209"/>
      <c r="ASF78" s="209"/>
      <c r="ASG78" s="209"/>
      <c r="ASH78" s="209"/>
      <c r="ASI78" s="209"/>
      <c r="ASJ78" s="209"/>
      <c r="ASK78" s="209"/>
      <c r="ASL78" s="209"/>
      <c r="ASM78" s="209"/>
      <c r="ASN78" s="209"/>
      <c r="ASO78" s="209"/>
      <c r="ASP78" s="209"/>
      <c r="ASQ78" s="209"/>
      <c r="ASR78" s="209"/>
      <c r="ASS78" s="209"/>
      <c r="AST78" s="209"/>
      <c r="ASU78" s="209"/>
      <c r="ASV78" s="209"/>
      <c r="ASW78" s="209"/>
      <c r="ASX78" s="209"/>
      <c r="ASY78" s="209"/>
      <c r="ASZ78" s="209"/>
      <c r="ATA78" s="209"/>
      <c r="ATB78" s="209"/>
      <c r="ATC78" s="209"/>
      <c r="ATD78" s="209"/>
      <c r="ATE78" s="209"/>
      <c r="ATF78" s="209"/>
      <c r="ATG78" s="209"/>
      <c r="ATH78" s="209"/>
      <c r="ATI78" s="209"/>
      <c r="ATJ78" s="209"/>
      <c r="ATK78" s="209"/>
      <c r="ATL78" s="209"/>
      <c r="ATM78" s="209"/>
      <c r="ATN78" s="209"/>
      <c r="ATO78" s="209"/>
      <c r="ATP78" s="209"/>
      <c r="ATQ78" s="209"/>
      <c r="ATR78" s="209"/>
      <c r="ATS78" s="209"/>
      <c r="ATT78" s="209"/>
      <c r="ATU78" s="209"/>
      <c r="ATV78" s="209"/>
      <c r="ATW78" s="209"/>
      <c r="ATX78" s="209"/>
      <c r="ATY78" s="209"/>
      <c r="ATZ78" s="209"/>
      <c r="AUA78" s="209"/>
      <c r="AUB78" s="209"/>
      <c r="AUC78" s="209"/>
      <c r="AUD78" s="209"/>
      <c r="AUE78" s="209"/>
      <c r="AUF78" s="209"/>
      <c r="AUG78" s="209"/>
      <c r="AUH78" s="209"/>
      <c r="AUI78" s="209"/>
      <c r="AUJ78" s="209"/>
      <c r="AUK78" s="209"/>
      <c r="AUL78" s="209"/>
      <c r="AUM78" s="209"/>
      <c r="AUN78" s="209"/>
      <c r="AUO78" s="209"/>
      <c r="AUP78" s="209"/>
      <c r="AUQ78" s="209"/>
      <c r="AUR78" s="209"/>
      <c r="AUS78" s="209"/>
      <c r="AUT78" s="209"/>
      <c r="AUU78" s="209"/>
      <c r="AUV78" s="209"/>
      <c r="AUW78" s="209"/>
      <c r="AUX78" s="209"/>
      <c r="AUY78" s="209"/>
      <c r="AUZ78" s="209"/>
      <c r="AVA78" s="209"/>
      <c r="AVB78" s="209"/>
      <c r="AVC78" s="209"/>
      <c r="AVD78" s="209"/>
      <c r="AVE78" s="209"/>
      <c r="AVF78" s="209"/>
      <c r="AVG78" s="209"/>
      <c r="AVH78" s="209"/>
      <c r="AVI78" s="209"/>
      <c r="AVJ78" s="209"/>
      <c r="AVK78" s="209"/>
      <c r="AVL78" s="209"/>
      <c r="AVM78" s="209"/>
      <c r="AVN78" s="209"/>
      <c r="AVO78" s="209"/>
      <c r="AVP78" s="209"/>
      <c r="AVQ78" s="209"/>
      <c r="AVR78" s="209"/>
      <c r="AVS78" s="209"/>
      <c r="AVT78" s="209"/>
      <c r="AVU78" s="209"/>
      <c r="AVV78" s="209"/>
      <c r="AVW78" s="209"/>
      <c r="AVX78" s="209"/>
      <c r="AVY78" s="209"/>
      <c r="AVZ78" s="209"/>
      <c r="AWA78" s="209"/>
      <c r="AWB78" s="209"/>
      <c r="AWC78" s="209"/>
      <c r="AWD78" s="209"/>
      <c r="AWE78" s="209"/>
      <c r="AWF78" s="209"/>
      <c r="AWG78" s="209"/>
      <c r="AWH78" s="209"/>
      <c r="AWI78" s="209"/>
      <c r="AWJ78" s="209"/>
      <c r="AWK78" s="209"/>
      <c r="AWL78" s="209"/>
      <c r="AWM78" s="209"/>
      <c r="AWN78" s="209"/>
      <c r="AWO78" s="209"/>
      <c r="AWP78" s="209"/>
      <c r="AWQ78" s="209"/>
      <c r="AWR78" s="209"/>
      <c r="AWS78" s="209"/>
      <c r="AWT78" s="209"/>
      <c r="AWU78" s="209"/>
      <c r="AWV78" s="209"/>
      <c r="AWW78" s="209"/>
      <c r="AWX78" s="209"/>
      <c r="AWY78" s="209"/>
      <c r="AWZ78" s="209"/>
      <c r="AXA78" s="209"/>
      <c r="AXB78" s="209"/>
      <c r="AXC78" s="209"/>
      <c r="AXD78" s="209"/>
      <c r="AXE78" s="209"/>
      <c r="AXF78" s="209"/>
      <c r="AXG78" s="209"/>
      <c r="AXH78" s="209"/>
      <c r="AXI78" s="209"/>
      <c r="AXJ78" s="209"/>
      <c r="AXK78" s="209"/>
      <c r="AXL78" s="209"/>
      <c r="AXM78" s="209"/>
      <c r="AXN78" s="209"/>
      <c r="AXO78" s="209"/>
      <c r="AXP78" s="209"/>
      <c r="AXQ78" s="209"/>
      <c r="AXR78" s="209"/>
      <c r="AXS78" s="209"/>
      <c r="AXT78" s="209"/>
      <c r="AXU78" s="209"/>
      <c r="AXV78" s="209"/>
      <c r="AXW78" s="209"/>
      <c r="AXX78" s="209"/>
      <c r="AXY78" s="209"/>
      <c r="AXZ78" s="209"/>
      <c r="AYA78" s="209"/>
      <c r="AYB78" s="209"/>
      <c r="AYC78" s="209"/>
      <c r="AYD78" s="209"/>
      <c r="AYE78" s="209"/>
      <c r="AYF78" s="209"/>
      <c r="AYG78" s="209"/>
      <c r="AYH78" s="209"/>
      <c r="AYI78" s="209"/>
      <c r="AYJ78" s="209"/>
      <c r="AYK78" s="209"/>
      <c r="AYL78" s="209"/>
      <c r="AYM78" s="209"/>
      <c r="AYN78" s="209"/>
      <c r="AYO78" s="209"/>
      <c r="AYP78" s="209"/>
      <c r="AYQ78" s="209"/>
      <c r="AYR78" s="209"/>
      <c r="AYS78" s="209"/>
      <c r="AYT78" s="209"/>
      <c r="AYU78" s="209"/>
      <c r="AYV78" s="209"/>
      <c r="AYW78" s="209"/>
      <c r="AYX78" s="209"/>
      <c r="AYY78" s="209"/>
      <c r="AYZ78" s="209"/>
      <c r="AZA78" s="209"/>
      <c r="AZB78" s="209"/>
      <c r="AZC78" s="209"/>
      <c r="AZD78" s="209"/>
      <c r="AZE78" s="209"/>
      <c r="AZF78" s="209"/>
      <c r="AZG78" s="209"/>
      <c r="AZH78" s="209"/>
      <c r="AZI78" s="209"/>
      <c r="AZJ78" s="209"/>
      <c r="AZK78" s="209"/>
      <c r="AZL78" s="209"/>
      <c r="AZM78" s="209"/>
      <c r="AZN78" s="209"/>
      <c r="AZO78" s="209"/>
      <c r="AZP78" s="209"/>
      <c r="AZQ78" s="209"/>
      <c r="AZR78" s="209"/>
      <c r="AZS78" s="209"/>
      <c r="AZT78" s="209"/>
      <c r="AZU78" s="209"/>
      <c r="AZV78" s="209"/>
      <c r="AZW78" s="209"/>
      <c r="AZX78" s="209"/>
      <c r="AZY78" s="209"/>
      <c r="AZZ78" s="209"/>
      <c r="BAA78" s="209"/>
      <c r="BAB78" s="209"/>
      <c r="BAC78" s="209"/>
      <c r="BAD78" s="209"/>
      <c r="BAE78" s="209"/>
      <c r="BAF78" s="209"/>
      <c r="BAG78" s="209"/>
      <c r="BAH78" s="209"/>
      <c r="BAI78" s="209"/>
      <c r="BAJ78" s="209"/>
      <c r="BAK78" s="209"/>
      <c r="BAL78" s="209"/>
      <c r="BAM78" s="209"/>
      <c r="BAN78" s="209"/>
      <c r="BAO78" s="209"/>
      <c r="BAP78" s="209"/>
      <c r="BAQ78" s="209"/>
      <c r="BAR78" s="209"/>
      <c r="BAS78" s="209"/>
      <c r="BAT78" s="209"/>
      <c r="BAU78" s="209"/>
      <c r="BAV78" s="209"/>
      <c r="BAW78" s="209"/>
      <c r="BAX78" s="209"/>
      <c r="BAY78" s="209"/>
      <c r="BAZ78" s="209"/>
      <c r="BBA78" s="209"/>
      <c r="BBB78" s="209"/>
      <c r="BBC78" s="209"/>
      <c r="BBD78" s="209"/>
      <c r="BBE78" s="209"/>
      <c r="BBF78" s="209"/>
      <c r="BBG78" s="209"/>
      <c r="BBH78" s="209"/>
      <c r="BBI78" s="209"/>
      <c r="BBJ78" s="209"/>
      <c r="BBK78" s="209"/>
      <c r="BBL78" s="209"/>
      <c r="BBM78" s="209"/>
      <c r="BBN78" s="209"/>
      <c r="BBO78" s="209"/>
      <c r="BBP78" s="209"/>
      <c r="BBQ78" s="209"/>
      <c r="BBR78" s="209"/>
      <c r="BBS78" s="209"/>
      <c r="BBT78" s="209"/>
      <c r="BBU78" s="209"/>
      <c r="BBV78" s="209"/>
      <c r="BBW78" s="209"/>
      <c r="BBX78" s="209"/>
      <c r="BBY78" s="209"/>
      <c r="BBZ78" s="209"/>
      <c r="BCA78" s="209"/>
      <c r="BCB78" s="209"/>
      <c r="BCC78" s="209"/>
      <c r="BCD78" s="209"/>
      <c r="BCE78" s="209"/>
      <c r="BCF78" s="209"/>
      <c r="BCG78" s="209"/>
      <c r="BCH78" s="209"/>
      <c r="BCI78" s="209"/>
      <c r="BCJ78" s="209"/>
      <c r="BCK78" s="209"/>
      <c r="BCL78" s="209"/>
      <c r="BCM78" s="209"/>
      <c r="BCN78" s="209"/>
      <c r="BCO78" s="209"/>
      <c r="BCP78" s="209"/>
      <c r="BCQ78" s="209"/>
      <c r="BCR78" s="209"/>
      <c r="BCS78" s="209"/>
      <c r="BCT78" s="209"/>
      <c r="BCU78" s="209"/>
      <c r="BCV78" s="209"/>
      <c r="BCW78" s="209"/>
      <c r="BCX78" s="209"/>
      <c r="BCY78" s="209"/>
      <c r="BCZ78" s="209"/>
      <c r="BDA78" s="209"/>
      <c r="BDB78" s="209"/>
      <c r="BDC78" s="209"/>
      <c r="BDD78" s="209"/>
      <c r="BDE78" s="209"/>
      <c r="BDF78" s="209"/>
      <c r="BDG78" s="209"/>
      <c r="BDH78" s="209"/>
      <c r="BDI78" s="209"/>
      <c r="BDJ78" s="209"/>
      <c r="BDK78" s="209"/>
      <c r="BDL78" s="209"/>
      <c r="BDM78" s="209"/>
      <c r="BDN78" s="209"/>
      <c r="BDO78" s="209"/>
      <c r="BDP78" s="209"/>
      <c r="BDQ78" s="209"/>
      <c r="BDR78" s="209"/>
      <c r="BDS78" s="209"/>
      <c r="BDT78" s="209"/>
      <c r="BDU78" s="209"/>
      <c r="BDV78" s="209"/>
      <c r="BDW78" s="209"/>
      <c r="BDX78" s="209"/>
      <c r="BDY78" s="209"/>
      <c r="BDZ78" s="209"/>
      <c r="BEA78" s="209"/>
      <c r="BEB78" s="209"/>
      <c r="BEC78" s="209"/>
      <c r="BED78" s="209"/>
      <c r="BEE78" s="209"/>
      <c r="BEF78" s="209"/>
      <c r="BEG78" s="209"/>
      <c r="BEH78" s="209"/>
      <c r="BEI78" s="209"/>
      <c r="BEJ78" s="209"/>
      <c r="BEK78" s="209"/>
      <c r="BEL78" s="209"/>
      <c r="BEM78" s="209"/>
      <c r="BEN78" s="209"/>
      <c r="BEO78" s="209"/>
      <c r="BEP78" s="209"/>
      <c r="BEQ78" s="209"/>
      <c r="BER78" s="209"/>
      <c r="BES78" s="209"/>
      <c r="BET78" s="209"/>
      <c r="BEU78" s="209"/>
      <c r="BEV78" s="209"/>
      <c r="BEW78" s="209"/>
      <c r="BEX78" s="209"/>
      <c r="BEY78" s="209"/>
      <c r="BEZ78" s="209"/>
      <c r="BFA78" s="209"/>
      <c r="BFB78" s="209"/>
      <c r="BFC78" s="209"/>
      <c r="BFD78" s="209"/>
      <c r="BFE78" s="209"/>
      <c r="BFF78" s="209"/>
      <c r="BFG78" s="209"/>
      <c r="BFH78" s="209"/>
      <c r="BFI78" s="209"/>
      <c r="BFJ78" s="209"/>
      <c r="BFK78" s="209"/>
      <c r="BFL78" s="209"/>
      <c r="BFM78" s="209"/>
      <c r="BFN78" s="209"/>
      <c r="BFO78" s="209"/>
      <c r="BFP78" s="209"/>
      <c r="BFQ78" s="209"/>
      <c r="BFR78" s="209"/>
      <c r="BFS78" s="209"/>
      <c r="BFT78" s="209"/>
      <c r="BFU78" s="209"/>
      <c r="BFV78" s="209"/>
      <c r="BFW78" s="209"/>
      <c r="BFX78" s="209"/>
      <c r="BFY78" s="209"/>
      <c r="BFZ78" s="209"/>
      <c r="BGA78" s="209"/>
      <c r="BGB78" s="209"/>
      <c r="BGC78" s="209"/>
      <c r="BGD78" s="209"/>
      <c r="BGE78" s="209"/>
      <c r="BGF78" s="209"/>
      <c r="BGG78" s="209"/>
      <c r="BGH78" s="209"/>
      <c r="BGI78" s="209"/>
      <c r="BGJ78" s="209"/>
      <c r="BGK78" s="209"/>
      <c r="BGL78" s="209"/>
      <c r="BGM78" s="209"/>
      <c r="BGN78" s="209"/>
      <c r="BGO78" s="209"/>
      <c r="BGP78" s="209"/>
      <c r="BGQ78" s="209"/>
      <c r="BGR78" s="209"/>
      <c r="BGS78" s="209"/>
      <c r="BGT78" s="209"/>
      <c r="BGU78" s="209"/>
      <c r="BGV78" s="209"/>
      <c r="BGW78" s="209"/>
      <c r="BGX78" s="209"/>
      <c r="BGY78" s="209"/>
      <c r="BGZ78" s="209"/>
      <c r="BHA78" s="209"/>
      <c r="BHB78" s="209"/>
      <c r="BHC78" s="209"/>
      <c r="BHD78" s="209"/>
      <c r="BHE78" s="209"/>
      <c r="BHF78" s="209"/>
      <c r="BHG78" s="209"/>
      <c r="BHH78" s="209"/>
      <c r="BHI78" s="209"/>
      <c r="BHJ78" s="209"/>
      <c r="BHK78" s="209"/>
      <c r="BHL78" s="209"/>
      <c r="BHM78" s="209"/>
      <c r="BHN78" s="209"/>
      <c r="BHO78" s="209"/>
      <c r="BHP78" s="209"/>
      <c r="BHQ78" s="209"/>
      <c r="BHR78" s="209"/>
      <c r="BHS78" s="209"/>
      <c r="BHT78" s="209"/>
      <c r="BHU78" s="209"/>
      <c r="BHV78" s="209"/>
      <c r="BHW78" s="209"/>
      <c r="BHX78" s="209"/>
      <c r="BHY78" s="209"/>
      <c r="BHZ78" s="209"/>
      <c r="BIA78" s="209"/>
      <c r="BIB78" s="209"/>
      <c r="BIC78" s="209"/>
      <c r="BID78" s="209"/>
      <c r="BIE78" s="209"/>
      <c r="BIF78" s="209"/>
      <c r="BIG78" s="209"/>
      <c r="BIH78" s="209"/>
      <c r="BII78" s="209"/>
      <c r="BIJ78" s="209"/>
      <c r="BIK78" s="209"/>
      <c r="BIL78" s="209"/>
      <c r="BIM78" s="209"/>
      <c r="BIN78" s="209"/>
      <c r="BIO78" s="209"/>
      <c r="BIP78" s="209"/>
      <c r="BIQ78" s="209"/>
      <c r="BIR78" s="209"/>
      <c r="BIS78" s="209"/>
      <c r="BIT78" s="209"/>
      <c r="BIU78" s="209"/>
      <c r="BIV78" s="209"/>
      <c r="BIW78" s="209"/>
      <c r="BIX78" s="209"/>
      <c r="BIY78" s="209"/>
      <c r="BIZ78" s="209"/>
      <c r="BJA78" s="209"/>
      <c r="BJB78" s="209"/>
      <c r="BJC78" s="209"/>
      <c r="BJD78" s="209"/>
      <c r="BJE78" s="209"/>
      <c r="BJF78" s="209"/>
      <c r="BJG78" s="209"/>
      <c r="BJH78" s="209"/>
      <c r="BJI78" s="209"/>
      <c r="BJJ78" s="209"/>
      <c r="BJK78" s="209"/>
      <c r="BJL78" s="209"/>
      <c r="BJM78" s="209"/>
      <c r="BJN78" s="209"/>
      <c r="BJO78" s="209"/>
      <c r="BJP78" s="209"/>
      <c r="BJQ78" s="209"/>
      <c r="BJR78" s="209"/>
      <c r="BJS78" s="209"/>
      <c r="BJT78" s="209"/>
      <c r="BJU78" s="209"/>
      <c r="BJV78" s="209"/>
      <c r="BJW78" s="209"/>
      <c r="BJX78" s="209"/>
      <c r="BJY78" s="209"/>
      <c r="BJZ78" s="209"/>
      <c r="BKA78" s="209"/>
      <c r="BKB78" s="209"/>
      <c r="BKC78" s="209"/>
      <c r="BKD78" s="209"/>
      <c r="BKE78" s="209"/>
      <c r="BKF78" s="209"/>
      <c r="BKG78" s="209"/>
      <c r="BKH78" s="209"/>
      <c r="BKI78" s="209"/>
      <c r="BKJ78" s="209"/>
      <c r="BKK78" s="209"/>
      <c r="BKL78" s="209"/>
      <c r="BKM78" s="209"/>
      <c r="BKN78" s="209"/>
      <c r="BKO78" s="209"/>
      <c r="BKP78" s="209"/>
      <c r="BKQ78" s="209"/>
      <c r="BKR78" s="209"/>
      <c r="BKS78" s="209"/>
      <c r="BKT78" s="209"/>
      <c r="BKU78" s="209"/>
      <c r="BKV78" s="209"/>
      <c r="BKW78" s="209"/>
      <c r="BKX78" s="209"/>
      <c r="BKY78" s="209"/>
      <c r="BKZ78" s="209"/>
      <c r="BLA78" s="209"/>
      <c r="BLB78" s="209"/>
      <c r="BLC78" s="209"/>
      <c r="BLD78" s="209"/>
      <c r="BLE78" s="209"/>
      <c r="BLF78" s="209"/>
      <c r="BLG78" s="209"/>
      <c r="BLH78" s="209"/>
      <c r="BLI78" s="209"/>
      <c r="BLJ78" s="209"/>
      <c r="BLK78" s="209"/>
      <c r="BLL78" s="209"/>
      <c r="BLM78" s="209"/>
      <c r="BLN78" s="209"/>
      <c r="BLO78" s="209"/>
      <c r="BLP78" s="209"/>
      <c r="BLQ78" s="209"/>
      <c r="BLR78" s="209"/>
      <c r="BLS78" s="209"/>
      <c r="BLT78" s="209"/>
      <c r="BLU78" s="209"/>
      <c r="BLV78" s="209"/>
      <c r="BLW78" s="209"/>
      <c r="BLX78" s="209"/>
      <c r="BLY78" s="209"/>
      <c r="BLZ78" s="209"/>
      <c r="BMA78" s="209"/>
      <c r="BMB78" s="209"/>
      <c r="BMC78" s="209"/>
      <c r="BMD78" s="209"/>
      <c r="BME78" s="209"/>
      <c r="BMF78" s="209"/>
      <c r="BMG78" s="209"/>
      <c r="BMH78" s="209"/>
      <c r="BMI78" s="209"/>
      <c r="BMJ78" s="209"/>
      <c r="BMK78" s="209"/>
      <c r="BML78" s="209"/>
      <c r="BMM78" s="209"/>
      <c r="BMN78" s="209"/>
      <c r="BMO78" s="209"/>
      <c r="BMP78" s="209"/>
      <c r="BMQ78" s="209"/>
      <c r="BMR78" s="209"/>
      <c r="BMS78" s="209"/>
      <c r="BMT78" s="209"/>
      <c r="BMU78" s="209"/>
      <c r="BMV78" s="209"/>
      <c r="BMW78" s="209"/>
      <c r="BMX78" s="209"/>
      <c r="BMY78" s="209"/>
      <c r="BMZ78" s="209"/>
      <c r="BNA78" s="209"/>
      <c r="BNB78" s="209"/>
      <c r="BNC78" s="209"/>
      <c r="BND78" s="209"/>
      <c r="BNE78" s="209"/>
      <c r="BNF78" s="209"/>
      <c r="BNG78" s="209"/>
      <c r="BNH78" s="209"/>
      <c r="BNI78" s="209"/>
      <c r="BNJ78" s="209"/>
      <c r="BNK78" s="209"/>
      <c r="BNL78" s="209"/>
      <c r="BNM78" s="209"/>
      <c r="BNN78" s="209"/>
      <c r="BNO78" s="209"/>
      <c r="BNP78" s="209"/>
      <c r="BNQ78" s="209"/>
      <c r="BNR78" s="209"/>
      <c r="BNS78" s="209"/>
      <c r="BNT78" s="209"/>
      <c r="BNU78" s="209"/>
      <c r="BNV78" s="209"/>
      <c r="BNW78" s="209"/>
      <c r="BNX78" s="209"/>
      <c r="BNY78" s="209"/>
      <c r="BNZ78" s="209"/>
      <c r="BOA78" s="209"/>
      <c r="BOB78" s="209"/>
      <c r="BOC78" s="209"/>
      <c r="BOD78" s="209"/>
      <c r="BOE78" s="209"/>
      <c r="BOF78" s="209"/>
      <c r="BOG78" s="209"/>
      <c r="BOH78" s="209"/>
      <c r="BOI78" s="209"/>
      <c r="BOJ78" s="209"/>
      <c r="BOK78" s="209"/>
      <c r="BOL78" s="209"/>
      <c r="BOM78" s="209"/>
      <c r="BON78" s="209"/>
      <c r="BOO78" s="209"/>
      <c r="BOP78" s="209"/>
      <c r="BOQ78" s="209"/>
      <c r="BOR78" s="209"/>
      <c r="BOS78" s="209"/>
      <c r="BOT78" s="209"/>
      <c r="BOU78" s="209"/>
      <c r="BOV78" s="209"/>
      <c r="BOW78" s="209"/>
      <c r="BOX78" s="209"/>
      <c r="BOY78" s="209"/>
      <c r="BOZ78" s="209"/>
      <c r="BPA78" s="209"/>
      <c r="BPB78" s="209"/>
      <c r="BPC78" s="209"/>
      <c r="BPD78" s="209"/>
      <c r="BPE78" s="209"/>
      <c r="BPF78" s="209"/>
      <c r="BPG78" s="209"/>
      <c r="BPH78" s="209"/>
      <c r="BPI78" s="209"/>
      <c r="BPJ78" s="209"/>
      <c r="BPK78" s="209"/>
      <c r="BPL78" s="209"/>
      <c r="BPM78" s="209"/>
      <c r="BPN78" s="209"/>
      <c r="BPO78" s="209"/>
      <c r="BPP78" s="209"/>
      <c r="BPQ78" s="209"/>
      <c r="BPR78" s="209"/>
      <c r="BPS78" s="209"/>
      <c r="BPT78" s="209"/>
      <c r="BPU78" s="209"/>
      <c r="BPV78" s="209"/>
      <c r="BPW78" s="209"/>
      <c r="BPX78" s="209"/>
      <c r="BPY78" s="209"/>
      <c r="BPZ78" s="209"/>
      <c r="BQA78" s="209"/>
      <c r="BQB78" s="209"/>
      <c r="BQC78" s="209"/>
      <c r="BQD78" s="209"/>
      <c r="BQE78" s="209"/>
      <c r="BQF78" s="209"/>
      <c r="BQG78" s="209"/>
      <c r="BQH78" s="209"/>
      <c r="BQI78" s="209"/>
      <c r="BQJ78" s="209"/>
      <c r="BQK78" s="209"/>
      <c r="BQL78" s="209"/>
      <c r="BQM78" s="209"/>
      <c r="BQN78" s="209"/>
      <c r="BQO78" s="209"/>
      <c r="BQP78" s="209"/>
      <c r="BQQ78" s="209"/>
      <c r="BQR78" s="209"/>
      <c r="BQS78" s="209"/>
      <c r="BQT78" s="209"/>
      <c r="BQU78" s="209"/>
      <c r="BQV78" s="209"/>
      <c r="BQW78" s="209"/>
      <c r="BQX78" s="209"/>
      <c r="BQY78" s="209"/>
      <c r="BQZ78" s="209"/>
      <c r="BRA78" s="209"/>
      <c r="BRB78" s="209"/>
      <c r="BRC78" s="209"/>
      <c r="BRD78" s="209"/>
      <c r="BRE78" s="209"/>
      <c r="BRF78" s="209"/>
      <c r="BRG78" s="209"/>
      <c r="BRH78" s="209"/>
      <c r="BRI78" s="209"/>
      <c r="BRJ78" s="209"/>
      <c r="BRK78" s="209"/>
      <c r="BRL78" s="209"/>
      <c r="BRM78" s="209"/>
      <c r="BRN78" s="209"/>
      <c r="BRO78" s="209"/>
      <c r="BRP78" s="209"/>
      <c r="BRQ78" s="209"/>
      <c r="BRR78" s="209"/>
      <c r="BRS78" s="209"/>
      <c r="BRT78" s="209"/>
      <c r="BRU78" s="209"/>
      <c r="BRV78" s="209"/>
      <c r="BRW78" s="209"/>
      <c r="BRX78" s="209"/>
      <c r="BRY78" s="209"/>
      <c r="BRZ78" s="209"/>
      <c r="BSA78" s="209"/>
      <c r="BSB78" s="209"/>
      <c r="BSC78" s="209"/>
      <c r="BSD78" s="209"/>
      <c r="BSE78" s="209"/>
      <c r="BSF78" s="209"/>
      <c r="BSG78" s="209"/>
      <c r="BSH78" s="209"/>
      <c r="BSI78" s="209"/>
      <c r="BSJ78" s="209"/>
      <c r="BSK78" s="209"/>
      <c r="BSL78" s="209"/>
      <c r="BSM78" s="209"/>
      <c r="BSN78" s="209"/>
      <c r="BSO78" s="209"/>
      <c r="BSP78" s="209"/>
      <c r="BSQ78" s="209"/>
      <c r="BSR78" s="209"/>
      <c r="BSS78" s="209"/>
      <c r="BST78" s="209"/>
      <c r="BSU78" s="209"/>
      <c r="BSV78" s="209"/>
      <c r="BSW78" s="209"/>
      <c r="BSX78" s="209"/>
      <c r="BSY78" s="209"/>
      <c r="BSZ78" s="209"/>
      <c r="BTA78" s="209"/>
      <c r="BTB78" s="209"/>
      <c r="BTC78" s="209"/>
      <c r="BTD78" s="209"/>
      <c r="BTE78" s="209"/>
      <c r="BTF78" s="209"/>
      <c r="BTG78" s="209"/>
      <c r="BTH78" s="209"/>
      <c r="BTI78" s="209"/>
      <c r="BTJ78" s="209"/>
      <c r="BTK78" s="209"/>
      <c r="BTL78" s="209"/>
      <c r="BTM78" s="209"/>
      <c r="BTN78" s="209"/>
      <c r="BTO78" s="209"/>
      <c r="BTP78" s="209"/>
      <c r="BTQ78" s="209"/>
      <c r="BTR78" s="209"/>
      <c r="BTS78" s="209"/>
      <c r="BTT78" s="209"/>
      <c r="BTU78" s="209"/>
      <c r="BTV78" s="209"/>
      <c r="BTW78" s="209"/>
      <c r="BTX78" s="209"/>
      <c r="BTY78" s="209"/>
      <c r="BTZ78" s="209"/>
      <c r="BUA78" s="209"/>
      <c r="BUB78" s="209"/>
      <c r="BUC78" s="209"/>
      <c r="BUD78" s="209"/>
      <c r="BUE78" s="209"/>
      <c r="BUF78" s="209"/>
      <c r="BUG78" s="209"/>
      <c r="BUH78" s="209"/>
      <c r="BUI78" s="209"/>
      <c r="BUJ78" s="209"/>
      <c r="BUK78" s="209"/>
      <c r="BUL78" s="209"/>
      <c r="BUM78" s="209"/>
      <c r="BUN78" s="209"/>
      <c r="BUO78" s="209"/>
      <c r="BUP78" s="209"/>
      <c r="BUQ78" s="209"/>
      <c r="BUR78" s="209"/>
      <c r="BUS78" s="209"/>
      <c r="BUT78" s="209"/>
      <c r="BUU78" s="209"/>
      <c r="BUV78" s="209"/>
      <c r="BUW78" s="209"/>
      <c r="BUX78" s="209"/>
      <c r="BUY78" s="209"/>
      <c r="BUZ78" s="209"/>
      <c r="BVA78" s="209"/>
      <c r="BVB78" s="209"/>
      <c r="BVC78" s="209"/>
      <c r="BVD78" s="209"/>
      <c r="BVE78" s="209"/>
      <c r="BVF78" s="209"/>
      <c r="BVG78" s="209"/>
      <c r="BVH78" s="209"/>
      <c r="BVI78" s="209"/>
      <c r="BVJ78" s="209"/>
      <c r="BVK78" s="209"/>
      <c r="BVL78" s="209"/>
      <c r="BVM78" s="209"/>
      <c r="BVN78" s="209"/>
      <c r="BVO78" s="209"/>
      <c r="BVP78" s="209"/>
      <c r="BVQ78" s="209"/>
      <c r="BVR78" s="209"/>
      <c r="BVS78" s="209"/>
      <c r="BVT78" s="209"/>
      <c r="BVU78" s="209"/>
      <c r="BVV78" s="209"/>
      <c r="BVW78" s="209"/>
      <c r="BVX78" s="209"/>
      <c r="BVY78" s="209"/>
      <c r="BVZ78" s="209"/>
      <c r="BWA78" s="209"/>
      <c r="BWB78" s="209"/>
      <c r="BWC78" s="209"/>
      <c r="BWD78" s="209"/>
      <c r="BWE78" s="209"/>
      <c r="BWF78" s="209"/>
      <c r="BWG78" s="209"/>
      <c r="BWH78" s="209"/>
      <c r="BWI78" s="209"/>
      <c r="BWJ78" s="209"/>
      <c r="BWK78" s="209"/>
      <c r="BWL78" s="209"/>
      <c r="BWM78" s="209"/>
      <c r="BWN78" s="209"/>
      <c r="BWO78" s="209"/>
      <c r="BWP78" s="209"/>
      <c r="BWQ78" s="209"/>
      <c r="BWR78" s="209"/>
      <c r="BWS78" s="209"/>
      <c r="BWT78" s="209"/>
      <c r="BWU78" s="209"/>
      <c r="BWV78" s="209"/>
      <c r="BWW78" s="209"/>
      <c r="BWX78" s="209"/>
      <c r="BWY78" s="209"/>
      <c r="BWZ78" s="209"/>
      <c r="BXA78" s="209"/>
      <c r="BXB78" s="209"/>
      <c r="BXC78" s="209"/>
      <c r="BXD78" s="209"/>
      <c r="BXE78" s="209"/>
      <c r="BXF78" s="209"/>
      <c r="BXG78" s="209"/>
      <c r="BXH78" s="209"/>
      <c r="BXI78" s="209"/>
      <c r="BXJ78" s="209"/>
      <c r="BXK78" s="209"/>
      <c r="BXL78" s="209"/>
      <c r="BXM78" s="209"/>
      <c r="BXN78" s="209"/>
      <c r="BXO78" s="209"/>
      <c r="BXP78" s="209"/>
      <c r="BXQ78" s="209"/>
      <c r="BXR78" s="209"/>
      <c r="BXS78" s="209"/>
      <c r="BXT78" s="209"/>
      <c r="BXU78" s="209"/>
      <c r="BXV78" s="209"/>
      <c r="BXW78" s="209"/>
      <c r="BXX78" s="209"/>
      <c r="BXY78" s="209"/>
      <c r="BXZ78" s="209"/>
      <c r="BYA78" s="209"/>
      <c r="BYB78" s="209"/>
      <c r="BYC78" s="209"/>
      <c r="BYD78" s="209"/>
      <c r="BYE78" s="209"/>
      <c r="BYF78" s="209"/>
      <c r="BYG78" s="209"/>
      <c r="BYH78" s="209"/>
      <c r="BYI78" s="209"/>
      <c r="BYJ78" s="209"/>
      <c r="BYK78" s="209"/>
      <c r="BYL78" s="209"/>
      <c r="BYM78" s="209"/>
      <c r="BYN78" s="209"/>
      <c r="BYO78" s="209"/>
      <c r="BYP78" s="209"/>
      <c r="BYQ78" s="209"/>
      <c r="BYR78" s="209"/>
      <c r="BYS78" s="209"/>
      <c r="BYT78" s="209"/>
      <c r="BYU78" s="209"/>
      <c r="BYV78" s="209"/>
      <c r="BYW78" s="209"/>
      <c r="BYX78" s="209"/>
      <c r="BYY78" s="209"/>
      <c r="BYZ78" s="209"/>
      <c r="BZA78" s="209"/>
      <c r="BZB78" s="209"/>
      <c r="BZC78" s="209"/>
      <c r="BZD78" s="209"/>
      <c r="BZE78" s="209"/>
      <c r="BZF78" s="209"/>
      <c r="BZG78" s="209"/>
      <c r="BZH78" s="209"/>
      <c r="BZI78" s="209"/>
      <c r="BZJ78" s="209"/>
      <c r="BZK78" s="209"/>
      <c r="BZL78" s="209"/>
      <c r="BZM78" s="209"/>
      <c r="BZN78" s="209"/>
      <c r="BZO78" s="209"/>
      <c r="BZP78" s="209"/>
      <c r="BZQ78" s="209"/>
      <c r="BZR78" s="209"/>
      <c r="BZS78" s="209"/>
      <c r="BZT78" s="209"/>
      <c r="BZU78" s="209"/>
      <c r="BZV78" s="209"/>
      <c r="BZW78" s="209"/>
      <c r="BZX78" s="209"/>
      <c r="BZY78" s="209"/>
      <c r="BZZ78" s="209"/>
      <c r="CAA78" s="209"/>
      <c r="CAB78" s="209"/>
      <c r="CAC78" s="209"/>
      <c r="CAD78" s="209"/>
      <c r="CAE78" s="209"/>
      <c r="CAF78" s="209"/>
      <c r="CAG78" s="209"/>
      <c r="CAH78" s="209"/>
      <c r="CAI78" s="209"/>
      <c r="CAJ78" s="209"/>
      <c r="CAK78" s="209"/>
      <c r="CAL78" s="209"/>
      <c r="CAM78" s="209"/>
      <c r="CAN78" s="209"/>
      <c r="CAO78" s="209"/>
      <c r="CAP78" s="209"/>
      <c r="CAQ78" s="209"/>
      <c r="CAR78" s="209"/>
      <c r="CAS78" s="209"/>
      <c r="CAT78" s="209"/>
      <c r="CAU78" s="209"/>
      <c r="CAV78" s="209"/>
      <c r="CAW78" s="209"/>
      <c r="CAX78" s="209"/>
      <c r="CAY78" s="209"/>
      <c r="CAZ78" s="209"/>
      <c r="CBA78" s="209"/>
      <c r="CBB78" s="209"/>
      <c r="CBC78" s="209"/>
      <c r="CBD78" s="209"/>
      <c r="CBE78" s="209"/>
      <c r="CBF78" s="209"/>
      <c r="CBG78" s="209"/>
      <c r="CBH78" s="209"/>
      <c r="CBI78" s="209"/>
      <c r="CBJ78" s="209"/>
      <c r="CBK78" s="209"/>
      <c r="CBL78" s="209"/>
      <c r="CBM78" s="209"/>
      <c r="CBN78" s="209"/>
      <c r="CBO78" s="209"/>
      <c r="CBP78" s="209"/>
      <c r="CBQ78" s="209"/>
      <c r="CBR78" s="209"/>
      <c r="CBS78" s="209"/>
      <c r="CBT78" s="209"/>
      <c r="CBU78" s="209"/>
      <c r="CBV78" s="209"/>
      <c r="CBW78" s="209"/>
      <c r="CBX78" s="209"/>
      <c r="CBY78" s="209"/>
      <c r="CBZ78" s="209"/>
      <c r="CCA78" s="209"/>
      <c r="CCB78" s="209"/>
      <c r="CCC78" s="209"/>
      <c r="CCD78" s="209"/>
      <c r="CCE78" s="209"/>
      <c r="CCF78" s="209"/>
      <c r="CCG78" s="209"/>
      <c r="CCH78" s="209"/>
      <c r="CCI78" s="209"/>
      <c r="CCJ78" s="209"/>
      <c r="CCK78" s="209"/>
      <c r="CCL78" s="209"/>
      <c r="CCM78" s="209"/>
      <c r="CCN78" s="209"/>
      <c r="CCO78" s="209"/>
      <c r="CCP78" s="209"/>
      <c r="CCQ78" s="209"/>
      <c r="CCR78" s="209"/>
      <c r="CCS78" s="209"/>
      <c r="CCT78" s="209"/>
      <c r="CCU78" s="209"/>
      <c r="CCV78" s="209"/>
      <c r="CCW78" s="209"/>
      <c r="CCX78" s="209"/>
      <c r="CCY78" s="209"/>
      <c r="CCZ78" s="209"/>
      <c r="CDA78" s="209"/>
      <c r="CDB78" s="209"/>
      <c r="CDC78" s="209"/>
      <c r="CDD78" s="209"/>
      <c r="CDE78" s="209"/>
      <c r="CDF78" s="209"/>
      <c r="CDG78" s="209"/>
      <c r="CDH78" s="209"/>
      <c r="CDI78" s="209"/>
      <c r="CDJ78" s="209"/>
      <c r="CDK78" s="209"/>
      <c r="CDL78" s="209"/>
      <c r="CDM78" s="209"/>
      <c r="CDN78" s="209"/>
      <c r="CDO78" s="209"/>
      <c r="CDP78" s="209"/>
      <c r="CDQ78" s="209"/>
      <c r="CDR78" s="209"/>
      <c r="CDS78" s="209"/>
      <c r="CDT78" s="209"/>
      <c r="CDU78" s="209"/>
      <c r="CDV78" s="209"/>
      <c r="CDW78" s="209"/>
      <c r="CDX78" s="209"/>
      <c r="CDY78" s="209"/>
      <c r="CDZ78" s="209"/>
      <c r="CEA78" s="209"/>
      <c r="CEB78" s="209"/>
      <c r="CEC78" s="209"/>
      <c r="CED78" s="209"/>
      <c r="CEE78" s="209"/>
      <c r="CEF78" s="209"/>
      <c r="CEG78" s="209"/>
      <c r="CEH78" s="209"/>
      <c r="CEI78" s="209"/>
      <c r="CEJ78" s="209"/>
      <c r="CEK78" s="209"/>
      <c r="CEL78" s="209"/>
      <c r="CEM78" s="209"/>
      <c r="CEN78" s="209"/>
      <c r="CEO78" s="209"/>
      <c r="CEP78" s="209"/>
      <c r="CEQ78" s="209"/>
      <c r="CER78" s="209"/>
      <c r="CES78" s="209"/>
      <c r="CET78" s="209"/>
      <c r="CEU78" s="209"/>
      <c r="CEV78" s="209"/>
      <c r="CEW78" s="209"/>
      <c r="CEX78" s="209"/>
      <c r="CEY78" s="209"/>
      <c r="CEZ78" s="209"/>
      <c r="CFA78" s="209"/>
      <c r="CFB78" s="209"/>
      <c r="CFC78" s="209"/>
      <c r="CFD78" s="209"/>
      <c r="CFE78" s="209"/>
      <c r="CFF78" s="209"/>
      <c r="CFG78" s="209"/>
      <c r="CFH78" s="209"/>
      <c r="CFI78" s="209"/>
      <c r="CFJ78" s="209"/>
      <c r="CFK78" s="209"/>
      <c r="CFL78" s="209"/>
      <c r="CFM78" s="209"/>
      <c r="CFN78" s="209"/>
      <c r="CFO78" s="209"/>
      <c r="CFP78" s="209"/>
      <c r="CFQ78" s="209"/>
      <c r="CFR78" s="209"/>
      <c r="CFS78" s="209"/>
      <c r="CFT78" s="209"/>
      <c r="CFU78" s="209"/>
      <c r="CFV78" s="209"/>
      <c r="CFW78" s="209"/>
      <c r="CFX78" s="209"/>
      <c r="CFY78" s="209"/>
      <c r="CFZ78" s="209"/>
      <c r="CGA78" s="209"/>
      <c r="CGB78" s="209"/>
      <c r="CGC78" s="209"/>
      <c r="CGD78" s="209"/>
      <c r="CGE78" s="209"/>
      <c r="CGF78" s="209"/>
      <c r="CGG78" s="209"/>
      <c r="CGH78" s="209"/>
      <c r="CGI78" s="209"/>
      <c r="CGJ78" s="209"/>
      <c r="CGK78" s="209"/>
      <c r="CGL78" s="209"/>
      <c r="CGM78" s="209"/>
      <c r="CGN78" s="209"/>
      <c r="CGO78" s="209"/>
      <c r="CGP78" s="209"/>
      <c r="CGQ78" s="209"/>
      <c r="CGR78" s="209"/>
      <c r="CGS78" s="209"/>
      <c r="CGT78" s="209"/>
      <c r="CGU78" s="209"/>
      <c r="CGV78" s="209"/>
      <c r="CGW78" s="209"/>
      <c r="CGX78" s="209"/>
      <c r="CGY78" s="209"/>
      <c r="CGZ78" s="209"/>
      <c r="CHA78" s="209"/>
      <c r="CHB78" s="209"/>
      <c r="CHC78" s="209"/>
      <c r="CHD78" s="209"/>
      <c r="CHE78" s="209"/>
      <c r="CHF78" s="209"/>
      <c r="CHG78" s="209"/>
      <c r="CHH78" s="209"/>
      <c r="CHI78" s="209"/>
      <c r="CHJ78" s="209"/>
      <c r="CHK78" s="209"/>
      <c r="CHL78" s="209"/>
      <c r="CHM78" s="209"/>
      <c r="CHN78" s="209"/>
      <c r="CHO78" s="209"/>
      <c r="CHP78" s="209"/>
      <c r="CHQ78" s="209"/>
      <c r="CHR78" s="209"/>
      <c r="CHS78" s="209"/>
      <c r="CHT78" s="209"/>
      <c r="CHU78" s="209"/>
      <c r="CHV78" s="209"/>
      <c r="CHW78" s="209"/>
      <c r="CHX78" s="209"/>
      <c r="CHY78" s="209"/>
      <c r="CHZ78" s="209"/>
      <c r="CIA78" s="209"/>
      <c r="CIB78" s="209"/>
      <c r="CIC78" s="209"/>
      <c r="CID78" s="209"/>
      <c r="CIE78" s="209"/>
      <c r="CIF78" s="209"/>
      <c r="CIG78" s="209"/>
      <c r="CIH78" s="209"/>
      <c r="CII78" s="209"/>
      <c r="CIJ78" s="209"/>
      <c r="CIK78" s="209"/>
      <c r="CIL78" s="209"/>
      <c r="CIM78" s="209"/>
      <c r="CIN78" s="209"/>
      <c r="CIO78" s="209"/>
      <c r="CIP78" s="209"/>
      <c r="CIQ78" s="209"/>
      <c r="CIR78" s="209"/>
      <c r="CIS78" s="209"/>
      <c r="CIT78" s="209"/>
      <c r="CIU78" s="209"/>
      <c r="CIV78" s="209"/>
      <c r="CIW78" s="209"/>
      <c r="CIX78" s="209"/>
      <c r="CIY78" s="209"/>
      <c r="CIZ78" s="209"/>
      <c r="CJA78" s="209"/>
      <c r="CJB78" s="209"/>
      <c r="CJC78" s="209"/>
      <c r="CJD78" s="209"/>
      <c r="CJE78" s="209"/>
      <c r="CJF78" s="209"/>
      <c r="CJG78" s="209"/>
      <c r="CJH78" s="209"/>
      <c r="CJI78" s="209"/>
      <c r="CJJ78" s="209"/>
      <c r="CJK78" s="209"/>
      <c r="CJL78" s="209"/>
      <c r="CJM78" s="209"/>
      <c r="CJN78" s="209"/>
      <c r="CJO78" s="209"/>
      <c r="CJP78" s="209"/>
      <c r="CJQ78" s="209"/>
      <c r="CJR78" s="209"/>
      <c r="CJS78" s="209"/>
      <c r="CJT78" s="209"/>
      <c r="CJU78" s="209"/>
      <c r="CJV78" s="209"/>
      <c r="CJW78" s="209"/>
      <c r="CJX78" s="209"/>
      <c r="CJY78" s="209"/>
      <c r="CJZ78" s="209"/>
      <c r="CKA78" s="209"/>
      <c r="CKB78" s="209"/>
      <c r="CKC78" s="209"/>
      <c r="CKD78" s="209"/>
      <c r="CKE78" s="209"/>
      <c r="CKF78" s="209"/>
      <c r="CKG78" s="209"/>
      <c r="CKH78" s="209"/>
      <c r="CKI78" s="209"/>
      <c r="CKJ78" s="209"/>
      <c r="CKK78" s="209"/>
      <c r="CKL78" s="209"/>
      <c r="CKM78" s="209"/>
      <c r="CKN78" s="209"/>
      <c r="CKO78" s="209"/>
      <c r="CKP78" s="209"/>
      <c r="CKQ78" s="209"/>
      <c r="CKR78" s="209"/>
      <c r="CKS78" s="209"/>
      <c r="CKT78" s="209"/>
      <c r="CKU78" s="209"/>
      <c r="CKV78" s="209"/>
      <c r="CKW78" s="209"/>
      <c r="CKX78" s="209"/>
      <c r="CKY78" s="209"/>
      <c r="CKZ78" s="209"/>
      <c r="CLA78" s="209"/>
      <c r="CLB78" s="209"/>
      <c r="CLC78" s="209"/>
      <c r="CLD78" s="209"/>
      <c r="CLE78" s="209"/>
      <c r="CLF78" s="209"/>
      <c r="CLG78" s="209"/>
      <c r="CLH78" s="209"/>
      <c r="CLI78" s="209"/>
      <c r="CLJ78" s="209"/>
      <c r="CLK78" s="209"/>
      <c r="CLL78" s="209"/>
      <c r="CLM78" s="209"/>
      <c r="CLN78" s="209"/>
      <c r="CLO78" s="209"/>
      <c r="CLP78" s="209"/>
      <c r="CLQ78" s="209"/>
      <c r="CLR78" s="209"/>
      <c r="CLS78" s="209"/>
      <c r="CLT78" s="209"/>
      <c r="CLU78" s="209"/>
      <c r="CLV78" s="209"/>
      <c r="CLW78" s="209"/>
      <c r="CLX78" s="209"/>
      <c r="CLY78" s="209"/>
      <c r="CLZ78" s="209"/>
      <c r="CMA78" s="209"/>
      <c r="CMB78" s="209"/>
      <c r="CMC78" s="209"/>
      <c r="CMD78" s="209"/>
      <c r="CME78" s="209"/>
      <c r="CMF78" s="209"/>
      <c r="CMG78" s="209"/>
      <c r="CMH78" s="209"/>
      <c r="CMI78" s="209"/>
      <c r="CMJ78" s="209"/>
      <c r="CMK78" s="209"/>
      <c r="CML78" s="209"/>
      <c r="CMM78" s="209"/>
      <c r="CMN78" s="209"/>
      <c r="CMO78" s="209"/>
      <c r="CMP78" s="209"/>
      <c r="CMQ78" s="209"/>
      <c r="CMR78" s="209"/>
      <c r="CMS78" s="209"/>
      <c r="CMT78" s="209"/>
      <c r="CMU78" s="209"/>
      <c r="CMV78" s="209"/>
      <c r="CMW78" s="209"/>
      <c r="CMX78" s="209"/>
      <c r="CMY78" s="209"/>
      <c r="CMZ78" s="209"/>
      <c r="CNA78" s="209"/>
      <c r="CNB78" s="209"/>
      <c r="CNC78" s="209"/>
      <c r="CND78" s="209"/>
      <c r="CNE78" s="209"/>
      <c r="CNF78" s="209"/>
      <c r="CNG78" s="209"/>
      <c r="CNH78" s="209"/>
      <c r="CNI78" s="209"/>
      <c r="CNJ78" s="209"/>
      <c r="CNK78" s="209"/>
      <c r="CNL78" s="209"/>
      <c r="CNM78" s="209"/>
      <c r="CNN78" s="209"/>
      <c r="CNO78" s="209"/>
      <c r="CNP78" s="209"/>
      <c r="CNQ78" s="209"/>
      <c r="CNR78" s="209"/>
      <c r="CNS78" s="209"/>
      <c r="CNT78" s="209"/>
      <c r="CNU78" s="209"/>
      <c r="CNV78" s="209"/>
      <c r="CNW78" s="209"/>
      <c r="CNX78" s="209"/>
      <c r="CNY78" s="209"/>
      <c r="CNZ78" s="209"/>
      <c r="COA78" s="209"/>
      <c r="COB78" s="209"/>
      <c r="COC78" s="209"/>
      <c r="COD78" s="209"/>
      <c r="COE78" s="209"/>
      <c r="COF78" s="209"/>
      <c r="COG78" s="209"/>
      <c r="COH78" s="209"/>
      <c r="COI78" s="209"/>
      <c r="COJ78" s="209"/>
      <c r="COK78" s="209"/>
      <c r="COL78" s="209"/>
      <c r="COM78" s="209"/>
      <c r="CON78" s="209"/>
      <c r="COO78" s="209"/>
      <c r="COP78" s="209"/>
      <c r="COQ78" s="209"/>
      <c r="COR78" s="209"/>
      <c r="COS78" s="209"/>
      <c r="COT78" s="209"/>
      <c r="COU78" s="209"/>
      <c r="COV78" s="209"/>
      <c r="COW78" s="209"/>
      <c r="COX78" s="209"/>
      <c r="COY78" s="209"/>
      <c r="COZ78" s="209"/>
      <c r="CPA78" s="209"/>
      <c r="CPB78" s="209"/>
      <c r="CPC78" s="209"/>
      <c r="CPD78" s="209"/>
      <c r="CPE78" s="209"/>
      <c r="CPF78" s="209"/>
      <c r="CPG78" s="209"/>
      <c r="CPH78" s="209"/>
      <c r="CPI78" s="209"/>
      <c r="CPJ78" s="209"/>
      <c r="CPK78" s="209"/>
      <c r="CPL78" s="209"/>
      <c r="CPM78" s="209"/>
      <c r="CPN78" s="209"/>
      <c r="CPO78" s="209"/>
      <c r="CPP78" s="209"/>
      <c r="CPQ78" s="209"/>
      <c r="CPR78" s="209"/>
      <c r="CPS78" s="209"/>
      <c r="CPT78" s="209"/>
      <c r="CPU78" s="209"/>
      <c r="CPV78" s="209"/>
      <c r="CPW78" s="209"/>
      <c r="CPX78" s="209"/>
      <c r="CPY78" s="209"/>
      <c r="CPZ78" s="209"/>
      <c r="CQA78" s="209"/>
      <c r="CQB78" s="209"/>
      <c r="CQC78" s="209"/>
      <c r="CQD78" s="209"/>
      <c r="CQE78" s="209"/>
      <c r="CQF78" s="209"/>
      <c r="CQG78" s="209"/>
      <c r="CQH78" s="209"/>
      <c r="CQI78" s="209"/>
      <c r="CQJ78" s="209"/>
      <c r="CQK78" s="209"/>
      <c r="CQL78" s="209"/>
      <c r="CQM78" s="209"/>
      <c r="CQN78" s="209"/>
      <c r="CQO78" s="209"/>
      <c r="CQP78" s="209"/>
      <c r="CQQ78" s="209"/>
      <c r="CQR78" s="209"/>
      <c r="CQS78" s="209"/>
      <c r="CQT78" s="209"/>
      <c r="CQU78" s="209"/>
      <c r="CQV78" s="209"/>
      <c r="CQW78" s="209"/>
      <c r="CQX78" s="209"/>
      <c r="CQY78" s="209"/>
      <c r="CQZ78" s="209"/>
      <c r="CRA78" s="209"/>
      <c r="CRB78" s="209"/>
      <c r="CRC78" s="209"/>
      <c r="CRD78" s="209"/>
      <c r="CRE78" s="209"/>
      <c r="CRF78" s="209"/>
      <c r="CRG78" s="209"/>
      <c r="CRH78" s="209"/>
      <c r="CRI78" s="209"/>
      <c r="CRJ78" s="209"/>
      <c r="CRK78" s="209"/>
      <c r="CRL78" s="209"/>
      <c r="CRM78" s="209"/>
      <c r="CRN78" s="209"/>
      <c r="CRO78" s="209"/>
      <c r="CRP78" s="209"/>
      <c r="CRQ78" s="209"/>
      <c r="CRR78" s="209"/>
      <c r="CRS78" s="209"/>
      <c r="CRT78" s="209"/>
      <c r="CRU78" s="209"/>
      <c r="CRV78" s="209"/>
      <c r="CRW78" s="209"/>
      <c r="CRX78" s="209"/>
      <c r="CRY78" s="209"/>
      <c r="CRZ78" s="209"/>
      <c r="CSA78" s="209"/>
      <c r="CSB78" s="209"/>
      <c r="CSC78" s="209"/>
      <c r="CSD78" s="209"/>
      <c r="CSE78" s="209"/>
      <c r="CSF78" s="209"/>
      <c r="CSG78" s="209"/>
      <c r="CSH78" s="209"/>
      <c r="CSI78" s="209"/>
      <c r="CSJ78" s="209"/>
      <c r="CSK78" s="209"/>
      <c r="CSL78" s="209"/>
      <c r="CSM78" s="209"/>
      <c r="CSN78" s="209"/>
      <c r="CSO78" s="209"/>
      <c r="CSP78" s="209"/>
      <c r="CSQ78" s="209"/>
      <c r="CSR78" s="209"/>
      <c r="CSS78" s="209"/>
      <c r="CST78" s="209"/>
      <c r="CSU78" s="209"/>
      <c r="CSV78" s="209"/>
      <c r="CSW78" s="209"/>
      <c r="CSX78" s="209"/>
      <c r="CSY78" s="209"/>
      <c r="CSZ78" s="209"/>
      <c r="CTA78" s="209"/>
      <c r="CTB78" s="209"/>
      <c r="CTC78" s="209"/>
      <c r="CTD78" s="209"/>
      <c r="CTE78" s="209"/>
      <c r="CTF78" s="209"/>
      <c r="CTG78" s="209"/>
      <c r="CTH78" s="209"/>
      <c r="CTI78" s="209"/>
      <c r="CTJ78" s="209"/>
      <c r="CTK78" s="209"/>
      <c r="CTL78" s="209"/>
      <c r="CTM78" s="209"/>
      <c r="CTN78" s="209"/>
      <c r="CTO78" s="209"/>
      <c r="CTP78" s="209"/>
      <c r="CTQ78" s="209"/>
      <c r="CTR78" s="209"/>
      <c r="CTS78" s="209"/>
      <c r="CTT78" s="209"/>
      <c r="CTU78" s="209"/>
      <c r="CTV78" s="209"/>
      <c r="CTW78" s="209"/>
      <c r="CTX78" s="209"/>
      <c r="CTY78" s="209"/>
      <c r="CTZ78" s="209"/>
      <c r="CUA78" s="209"/>
      <c r="CUB78" s="209"/>
      <c r="CUC78" s="209"/>
      <c r="CUD78" s="209"/>
      <c r="CUE78" s="209"/>
      <c r="CUF78" s="209"/>
      <c r="CUG78" s="209"/>
      <c r="CUH78" s="209"/>
      <c r="CUI78" s="209"/>
      <c r="CUJ78" s="209"/>
      <c r="CUK78" s="209"/>
      <c r="CUL78" s="209"/>
      <c r="CUM78" s="209"/>
      <c r="CUN78" s="209"/>
      <c r="CUO78" s="209"/>
      <c r="CUP78" s="209"/>
      <c r="CUQ78" s="209"/>
      <c r="CUR78" s="209"/>
      <c r="CUS78" s="209"/>
      <c r="CUT78" s="209"/>
      <c r="CUU78" s="209"/>
      <c r="CUV78" s="209"/>
      <c r="CUW78" s="209"/>
      <c r="CUX78" s="209"/>
      <c r="CUY78" s="209"/>
      <c r="CUZ78" s="209"/>
      <c r="CVA78" s="209"/>
      <c r="CVB78" s="209"/>
      <c r="CVC78" s="209"/>
      <c r="CVD78" s="209"/>
      <c r="CVE78" s="209"/>
      <c r="CVF78" s="209"/>
      <c r="CVG78" s="209"/>
      <c r="CVH78" s="209"/>
      <c r="CVI78" s="209"/>
      <c r="CVJ78" s="209"/>
      <c r="CVK78" s="209"/>
      <c r="CVL78" s="209"/>
      <c r="CVM78" s="209"/>
      <c r="CVN78" s="209"/>
      <c r="CVO78" s="209"/>
      <c r="CVP78" s="209"/>
      <c r="CVQ78" s="209"/>
      <c r="CVR78" s="209"/>
      <c r="CVS78" s="209"/>
      <c r="CVT78" s="209"/>
      <c r="CVU78" s="209"/>
      <c r="CVV78" s="209"/>
      <c r="CVW78" s="209"/>
      <c r="CVX78" s="209"/>
      <c r="CVY78" s="209"/>
      <c r="CVZ78" s="209"/>
      <c r="CWA78" s="209"/>
      <c r="CWB78" s="209"/>
      <c r="CWC78" s="209"/>
      <c r="CWD78" s="209"/>
      <c r="CWE78" s="209"/>
      <c r="CWF78" s="209"/>
      <c r="CWG78" s="209"/>
      <c r="CWH78" s="209"/>
      <c r="CWI78" s="209"/>
      <c r="CWJ78" s="209"/>
      <c r="CWK78" s="209"/>
      <c r="CWL78" s="209"/>
      <c r="CWM78" s="209"/>
      <c r="CWN78" s="209"/>
      <c r="CWO78" s="209"/>
      <c r="CWP78" s="209"/>
      <c r="CWQ78" s="209"/>
      <c r="CWR78" s="209"/>
      <c r="CWS78" s="209"/>
      <c r="CWT78" s="209"/>
      <c r="CWU78" s="209"/>
      <c r="CWV78" s="209"/>
      <c r="CWW78" s="209"/>
      <c r="CWX78" s="209"/>
      <c r="CWY78" s="209"/>
      <c r="CWZ78" s="209"/>
      <c r="CXA78" s="209"/>
      <c r="CXB78" s="209"/>
      <c r="CXC78" s="209"/>
      <c r="CXD78" s="209"/>
      <c r="CXE78" s="209"/>
      <c r="CXF78" s="209"/>
      <c r="CXG78" s="209"/>
      <c r="CXH78" s="209"/>
      <c r="CXI78" s="209"/>
      <c r="CXJ78" s="209"/>
      <c r="CXK78" s="209"/>
      <c r="CXL78" s="209"/>
      <c r="CXM78" s="209"/>
      <c r="CXN78" s="209"/>
      <c r="CXO78" s="209"/>
      <c r="CXP78" s="209"/>
      <c r="CXQ78" s="209"/>
      <c r="CXR78" s="209"/>
      <c r="CXS78" s="209"/>
      <c r="CXT78" s="209"/>
      <c r="CXU78" s="209"/>
      <c r="CXV78" s="209"/>
      <c r="CXW78" s="209"/>
      <c r="CXX78" s="209"/>
      <c r="CXY78" s="209"/>
      <c r="CXZ78" s="209"/>
      <c r="CYA78" s="209"/>
      <c r="CYB78" s="209"/>
      <c r="CYC78" s="209"/>
      <c r="CYD78" s="209"/>
      <c r="CYE78" s="209"/>
      <c r="CYF78" s="209"/>
      <c r="CYG78" s="209"/>
      <c r="CYH78" s="209"/>
      <c r="CYI78" s="209"/>
      <c r="CYJ78" s="209"/>
      <c r="CYK78" s="209"/>
      <c r="CYL78" s="209"/>
      <c r="CYM78" s="209"/>
      <c r="CYN78" s="209"/>
      <c r="CYO78" s="209"/>
      <c r="CYP78" s="209"/>
      <c r="CYQ78" s="209"/>
      <c r="CYR78" s="209"/>
      <c r="CYS78" s="209"/>
      <c r="CYT78" s="209"/>
      <c r="CYU78" s="209"/>
      <c r="CYV78" s="209"/>
      <c r="CYW78" s="209"/>
      <c r="CYX78" s="209"/>
      <c r="CYY78" s="209"/>
      <c r="CYZ78" s="209"/>
      <c r="CZA78" s="209"/>
      <c r="CZB78" s="209"/>
      <c r="CZC78" s="209"/>
      <c r="CZD78" s="209"/>
      <c r="CZE78" s="209"/>
      <c r="CZF78" s="209"/>
      <c r="CZG78" s="209"/>
      <c r="CZH78" s="209"/>
      <c r="CZI78" s="209"/>
      <c r="CZJ78" s="209"/>
      <c r="CZK78" s="209"/>
      <c r="CZL78" s="209"/>
      <c r="CZM78" s="209"/>
      <c r="CZN78" s="209"/>
      <c r="CZO78" s="209"/>
      <c r="CZP78" s="209"/>
      <c r="CZQ78" s="209"/>
      <c r="CZR78" s="209"/>
      <c r="CZS78" s="209"/>
      <c r="CZT78" s="209"/>
      <c r="CZU78" s="209"/>
      <c r="CZV78" s="209"/>
      <c r="CZW78" s="209"/>
      <c r="CZX78" s="209"/>
      <c r="CZY78" s="209"/>
      <c r="CZZ78" s="209"/>
      <c r="DAA78" s="209"/>
      <c r="DAB78" s="209"/>
      <c r="DAC78" s="209"/>
      <c r="DAD78" s="209"/>
      <c r="DAE78" s="209"/>
      <c r="DAF78" s="209"/>
      <c r="DAG78" s="209"/>
      <c r="DAH78" s="209"/>
      <c r="DAI78" s="209"/>
      <c r="DAJ78" s="209"/>
      <c r="DAK78" s="209"/>
      <c r="DAL78" s="209"/>
      <c r="DAM78" s="209"/>
      <c r="DAN78" s="209"/>
      <c r="DAO78" s="209"/>
      <c r="DAP78" s="209"/>
      <c r="DAQ78" s="209"/>
      <c r="DAR78" s="209"/>
      <c r="DAS78" s="209"/>
      <c r="DAT78" s="209"/>
      <c r="DAU78" s="209"/>
      <c r="DAV78" s="209"/>
      <c r="DAW78" s="209"/>
      <c r="DAX78" s="209"/>
      <c r="DAY78" s="209"/>
      <c r="DAZ78" s="209"/>
      <c r="DBA78" s="209"/>
      <c r="DBB78" s="209"/>
      <c r="DBC78" s="209"/>
      <c r="DBD78" s="209"/>
      <c r="DBE78" s="209"/>
      <c r="DBF78" s="209"/>
      <c r="DBG78" s="209"/>
      <c r="DBH78" s="209"/>
      <c r="DBI78" s="209"/>
      <c r="DBJ78" s="209"/>
      <c r="DBK78" s="209"/>
      <c r="DBL78" s="209"/>
      <c r="DBM78" s="209"/>
      <c r="DBN78" s="209"/>
      <c r="DBO78" s="209"/>
      <c r="DBP78" s="209"/>
      <c r="DBQ78" s="209"/>
      <c r="DBR78" s="209"/>
      <c r="DBS78" s="209"/>
      <c r="DBT78" s="209"/>
      <c r="DBU78" s="209"/>
      <c r="DBV78" s="209"/>
      <c r="DBW78" s="209"/>
      <c r="DBX78" s="209"/>
      <c r="DBY78" s="209"/>
      <c r="DBZ78" s="209"/>
      <c r="DCA78" s="209"/>
      <c r="DCB78" s="209"/>
      <c r="DCC78" s="209"/>
      <c r="DCD78" s="209"/>
      <c r="DCE78" s="209"/>
      <c r="DCF78" s="209"/>
      <c r="DCG78" s="209"/>
      <c r="DCH78" s="209"/>
      <c r="DCI78" s="209"/>
      <c r="DCJ78" s="209"/>
      <c r="DCK78" s="209"/>
      <c r="DCL78" s="209"/>
      <c r="DCM78" s="209"/>
      <c r="DCN78" s="209"/>
      <c r="DCO78" s="209"/>
      <c r="DCP78" s="209"/>
      <c r="DCQ78" s="209"/>
      <c r="DCR78" s="209"/>
      <c r="DCS78" s="209"/>
      <c r="DCT78" s="209"/>
      <c r="DCU78" s="209"/>
      <c r="DCV78" s="209"/>
      <c r="DCW78" s="209"/>
      <c r="DCX78" s="209"/>
      <c r="DCY78" s="209"/>
      <c r="DCZ78" s="209"/>
      <c r="DDA78" s="209"/>
      <c r="DDB78" s="209"/>
      <c r="DDC78" s="209"/>
      <c r="DDD78" s="209"/>
      <c r="DDE78" s="209"/>
      <c r="DDF78" s="209"/>
      <c r="DDG78" s="209"/>
      <c r="DDH78" s="209"/>
      <c r="DDI78" s="209"/>
      <c r="DDJ78" s="209"/>
      <c r="DDK78" s="209"/>
      <c r="DDL78" s="209"/>
      <c r="DDM78" s="209"/>
      <c r="DDN78" s="209"/>
      <c r="DDO78" s="209"/>
      <c r="DDP78" s="209"/>
      <c r="DDQ78" s="209"/>
      <c r="DDR78" s="209"/>
      <c r="DDS78" s="209"/>
      <c r="DDT78" s="209"/>
      <c r="DDU78" s="209"/>
      <c r="DDV78" s="209"/>
      <c r="DDW78" s="209"/>
      <c r="DDX78" s="209"/>
      <c r="DDY78" s="209"/>
      <c r="DDZ78" s="209"/>
      <c r="DEA78" s="209"/>
      <c r="DEB78" s="209"/>
      <c r="DEC78" s="209"/>
      <c r="DED78" s="209"/>
      <c r="DEE78" s="209"/>
      <c r="DEF78" s="209"/>
      <c r="DEG78" s="209"/>
      <c r="DEH78" s="209"/>
      <c r="DEI78" s="209"/>
      <c r="DEJ78" s="209"/>
      <c r="DEK78" s="209"/>
      <c r="DEL78" s="209"/>
      <c r="DEM78" s="209"/>
      <c r="DEN78" s="209"/>
      <c r="DEO78" s="209"/>
      <c r="DEP78" s="209"/>
      <c r="DEQ78" s="209"/>
      <c r="DER78" s="209"/>
      <c r="DES78" s="209"/>
      <c r="DET78" s="209"/>
      <c r="DEU78" s="209"/>
      <c r="DEV78" s="209"/>
      <c r="DEW78" s="209"/>
      <c r="DEX78" s="209"/>
      <c r="DEY78" s="209"/>
      <c r="DEZ78" s="209"/>
      <c r="DFA78" s="209"/>
      <c r="DFB78" s="209"/>
      <c r="DFC78" s="209"/>
      <c r="DFD78" s="209"/>
      <c r="DFE78" s="209"/>
      <c r="DFF78" s="209"/>
      <c r="DFG78" s="209"/>
      <c r="DFH78" s="209"/>
      <c r="DFI78" s="209"/>
      <c r="DFJ78" s="209"/>
      <c r="DFK78" s="209"/>
      <c r="DFL78" s="209"/>
      <c r="DFM78" s="209"/>
      <c r="DFN78" s="209"/>
      <c r="DFO78" s="209"/>
      <c r="DFP78" s="209"/>
      <c r="DFQ78" s="209"/>
      <c r="DFR78" s="209"/>
      <c r="DFS78" s="209"/>
      <c r="DFT78" s="209"/>
      <c r="DFU78" s="209"/>
      <c r="DFV78" s="209"/>
      <c r="DFW78" s="209"/>
      <c r="DFX78" s="209"/>
      <c r="DFY78" s="209"/>
      <c r="DFZ78" s="209"/>
      <c r="DGA78" s="209"/>
      <c r="DGB78" s="209"/>
      <c r="DGC78" s="209"/>
      <c r="DGD78" s="209"/>
      <c r="DGE78" s="209"/>
      <c r="DGF78" s="209"/>
      <c r="DGG78" s="209"/>
      <c r="DGH78" s="209"/>
      <c r="DGI78" s="209"/>
      <c r="DGJ78" s="209"/>
      <c r="DGK78" s="209"/>
      <c r="DGL78" s="209"/>
      <c r="DGM78" s="209"/>
      <c r="DGN78" s="209"/>
      <c r="DGO78" s="209"/>
      <c r="DGP78" s="209"/>
      <c r="DGQ78" s="209"/>
      <c r="DGR78" s="209"/>
      <c r="DGS78" s="209"/>
      <c r="DGT78" s="209"/>
      <c r="DGU78" s="209"/>
      <c r="DGV78" s="209"/>
      <c r="DGW78" s="209"/>
      <c r="DGX78" s="209"/>
      <c r="DGY78" s="209"/>
      <c r="DGZ78" s="209"/>
      <c r="DHA78" s="209"/>
      <c r="DHB78" s="209"/>
      <c r="DHC78" s="209"/>
      <c r="DHD78" s="209"/>
      <c r="DHE78" s="209"/>
      <c r="DHF78" s="209"/>
      <c r="DHG78" s="209"/>
      <c r="DHH78" s="209"/>
      <c r="DHI78" s="209"/>
      <c r="DHJ78" s="209"/>
      <c r="DHK78" s="209"/>
      <c r="DHL78" s="209"/>
      <c r="DHM78" s="209"/>
      <c r="DHN78" s="209"/>
      <c r="DHO78" s="209"/>
      <c r="DHP78" s="209"/>
      <c r="DHQ78" s="209"/>
      <c r="DHR78" s="209"/>
      <c r="DHS78" s="209"/>
      <c r="DHT78" s="209"/>
      <c r="DHU78" s="209"/>
      <c r="DHV78" s="209"/>
      <c r="DHW78" s="209"/>
      <c r="DHX78" s="209"/>
      <c r="DHY78" s="209"/>
      <c r="DHZ78" s="209"/>
      <c r="DIA78" s="209"/>
      <c r="DIB78" s="209"/>
      <c r="DIC78" s="209"/>
      <c r="DID78" s="209"/>
      <c r="DIE78" s="209"/>
      <c r="DIF78" s="209"/>
      <c r="DIG78" s="209"/>
      <c r="DIH78" s="209"/>
      <c r="DII78" s="209"/>
      <c r="DIJ78" s="209"/>
      <c r="DIK78" s="209"/>
      <c r="DIL78" s="209"/>
      <c r="DIM78" s="209"/>
      <c r="DIN78" s="209"/>
      <c r="DIO78" s="209"/>
      <c r="DIP78" s="209"/>
      <c r="DIQ78" s="209"/>
      <c r="DIR78" s="209"/>
      <c r="DIS78" s="209"/>
      <c r="DIT78" s="209"/>
      <c r="DIU78" s="209"/>
      <c r="DIV78" s="209"/>
      <c r="DIW78" s="209"/>
      <c r="DIX78" s="209"/>
      <c r="DIY78" s="209"/>
      <c r="DIZ78" s="209"/>
      <c r="DJA78" s="209"/>
      <c r="DJB78" s="209"/>
      <c r="DJC78" s="209"/>
      <c r="DJD78" s="209"/>
      <c r="DJE78" s="209"/>
      <c r="DJF78" s="209"/>
      <c r="DJG78" s="209"/>
      <c r="DJH78" s="209"/>
      <c r="DJI78" s="209"/>
      <c r="DJJ78" s="209"/>
      <c r="DJK78" s="209"/>
      <c r="DJL78" s="209"/>
      <c r="DJM78" s="209"/>
      <c r="DJN78" s="209"/>
      <c r="DJO78" s="209"/>
      <c r="DJP78" s="209"/>
      <c r="DJQ78" s="209"/>
      <c r="DJR78" s="209"/>
      <c r="DJS78" s="209"/>
      <c r="DJT78" s="209"/>
      <c r="DJU78" s="209"/>
      <c r="DJV78" s="209"/>
      <c r="DJW78" s="209"/>
      <c r="DJX78" s="209"/>
      <c r="DJY78" s="209"/>
      <c r="DJZ78" s="209"/>
      <c r="DKA78" s="209"/>
      <c r="DKB78" s="209"/>
      <c r="DKC78" s="209"/>
      <c r="DKD78" s="209"/>
      <c r="DKE78" s="209"/>
      <c r="DKF78" s="209"/>
      <c r="DKG78" s="209"/>
      <c r="DKH78" s="209"/>
      <c r="DKI78" s="209"/>
      <c r="DKJ78" s="209"/>
      <c r="DKK78" s="209"/>
      <c r="DKL78" s="209"/>
      <c r="DKM78" s="209"/>
      <c r="DKN78" s="209"/>
      <c r="DKO78" s="209"/>
      <c r="DKP78" s="209"/>
      <c r="DKQ78" s="209"/>
      <c r="DKR78" s="209"/>
      <c r="DKS78" s="209"/>
      <c r="DKT78" s="209"/>
      <c r="DKU78" s="209"/>
      <c r="DKV78" s="209"/>
      <c r="DKW78" s="209"/>
      <c r="DKX78" s="209"/>
      <c r="DKY78" s="209"/>
      <c r="DKZ78" s="209"/>
      <c r="DLA78" s="209"/>
      <c r="DLB78" s="209"/>
      <c r="DLC78" s="209"/>
      <c r="DLD78" s="209"/>
      <c r="DLE78" s="209"/>
      <c r="DLF78" s="209"/>
      <c r="DLG78" s="209"/>
      <c r="DLH78" s="209"/>
      <c r="DLI78" s="209"/>
      <c r="DLJ78" s="209"/>
      <c r="DLK78" s="209"/>
      <c r="DLL78" s="209"/>
      <c r="DLM78" s="209"/>
      <c r="DLN78" s="209"/>
      <c r="DLO78" s="209"/>
      <c r="DLP78" s="209"/>
      <c r="DLQ78" s="209"/>
      <c r="DLR78" s="209"/>
      <c r="DLS78" s="209"/>
      <c r="DLT78" s="209"/>
      <c r="DLU78" s="209"/>
      <c r="DLV78" s="209"/>
      <c r="DLW78" s="209"/>
      <c r="DLX78" s="209"/>
      <c r="DLY78" s="209"/>
      <c r="DLZ78" s="209"/>
      <c r="DMA78" s="209"/>
      <c r="DMB78" s="209"/>
      <c r="DMC78" s="209"/>
      <c r="DMD78" s="209"/>
      <c r="DME78" s="209"/>
      <c r="DMF78" s="209"/>
      <c r="DMG78" s="209"/>
      <c r="DMH78" s="209"/>
      <c r="DMI78" s="209"/>
      <c r="DMJ78" s="209"/>
      <c r="DMK78" s="209"/>
      <c r="DML78" s="209"/>
      <c r="DMM78" s="209"/>
      <c r="DMN78" s="209"/>
      <c r="DMO78" s="209"/>
      <c r="DMP78" s="209"/>
      <c r="DMQ78" s="209"/>
      <c r="DMR78" s="209"/>
      <c r="DMS78" s="209"/>
      <c r="DMT78" s="209"/>
      <c r="DMU78" s="209"/>
      <c r="DMV78" s="209"/>
      <c r="DMW78" s="209"/>
      <c r="DMX78" s="209"/>
      <c r="DMY78" s="209"/>
      <c r="DMZ78" s="209"/>
      <c r="DNA78" s="209"/>
      <c r="DNB78" s="209"/>
      <c r="DNC78" s="209"/>
      <c r="DND78" s="209"/>
      <c r="DNE78" s="209"/>
      <c r="DNF78" s="209"/>
      <c r="DNG78" s="209"/>
      <c r="DNH78" s="209"/>
      <c r="DNI78" s="209"/>
      <c r="DNJ78" s="209"/>
      <c r="DNK78" s="209"/>
      <c r="DNL78" s="209"/>
      <c r="DNM78" s="209"/>
      <c r="DNN78" s="209"/>
      <c r="DNO78" s="209"/>
      <c r="DNP78" s="209"/>
      <c r="DNQ78" s="209"/>
      <c r="DNR78" s="209"/>
      <c r="DNS78" s="209"/>
      <c r="DNT78" s="209"/>
      <c r="DNU78" s="209"/>
      <c r="DNV78" s="209"/>
      <c r="DNW78" s="209"/>
      <c r="DNX78" s="209"/>
      <c r="DNY78" s="209"/>
      <c r="DNZ78" s="209"/>
      <c r="DOA78" s="209"/>
      <c r="DOB78" s="209"/>
      <c r="DOC78" s="209"/>
      <c r="DOD78" s="209"/>
      <c r="DOE78" s="209"/>
      <c r="DOF78" s="209"/>
      <c r="DOG78" s="209"/>
      <c r="DOH78" s="209"/>
      <c r="DOI78" s="209"/>
      <c r="DOJ78" s="209"/>
      <c r="DOK78" s="209"/>
      <c r="DOL78" s="209"/>
      <c r="DOM78" s="209"/>
      <c r="DON78" s="209"/>
      <c r="DOO78" s="209"/>
      <c r="DOP78" s="209"/>
      <c r="DOQ78" s="209"/>
      <c r="DOR78" s="209"/>
      <c r="DOS78" s="209"/>
      <c r="DOT78" s="209"/>
      <c r="DOU78" s="209"/>
      <c r="DOV78" s="209"/>
      <c r="DOW78" s="209"/>
      <c r="DOX78" s="209"/>
      <c r="DOY78" s="209"/>
      <c r="DOZ78" s="209"/>
      <c r="DPA78" s="209"/>
      <c r="DPB78" s="209"/>
      <c r="DPC78" s="209"/>
      <c r="DPD78" s="209"/>
      <c r="DPE78" s="209"/>
      <c r="DPF78" s="209"/>
      <c r="DPG78" s="209"/>
      <c r="DPH78" s="209"/>
      <c r="DPI78" s="209"/>
      <c r="DPJ78" s="209"/>
      <c r="DPK78" s="209"/>
      <c r="DPL78" s="209"/>
      <c r="DPM78" s="209"/>
      <c r="DPN78" s="209"/>
      <c r="DPO78" s="209"/>
      <c r="DPP78" s="209"/>
      <c r="DPQ78" s="209"/>
      <c r="DPR78" s="209"/>
      <c r="DPS78" s="209"/>
      <c r="DPT78" s="209"/>
      <c r="DPU78" s="209"/>
      <c r="DPV78" s="209"/>
      <c r="DPW78" s="209"/>
      <c r="DPX78" s="209"/>
      <c r="DPY78" s="209"/>
      <c r="DPZ78" s="209"/>
      <c r="DQA78" s="209"/>
      <c r="DQB78" s="209"/>
      <c r="DQC78" s="209"/>
      <c r="DQD78" s="209"/>
      <c r="DQE78" s="209"/>
      <c r="DQF78" s="209"/>
      <c r="DQG78" s="209"/>
      <c r="DQH78" s="209"/>
      <c r="DQI78" s="209"/>
      <c r="DQJ78" s="209"/>
      <c r="DQK78" s="209"/>
      <c r="DQL78" s="209"/>
      <c r="DQM78" s="209"/>
      <c r="DQN78" s="209"/>
      <c r="DQO78" s="209"/>
      <c r="DQP78" s="209"/>
      <c r="DQQ78" s="209"/>
      <c r="DQR78" s="209"/>
      <c r="DQS78" s="209"/>
      <c r="DQT78" s="209"/>
      <c r="DQU78" s="209"/>
      <c r="DQV78" s="209"/>
      <c r="DQW78" s="209"/>
      <c r="DQX78" s="209"/>
      <c r="DQY78" s="209"/>
      <c r="DQZ78" s="209"/>
      <c r="DRA78" s="209"/>
      <c r="DRB78" s="209"/>
      <c r="DRC78" s="209"/>
      <c r="DRD78" s="209"/>
      <c r="DRE78" s="209"/>
      <c r="DRF78" s="209"/>
      <c r="DRG78" s="209"/>
      <c r="DRH78" s="209"/>
      <c r="DRI78" s="209"/>
      <c r="DRJ78" s="209"/>
      <c r="DRK78" s="209"/>
      <c r="DRL78" s="209"/>
      <c r="DRM78" s="209"/>
      <c r="DRN78" s="209"/>
      <c r="DRO78" s="209"/>
      <c r="DRP78" s="209"/>
      <c r="DRQ78" s="209"/>
      <c r="DRR78" s="209"/>
      <c r="DRS78" s="209"/>
      <c r="DRT78" s="209"/>
      <c r="DRU78" s="209"/>
      <c r="DRV78" s="209"/>
      <c r="DRW78" s="209"/>
      <c r="DRX78" s="209"/>
      <c r="DRY78" s="209"/>
      <c r="DRZ78" s="209"/>
      <c r="DSA78" s="209"/>
      <c r="DSB78" s="209"/>
      <c r="DSC78" s="209"/>
      <c r="DSD78" s="209"/>
      <c r="DSE78" s="209"/>
      <c r="DSF78" s="209"/>
      <c r="DSG78" s="209"/>
      <c r="DSH78" s="209"/>
      <c r="DSI78" s="209"/>
      <c r="DSJ78" s="209"/>
      <c r="DSK78" s="209"/>
      <c r="DSL78" s="209"/>
      <c r="DSM78" s="209"/>
      <c r="DSN78" s="209"/>
      <c r="DSO78" s="209"/>
      <c r="DSP78" s="209"/>
      <c r="DSQ78" s="209"/>
      <c r="DSR78" s="209"/>
      <c r="DSS78" s="209"/>
      <c r="DST78" s="209"/>
      <c r="DSU78" s="209"/>
      <c r="DSV78" s="209"/>
      <c r="DSW78" s="209"/>
      <c r="DSX78" s="209"/>
      <c r="DSY78" s="209"/>
      <c r="DSZ78" s="209"/>
      <c r="DTA78" s="209"/>
      <c r="DTB78" s="209"/>
      <c r="DTC78" s="209"/>
      <c r="DTD78" s="209"/>
      <c r="DTE78" s="209"/>
      <c r="DTF78" s="209"/>
      <c r="DTG78" s="209"/>
      <c r="DTH78" s="209"/>
      <c r="DTI78" s="209"/>
      <c r="DTJ78" s="209"/>
      <c r="DTK78" s="209"/>
      <c r="DTL78" s="209"/>
      <c r="DTM78" s="209"/>
      <c r="DTN78" s="209"/>
      <c r="DTO78" s="209"/>
      <c r="DTP78" s="209"/>
      <c r="DTQ78" s="209"/>
      <c r="DTR78" s="209"/>
      <c r="DTS78" s="209"/>
      <c r="DTT78" s="209"/>
      <c r="DTU78" s="209"/>
      <c r="DTV78" s="209"/>
      <c r="DTW78" s="209"/>
      <c r="DTX78" s="209"/>
      <c r="DTY78" s="209"/>
      <c r="DTZ78" s="209"/>
      <c r="DUA78" s="209"/>
      <c r="DUB78" s="209"/>
      <c r="DUC78" s="209"/>
      <c r="DUD78" s="209"/>
      <c r="DUE78" s="209"/>
      <c r="DUF78" s="209"/>
      <c r="DUG78" s="209"/>
      <c r="DUH78" s="209"/>
      <c r="DUI78" s="209"/>
      <c r="DUJ78" s="209"/>
      <c r="DUK78" s="209"/>
      <c r="DUL78" s="209"/>
      <c r="DUM78" s="209"/>
      <c r="DUN78" s="209"/>
      <c r="DUO78" s="209"/>
      <c r="DUP78" s="209"/>
      <c r="DUQ78" s="209"/>
      <c r="DUR78" s="209"/>
      <c r="DUS78" s="209"/>
      <c r="DUT78" s="209"/>
      <c r="DUU78" s="209"/>
      <c r="DUV78" s="209"/>
      <c r="DUW78" s="209"/>
      <c r="DUX78" s="209"/>
      <c r="DUY78" s="209"/>
      <c r="DUZ78" s="209"/>
      <c r="DVA78" s="209"/>
      <c r="DVB78" s="209"/>
      <c r="DVC78" s="209"/>
      <c r="DVD78" s="209"/>
      <c r="DVE78" s="209"/>
      <c r="DVF78" s="209"/>
      <c r="DVG78" s="209"/>
      <c r="DVH78" s="209"/>
      <c r="DVI78" s="209"/>
      <c r="DVJ78" s="209"/>
      <c r="DVK78" s="209"/>
      <c r="DVL78" s="209"/>
      <c r="DVM78" s="209"/>
      <c r="DVN78" s="209"/>
      <c r="DVO78" s="209"/>
      <c r="DVP78" s="209"/>
      <c r="DVQ78" s="209"/>
      <c r="DVR78" s="209"/>
      <c r="DVS78" s="209"/>
      <c r="DVT78" s="209"/>
      <c r="DVU78" s="209"/>
      <c r="DVV78" s="209"/>
      <c r="DVW78" s="209"/>
      <c r="DVX78" s="209"/>
      <c r="DVY78" s="209"/>
      <c r="DVZ78" s="209"/>
      <c r="DWA78" s="209"/>
      <c r="DWB78" s="209"/>
      <c r="DWC78" s="209"/>
      <c r="DWD78" s="209"/>
      <c r="DWE78" s="209"/>
      <c r="DWF78" s="209"/>
      <c r="DWG78" s="209"/>
      <c r="DWH78" s="209"/>
      <c r="DWI78" s="209"/>
      <c r="DWJ78" s="209"/>
      <c r="DWK78" s="209"/>
      <c r="DWL78" s="209"/>
      <c r="DWM78" s="209"/>
      <c r="DWN78" s="209"/>
      <c r="DWO78" s="209"/>
      <c r="DWP78" s="209"/>
      <c r="DWQ78" s="209"/>
      <c r="DWR78" s="209"/>
      <c r="DWS78" s="209"/>
      <c r="DWT78" s="209"/>
      <c r="DWU78" s="209"/>
      <c r="DWV78" s="209"/>
      <c r="DWW78" s="209"/>
      <c r="DWX78" s="209"/>
      <c r="DWY78" s="209"/>
      <c r="DWZ78" s="209"/>
      <c r="DXA78" s="209"/>
      <c r="DXB78" s="209"/>
      <c r="DXC78" s="209"/>
      <c r="DXD78" s="209"/>
      <c r="DXE78" s="209"/>
      <c r="DXF78" s="209"/>
      <c r="DXG78" s="209"/>
      <c r="DXH78" s="209"/>
      <c r="DXI78" s="209"/>
      <c r="DXJ78" s="209"/>
      <c r="DXK78" s="209"/>
      <c r="DXL78" s="209"/>
      <c r="DXM78" s="209"/>
      <c r="DXN78" s="209"/>
      <c r="DXO78" s="209"/>
      <c r="DXP78" s="209"/>
      <c r="DXQ78" s="209"/>
      <c r="DXR78" s="209"/>
      <c r="DXS78" s="209"/>
      <c r="DXT78" s="209"/>
      <c r="DXU78" s="209"/>
      <c r="DXV78" s="209"/>
      <c r="DXW78" s="209"/>
      <c r="DXX78" s="209"/>
      <c r="DXY78" s="209"/>
      <c r="DXZ78" s="209"/>
      <c r="DYA78" s="209"/>
      <c r="DYB78" s="209"/>
      <c r="DYC78" s="209"/>
      <c r="DYD78" s="209"/>
      <c r="DYE78" s="209"/>
      <c r="DYF78" s="209"/>
      <c r="DYG78" s="209"/>
      <c r="DYH78" s="209"/>
      <c r="DYI78" s="209"/>
      <c r="DYJ78" s="209"/>
      <c r="DYK78" s="209"/>
      <c r="DYL78" s="209"/>
      <c r="DYM78" s="209"/>
      <c r="DYN78" s="209"/>
      <c r="DYO78" s="209"/>
      <c r="DYP78" s="209"/>
      <c r="DYQ78" s="209"/>
      <c r="DYR78" s="209"/>
      <c r="DYS78" s="209"/>
      <c r="DYT78" s="209"/>
      <c r="DYU78" s="209"/>
      <c r="DYV78" s="209"/>
      <c r="DYW78" s="209"/>
      <c r="DYX78" s="209"/>
      <c r="DYY78" s="209"/>
      <c r="DYZ78" s="209"/>
      <c r="DZA78" s="209"/>
      <c r="DZB78" s="209"/>
      <c r="DZC78" s="209"/>
      <c r="DZD78" s="209"/>
      <c r="DZE78" s="209"/>
      <c r="DZF78" s="209"/>
      <c r="DZG78" s="209"/>
      <c r="DZH78" s="209"/>
      <c r="DZI78" s="209"/>
      <c r="DZJ78" s="209"/>
      <c r="DZK78" s="209"/>
      <c r="DZL78" s="209"/>
      <c r="DZM78" s="209"/>
      <c r="DZN78" s="209"/>
      <c r="DZO78" s="209"/>
      <c r="DZP78" s="209"/>
      <c r="DZQ78" s="209"/>
      <c r="DZR78" s="209"/>
      <c r="DZS78" s="209"/>
      <c r="DZT78" s="209"/>
      <c r="DZU78" s="209"/>
      <c r="DZV78" s="209"/>
      <c r="DZW78" s="209"/>
      <c r="DZX78" s="209"/>
      <c r="DZY78" s="209"/>
      <c r="DZZ78" s="209"/>
      <c r="EAA78" s="209"/>
      <c r="EAB78" s="209"/>
      <c r="EAC78" s="209"/>
      <c r="EAD78" s="209"/>
      <c r="EAE78" s="209"/>
      <c r="EAF78" s="209"/>
      <c r="EAG78" s="209"/>
      <c r="EAH78" s="209"/>
      <c r="EAI78" s="209"/>
      <c r="EAJ78" s="209"/>
      <c r="EAK78" s="209"/>
      <c r="EAL78" s="209"/>
      <c r="EAM78" s="209"/>
      <c r="EAN78" s="209"/>
      <c r="EAO78" s="209"/>
      <c r="EAP78" s="209"/>
      <c r="EAQ78" s="209"/>
      <c r="EAR78" s="209"/>
      <c r="EAS78" s="209"/>
      <c r="EAT78" s="209"/>
      <c r="EAU78" s="209"/>
      <c r="EAV78" s="209"/>
      <c r="EAW78" s="209"/>
      <c r="EAX78" s="209"/>
      <c r="EAY78" s="209"/>
      <c r="EAZ78" s="209"/>
      <c r="EBA78" s="209"/>
      <c r="EBB78" s="209"/>
      <c r="EBC78" s="209"/>
      <c r="EBD78" s="209"/>
      <c r="EBE78" s="209"/>
      <c r="EBF78" s="209"/>
      <c r="EBG78" s="209"/>
      <c r="EBH78" s="209"/>
      <c r="EBI78" s="209"/>
      <c r="EBJ78" s="209"/>
      <c r="EBK78" s="209"/>
      <c r="EBL78" s="209"/>
      <c r="EBM78" s="209"/>
      <c r="EBN78" s="209"/>
      <c r="EBO78" s="209"/>
      <c r="EBP78" s="209"/>
      <c r="EBQ78" s="209"/>
      <c r="EBR78" s="209"/>
      <c r="EBS78" s="209"/>
      <c r="EBT78" s="209"/>
      <c r="EBU78" s="209"/>
      <c r="EBV78" s="209"/>
      <c r="EBW78" s="209"/>
      <c r="EBX78" s="209"/>
      <c r="EBY78" s="209"/>
      <c r="EBZ78" s="209"/>
      <c r="ECA78" s="209"/>
      <c r="ECB78" s="209"/>
      <c r="ECC78" s="209"/>
      <c r="ECD78" s="209"/>
      <c r="ECE78" s="209"/>
      <c r="ECF78" s="209"/>
      <c r="ECG78" s="209"/>
      <c r="ECH78" s="209"/>
      <c r="ECI78" s="209"/>
      <c r="ECJ78" s="209"/>
      <c r="ECK78" s="209"/>
      <c r="ECL78" s="209"/>
      <c r="ECM78" s="209"/>
      <c r="ECN78" s="209"/>
      <c r="ECO78" s="209"/>
      <c r="ECP78" s="209"/>
      <c r="ECQ78" s="209"/>
      <c r="ECR78" s="209"/>
      <c r="ECS78" s="209"/>
      <c r="ECT78" s="209"/>
      <c r="ECU78" s="209"/>
      <c r="ECV78" s="209"/>
      <c r="ECW78" s="209"/>
      <c r="ECX78" s="209"/>
      <c r="ECY78" s="209"/>
      <c r="ECZ78" s="209"/>
      <c r="EDA78" s="209"/>
      <c r="EDB78" s="209"/>
      <c r="EDC78" s="209"/>
      <c r="EDD78" s="209"/>
      <c r="EDE78" s="209"/>
      <c r="EDF78" s="209"/>
      <c r="EDG78" s="209"/>
      <c r="EDH78" s="209"/>
      <c r="EDI78" s="209"/>
      <c r="EDJ78" s="209"/>
      <c r="EDK78" s="209"/>
      <c r="EDL78" s="209"/>
      <c r="EDM78" s="209"/>
      <c r="EDN78" s="209"/>
      <c r="EDO78" s="209"/>
      <c r="EDP78" s="209"/>
      <c r="EDQ78" s="209"/>
      <c r="EDR78" s="209"/>
      <c r="EDS78" s="209"/>
      <c r="EDT78" s="209"/>
      <c r="EDU78" s="209"/>
      <c r="EDV78" s="209"/>
      <c r="EDW78" s="209"/>
      <c r="EDX78" s="209"/>
      <c r="EDY78" s="209"/>
      <c r="EDZ78" s="209"/>
      <c r="EEA78" s="209"/>
      <c r="EEB78" s="209"/>
      <c r="EEC78" s="209"/>
      <c r="EED78" s="209"/>
      <c r="EEE78" s="209"/>
      <c r="EEF78" s="209"/>
      <c r="EEG78" s="209"/>
      <c r="EEH78" s="209"/>
      <c r="EEI78" s="209"/>
      <c r="EEJ78" s="209"/>
      <c r="EEK78" s="209"/>
      <c r="EEL78" s="209"/>
      <c r="EEM78" s="209"/>
      <c r="EEN78" s="209"/>
      <c r="EEO78" s="209"/>
      <c r="EEP78" s="209"/>
      <c r="EEQ78" s="209"/>
      <c r="EER78" s="209"/>
      <c r="EES78" s="209"/>
      <c r="EET78" s="209"/>
      <c r="EEU78" s="209"/>
      <c r="EEV78" s="209"/>
      <c r="EEW78" s="209"/>
      <c r="EEX78" s="209"/>
      <c r="EEY78" s="209"/>
      <c r="EEZ78" s="209"/>
      <c r="EFA78" s="209"/>
      <c r="EFB78" s="209"/>
      <c r="EFC78" s="209"/>
      <c r="EFD78" s="209"/>
      <c r="EFE78" s="209"/>
      <c r="EFF78" s="209"/>
      <c r="EFG78" s="209"/>
      <c r="EFH78" s="209"/>
      <c r="EFI78" s="209"/>
      <c r="EFJ78" s="209"/>
      <c r="EFK78" s="209"/>
      <c r="EFL78" s="209"/>
      <c r="EFM78" s="209"/>
      <c r="EFN78" s="209"/>
      <c r="EFO78" s="209"/>
      <c r="EFP78" s="209"/>
      <c r="EFQ78" s="209"/>
      <c r="EFR78" s="209"/>
      <c r="EFS78" s="209"/>
      <c r="EFT78" s="209"/>
      <c r="EFU78" s="209"/>
      <c r="EFV78" s="209"/>
      <c r="EFW78" s="209"/>
      <c r="EFX78" s="209"/>
      <c r="EFY78" s="209"/>
      <c r="EFZ78" s="209"/>
      <c r="EGA78" s="209"/>
      <c r="EGB78" s="209"/>
      <c r="EGC78" s="209"/>
      <c r="EGD78" s="209"/>
      <c r="EGE78" s="209"/>
      <c r="EGF78" s="209"/>
      <c r="EGG78" s="209"/>
      <c r="EGH78" s="209"/>
      <c r="EGI78" s="209"/>
      <c r="EGJ78" s="209"/>
      <c r="EGK78" s="209"/>
      <c r="EGL78" s="209"/>
      <c r="EGM78" s="209"/>
      <c r="EGN78" s="209"/>
      <c r="EGO78" s="209"/>
      <c r="EGP78" s="209"/>
      <c r="EGQ78" s="209"/>
      <c r="EGR78" s="209"/>
      <c r="EGS78" s="209"/>
      <c r="EGT78" s="209"/>
      <c r="EGU78" s="209"/>
      <c r="EGV78" s="209"/>
      <c r="EGW78" s="209"/>
      <c r="EGX78" s="209"/>
      <c r="EGY78" s="209"/>
      <c r="EGZ78" s="209"/>
      <c r="EHA78" s="209"/>
      <c r="EHB78" s="209"/>
      <c r="EHC78" s="209"/>
      <c r="EHD78" s="209"/>
      <c r="EHE78" s="209"/>
      <c r="EHF78" s="209"/>
      <c r="EHG78" s="209"/>
      <c r="EHH78" s="209"/>
      <c r="EHI78" s="209"/>
      <c r="EHJ78" s="209"/>
      <c r="EHK78" s="209"/>
      <c r="EHL78" s="209"/>
      <c r="EHM78" s="209"/>
      <c r="EHN78" s="209"/>
      <c r="EHO78" s="209"/>
      <c r="EHP78" s="209"/>
      <c r="EHQ78" s="209"/>
      <c r="EHR78" s="209"/>
      <c r="EHS78" s="209"/>
      <c r="EHT78" s="209"/>
      <c r="EHU78" s="209"/>
      <c r="EHV78" s="209"/>
      <c r="EHW78" s="209"/>
      <c r="EHX78" s="209"/>
      <c r="EHY78" s="209"/>
      <c r="EHZ78" s="209"/>
      <c r="EIA78" s="209"/>
      <c r="EIB78" s="209"/>
      <c r="EIC78" s="209"/>
      <c r="EID78" s="209"/>
      <c r="EIE78" s="209"/>
      <c r="EIF78" s="209"/>
      <c r="EIG78" s="209"/>
      <c r="EIH78" s="209"/>
      <c r="EII78" s="209"/>
      <c r="EIJ78" s="209"/>
      <c r="EIK78" s="209"/>
      <c r="EIL78" s="209"/>
      <c r="EIM78" s="209"/>
      <c r="EIN78" s="209"/>
      <c r="EIO78" s="209"/>
      <c r="EIP78" s="209"/>
      <c r="EIQ78" s="209"/>
      <c r="EIR78" s="209"/>
      <c r="EIS78" s="209"/>
      <c r="EIT78" s="209"/>
      <c r="EIU78" s="209"/>
      <c r="EIV78" s="209"/>
      <c r="EIW78" s="209"/>
      <c r="EIX78" s="209"/>
      <c r="EIY78" s="209"/>
      <c r="EIZ78" s="209"/>
      <c r="EJA78" s="209"/>
      <c r="EJB78" s="209"/>
      <c r="EJC78" s="209"/>
      <c r="EJD78" s="209"/>
      <c r="EJE78" s="209"/>
      <c r="EJF78" s="209"/>
      <c r="EJG78" s="209"/>
      <c r="EJH78" s="209"/>
      <c r="EJI78" s="209"/>
      <c r="EJJ78" s="209"/>
      <c r="EJK78" s="209"/>
      <c r="EJL78" s="209"/>
      <c r="EJM78" s="209"/>
      <c r="EJN78" s="209"/>
      <c r="EJO78" s="209"/>
      <c r="EJP78" s="209"/>
      <c r="EJQ78" s="209"/>
      <c r="EJR78" s="209"/>
      <c r="EJS78" s="209"/>
      <c r="EJT78" s="209"/>
      <c r="EJU78" s="209"/>
      <c r="EJV78" s="209"/>
      <c r="EJW78" s="209"/>
      <c r="EJX78" s="209"/>
      <c r="EJY78" s="209"/>
      <c r="EJZ78" s="209"/>
      <c r="EKA78" s="209"/>
      <c r="EKB78" s="209"/>
      <c r="EKC78" s="209"/>
      <c r="EKD78" s="209"/>
      <c r="EKE78" s="209"/>
      <c r="EKF78" s="209"/>
      <c r="EKG78" s="209"/>
      <c r="EKH78" s="209"/>
      <c r="EKI78" s="209"/>
      <c r="EKJ78" s="209"/>
      <c r="EKK78" s="209"/>
      <c r="EKL78" s="209"/>
      <c r="EKM78" s="209"/>
      <c r="EKN78" s="209"/>
      <c r="EKO78" s="209"/>
      <c r="EKP78" s="209"/>
      <c r="EKQ78" s="209"/>
      <c r="EKR78" s="209"/>
      <c r="EKS78" s="209"/>
      <c r="EKT78" s="209"/>
      <c r="EKU78" s="209"/>
      <c r="EKV78" s="209"/>
      <c r="EKW78" s="209"/>
      <c r="EKX78" s="209"/>
      <c r="EKY78" s="209"/>
      <c r="EKZ78" s="209"/>
      <c r="ELA78" s="209"/>
      <c r="ELB78" s="209"/>
      <c r="ELC78" s="209"/>
      <c r="ELD78" s="209"/>
      <c r="ELE78" s="209"/>
      <c r="ELF78" s="209"/>
      <c r="ELG78" s="209"/>
      <c r="ELH78" s="209"/>
      <c r="ELI78" s="209"/>
      <c r="ELJ78" s="209"/>
      <c r="ELK78" s="209"/>
      <c r="ELL78" s="209"/>
      <c r="ELM78" s="209"/>
      <c r="ELN78" s="209"/>
      <c r="ELO78" s="209"/>
      <c r="ELP78" s="209"/>
      <c r="ELQ78" s="209"/>
      <c r="ELR78" s="209"/>
      <c r="ELS78" s="209"/>
      <c r="ELT78" s="209"/>
      <c r="ELU78" s="209"/>
      <c r="ELV78" s="209"/>
      <c r="ELW78" s="209"/>
      <c r="ELX78" s="209"/>
      <c r="ELY78" s="209"/>
      <c r="ELZ78" s="209"/>
      <c r="EMA78" s="209"/>
      <c r="EMB78" s="209"/>
      <c r="EMC78" s="209"/>
      <c r="EMD78" s="209"/>
      <c r="EME78" s="209"/>
      <c r="EMF78" s="209"/>
      <c r="EMG78" s="209"/>
      <c r="EMH78" s="209"/>
      <c r="EMI78" s="209"/>
      <c r="EMJ78" s="209"/>
      <c r="EMK78" s="209"/>
      <c r="EML78" s="209"/>
      <c r="EMM78" s="209"/>
      <c r="EMN78" s="209"/>
      <c r="EMO78" s="209"/>
      <c r="EMP78" s="209"/>
      <c r="EMQ78" s="209"/>
      <c r="EMR78" s="209"/>
      <c r="EMS78" s="209"/>
      <c r="EMT78" s="209"/>
      <c r="EMU78" s="209"/>
      <c r="EMV78" s="209"/>
      <c r="EMW78" s="209"/>
      <c r="EMX78" s="209"/>
      <c r="EMY78" s="209"/>
      <c r="EMZ78" s="209"/>
      <c r="ENA78" s="209"/>
      <c r="ENB78" s="209"/>
      <c r="ENC78" s="209"/>
      <c r="END78" s="209"/>
      <c r="ENE78" s="209"/>
      <c r="ENF78" s="209"/>
      <c r="ENG78" s="209"/>
      <c r="ENH78" s="209"/>
      <c r="ENI78" s="209"/>
      <c r="ENJ78" s="209"/>
      <c r="ENK78" s="209"/>
      <c r="ENL78" s="209"/>
      <c r="ENM78" s="209"/>
      <c r="ENN78" s="209"/>
      <c r="ENO78" s="209"/>
      <c r="ENP78" s="209"/>
      <c r="ENQ78" s="209"/>
      <c r="ENR78" s="209"/>
      <c r="ENS78" s="209"/>
      <c r="ENT78" s="209"/>
      <c r="ENU78" s="209"/>
      <c r="ENV78" s="209"/>
      <c r="ENW78" s="209"/>
      <c r="ENX78" s="209"/>
      <c r="ENY78" s="209"/>
      <c r="ENZ78" s="209"/>
      <c r="EOA78" s="209"/>
      <c r="EOB78" s="209"/>
      <c r="EOC78" s="209"/>
      <c r="EOD78" s="209"/>
      <c r="EOE78" s="209"/>
      <c r="EOF78" s="209"/>
      <c r="EOG78" s="209"/>
      <c r="EOH78" s="209"/>
      <c r="EOI78" s="209"/>
      <c r="EOJ78" s="209"/>
      <c r="EOK78" s="209"/>
      <c r="EOL78" s="209"/>
      <c r="EOM78" s="209"/>
      <c r="EON78" s="209"/>
      <c r="EOO78" s="209"/>
      <c r="EOP78" s="209"/>
      <c r="EOQ78" s="209"/>
      <c r="EOR78" s="209"/>
      <c r="EOS78" s="209"/>
      <c r="EOT78" s="209"/>
      <c r="EOU78" s="209"/>
      <c r="EOV78" s="209"/>
      <c r="EOW78" s="209"/>
      <c r="EOX78" s="209"/>
      <c r="EOY78" s="209"/>
      <c r="EOZ78" s="209"/>
      <c r="EPA78" s="209"/>
      <c r="EPB78" s="209"/>
      <c r="EPC78" s="209"/>
      <c r="EPD78" s="209"/>
      <c r="EPE78" s="209"/>
      <c r="EPF78" s="209"/>
      <c r="EPG78" s="209"/>
      <c r="EPH78" s="209"/>
      <c r="EPI78" s="209"/>
      <c r="EPJ78" s="209"/>
      <c r="EPK78" s="209"/>
      <c r="EPL78" s="209"/>
      <c r="EPM78" s="209"/>
      <c r="EPN78" s="209"/>
      <c r="EPO78" s="209"/>
      <c r="EPP78" s="209"/>
      <c r="EPQ78" s="209"/>
      <c r="EPR78" s="209"/>
      <c r="EPS78" s="209"/>
      <c r="EPT78" s="209"/>
      <c r="EPU78" s="209"/>
      <c r="EPV78" s="209"/>
      <c r="EPW78" s="209"/>
      <c r="EPX78" s="209"/>
      <c r="EPY78" s="209"/>
      <c r="EPZ78" s="209"/>
      <c r="EQA78" s="209"/>
      <c r="EQB78" s="209"/>
      <c r="EQC78" s="209"/>
      <c r="EQD78" s="209"/>
      <c r="EQE78" s="209"/>
      <c r="EQF78" s="209"/>
      <c r="EQG78" s="209"/>
      <c r="EQH78" s="209"/>
      <c r="EQI78" s="209"/>
      <c r="EQJ78" s="209"/>
      <c r="EQK78" s="209"/>
      <c r="EQL78" s="209"/>
      <c r="EQM78" s="209"/>
      <c r="EQN78" s="209"/>
      <c r="EQO78" s="209"/>
      <c r="EQP78" s="209"/>
      <c r="EQQ78" s="209"/>
      <c r="EQR78" s="209"/>
      <c r="EQS78" s="209"/>
      <c r="EQT78" s="209"/>
      <c r="EQU78" s="209"/>
      <c r="EQV78" s="209"/>
      <c r="EQW78" s="209"/>
      <c r="EQX78" s="209"/>
      <c r="EQY78" s="209"/>
      <c r="EQZ78" s="209"/>
      <c r="ERA78" s="209"/>
      <c r="ERB78" s="209"/>
      <c r="ERC78" s="209"/>
      <c r="ERD78" s="209"/>
      <c r="ERE78" s="209"/>
      <c r="ERF78" s="209"/>
      <c r="ERG78" s="209"/>
      <c r="ERH78" s="209"/>
      <c r="ERI78" s="209"/>
      <c r="ERJ78" s="209"/>
      <c r="ERK78" s="209"/>
      <c r="ERL78" s="209"/>
      <c r="ERM78" s="209"/>
      <c r="ERN78" s="209"/>
      <c r="ERO78" s="209"/>
      <c r="ERP78" s="209"/>
      <c r="ERQ78" s="209"/>
      <c r="ERR78" s="209"/>
      <c r="ERS78" s="209"/>
      <c r="ERT78" s="209"/>
      <c r="ERU78" s="209"/>
      <c r="ERV78" s="209"/>
      <c r="ERW78" s="209"/>
      <c r="ERX78" s="209"/>
      <c r="ERY78" s="209"/>
      <c r="ERZ78" s="209"/>
      <c r="ESA78" s="209"/>
      <c r="ESB78" s="209"/>
      <c r="ESC78" s="209"/>
      <c r="ESD78" s="209"/>
      <c r="ESE78" s="209"/>
      <c r="ESF78" s="209"/>
      <c r="ESG78" s="209"/>
      <c r="ESH78" s="209"/>
      <c r="ESI78" s="209"/>
      <c r="ESJ78" s="209"/>
      <c r="ESK78" s="209"/>
      <c r="ESL78" s="209"/>
      <c r="ESM78" s="209"/>
      <c r="ESN78" s="209"/>
      <c r="ESO78" s="209"/>
      <c r="ESP78" s="209"/>
      <c r="ESQ78" s="209"/>
      <c r="ESR78" s="209"/>
      <c r="ESS78" s="209"/>
      <c r="EST78" s="209"/>
      <c r="ESU78" s="209"/>
      <c r="ESV78" s="209"/>
      <c r="ESW78" s="209"/>
      <c r="ESX78" s="209"/>
      <c r="ESY78" s="209"/>
      <c r="ESZ78" s="209"/>
      <c r="ETA78" s="209"/>
      <c r="ETB78" s="209"/>
      <c r="ETC78" s="209"/>
      <c r="ETD78" s="209"/>
      <c r="ETE78" s="209"/>
      <c r="ETF78" s="209"/>
      <c r="ETG78" s="209"/>
      <c r="ETH78" s="209"/>
      <c r="ETI78" s="209"/>
      <c r="ETJ78" s="209"/>
      <c r="ETK78" s="209"/>
      <c r="ETL78" s="209"/>
      <c r="ETM78" s="209"/>
      <c r="ETN78" s="209"/>
      <c r="ETO78" s="209"/>
      <c r="ETP78" s="209"/>
      <c r="ETQ78" s="209"/>
      <c r="ETR78" s="209"/>
      <c r="ETS78" s="209"/>
      <c r="ETT78" s="209"/>
      <c r="ETU78" s="209"/>
      <c r="ETV78" s="209"/>
      <c r="ETW78" s="209"/>
      <c r="ETX78" s="209"/>
      <c r="ETY78" s="209"/>
      <c r="ETZ78" s="209"/>
      <c r="EUA78" s="209"/>
      <c r="EUB78" s="209"/>
      <c r="EUC78" s="209"/>
      <c r="EUD78" s="209"/>
      <c r="EUE78" s="209"/>
      <c r="EUF78" s="209"/>
      <c r="EUG78" s="209"/>
      <c r="EUH78" s="209"/>
      <c r="EUI78" s="209"/>
      <c r="EUJ78" s="209"/>
      <c r="EUK78" s="209"/>
      <c r="EUL78" s="209"/>
      <c r="EUM78" s="209"/>
      <c r="EUN78" s="209"/>
      <c r="EUO78" s="209"/>
      <c r="EUP78" s="209"/>
      <c r="EUQ78" s="209"/>
      <c r="EUR78" s="209"/>
      <c r="EUS78" s="209"/>
      <c r="EUT78" s="209"/>
      <c r="EUU78" s="209"/>
      <c r="EUV78" s="209"/>
      <c r="EUW78" s="209"/>
      <c r="EUX78" s="209"/>
      <c r="EUY78" s="209"/>
      <c r="EUZ78" s="209"/>
      <c r="EVA78" s="209"/>
      <c r="EVB78" s="209"/>
      <c r="EVC78" s="209"/>
      <c r="EVD78" s="209"/>
      <c r="EVE78" s="209"/>
      <c r="EVF78" s="209"/>
      <c r="EVG78" s="209"/>
      <c r="EVH78" s="209"/>
      <c r="EVI78" s="209"/>
      <c r="EVJ78" s="209"/>
      <c r="EVK78" s="209"/>
      <c r="EVL78" s="209"/>
      <c r="EVM78" s="209"/>
      <c r="EVN78" s="209"/>
      <c r="EVO78" s="209"/>
      <c r="EVP78" s="209"/>
      <c r="EVQ78" s="209"/>
      <c r="EVR78" s="209"/>
      <c r="EVS78" s="209"/>
      <c r="EVT78" s="209"/>
      <c r="EVU78" s="209"/>
      <c r="EVV78" s="209"/>
      <c r="EVW78" s="209"/>
      <c r="EVX78" s="209"/>
      <c r="EVY78" s="209"/>
      <c r="EVZ78" s="209"/>
      <c r="EWA78" s="209"/>
      <c r="EWB78" s="209"/>
      <c r="EWC78" s="209"/>
      <c r="EWD78" s="209"/>
      <c r="EWE78" s="209"/>
      <c r="EWF78" s="209"/>
      <c r="EWG78" s="209"/>
      <c r="EWH78" s="209"/>
      <c r="EWI78" s="209"/>
      <c r="EWJ78" s="209"/>
      <c r="EWK78" s="209"/>
      <c r="EWL78" s="209"/>
      <c r="EWM78" s="209"/>
      <c r="EWN78" s="209"/>
      <c r="EWO78" s="209"/>
      <c r="EWP78" s="209"/>
      <c r="EWQ78" s="209"/>
      <c r="EWR78" s="209"/>
      <c r="EWS78" s="209"/>
      <c r="EWT78" s="209"/>
      <c r="EWU78" s="209"/>
      <c r="EWV78" s="209"/>
      <c r="EWW78" s="209"/>
      <c r="EWX78" s="209"/>
      <c r="EWY78" s="209"/>
      <c r="EWZ78" s="209"/>
      <c r="EXA78" s="209"/>
      <c r="EXB78" s="209"/>
      <c r="EXC78" s="209"/>
      <c r="EXD78" s="209"/>
      <c r="EXE78" s="209"/>
      <c r="EXF78" s="209"/>
      <c r="EXG78" s="209"/>
      <c r="EXH78" s="209"/>
      <c r="EXI78" s="209"/>
      <c r="EXJ78" s="209"/>
      <c r="EXK78" s="209"/>
      <c r="EXL78" s="209"/>
      <c r="EXM78" s="209"/>
      <c r="EXN78" s="209"/>
      <c r="EXO78" s="209"/>
      <c r="EXP78" s="209"/>
      <c r="EXQ78" s="209"/>
      <c r="EXR78" s="209"/>
      <c r="EXS78" s="209"/>
      <c r="EXT78" s="209"/>
      <c r="EXU78" s="209"/>
      <c r="EXV78" s="209"/>
      <c r="EXW78" s="209"/>
      <c r="EXX78" s="209"/>
      <c r="EXY78" s="209"/>
      <c r="EXZ78" s="209"/>
      <c r="EYA78" s="209"/>
      <c r="EYB78" s="209"/>
      <c r="EYC78" s="209"/>
      <c r="EYD78" s="209"/>
      <c r="EYE78" s="209"/>
      <c r="EYF78" s="209"/>
      <c r="EYG78" s="209"/>
      <c r="EYH78" s="209"/>
      <c r="EYI78" s="209"/>
      <c r="EYJ78" s="209"/>
      <c r="EYK78" s="209"/>
      <c r="EYL78" s="209"/>
      <c r="EYM78" s="209"/>
      <c r="EYN78" s="209"/>
      <c r="EYO78" s="209"/>
      <c r="EYP78" s="209"/>
      <c r="EYQ78" s="209"/>
      <c r="EYR78" s="209"/>
      <c r="EYS78" s="209"/>
      <c r="EYT78" s="209"/>
      <c r="EYU78" s="209"/>
      <c r="EYV78" s="209"/>
      <c r="EYW78" s="209"/>
      <c r="EYX78" s="209"/>
      <c r="EYY78" s="209"/>
      <c r="EYZ78" s="209"/>
      <c r="EZA78" s="209"/>
      <c r="EZB78" s="209"/>
      <c r="EZC78" s="209"/>
      <c r="EZD78" s="209"/>
      <c r="EZE78" s="209"/>
      <c r="EZF78" s="209"/>
      <c r="EZG78" s="209"/>
      <c r="EZH78" s="209"/>
      <c r="EZI78" s="209"/>
      <c r="EZJ78" s="209"/>
      <c r="EZK78" s="209"/>
      <c r="EZL78" s="209"/>
      <c r="EZM78" s="209"/>
      <c r="EZN78" s="209"/>
      <c r="EZO78" s="209"/>
      <c r="EZP78" s="209"/>
      <c r="EZQ78" s="209"/>
      <c r="EZR78" s="209"/>
      <c r="EZS78" s="209"/>
      <c r="EZT78" s="209"/>
      <c r="EZU78" s="209"/>
      <c r="EZV78" s="209"/>
      <c r="EZW78" s="209"/>
      <c r="EZX78" s="209"/>
      <c r="EZY78" s="209"/>
      <c r="EZZ78" s="209"/>
      <c r="FAA78" s="209"/>
      <c r="FAB78" s="209"/>
      <c r="FAC78" s="209"/>
      <c r="FAD78" s="209"/>
      <c r="FAE78" s="209"/>
      <c r="FAF78" s="209"/>
      <c r="FAG78" s="209"/>
      <c r="FAH78" s="209"/>
      <c r="FAI78" s="209"/>
      <c r="FAJ78" s="209"/>
      <c r="FAK78" s="209"/>
      <c r="FAL78" s="209"/>
      <c r="FAM78" s="209"/>
      <c r="FAN78" s="209"/>
      <c r="FAO78" s="209"/>
      <c r="FAP78" s="209"/>
      <c r="FAQ78" s="209"/>
      <c r="FAR78" s="209"/>
      <c r="FAS78" s="209"/>
      <c r="FAT78" s="209"/>
      <c r="FAU78" s="209"/>
      <c r="FAV78" s="209"/>
      <c r="FAW78" s="209"/>
      <c r="FAX78" s="209"/>
      <c r="FAY78" s="209"/>
      <c r="FAZ78" s="209"/>
      <c r="FBA78" s="209"/>
      <c r="FBB78" s="209"/>
      <c r="FBC78" s="209"/>
      <c r="FBD78" s="209"/>
      <c r="FBE78" s="209"/>
      <c r="FBF78" s="209"/>
      <c r="FBG78" s="209"/>
      <c r="FBH78" s="209"/>
      <c r="FBI78" s="209"/>
      <c r="FBJ78" s="209"/>
      <c r="FBK78" s="209"/>
      <c r="FBL78" s="209"/>
      <c r="FBM78" s="209"/>
      <c r="FBN78" s="209"/>
      <c r="FBO78" s="209"/>
      <c r="FBP78" s="209"/>
      <c r="FBQ78" s="209"/>
      <c r="FBR78" s="209"/>
      <c r="FBS78" s="209"/>
      <c r="FBT78" s="209"/>
      <c r="FBU78" s="209"/>
      <c r="FBV78" s="209"/>
      <c r="FBW78" s="209"/>
      <c r="FBX78" s="209"/>
      <c r="FBY78" s="209"/>
      <c r="FBZ78" s="209"/>
      <c r="FCA78" s="209"/>
      <c r="FCB78" s="209"/>
      <c r="FCC78" s="209"/>
      <c r="FCD78" s="209"/>
      <c r="FCE78" s="209"/>
      <c r="FCF78" s="209"/>
      <c r="FCG78" s="209"/>
      <c r="FCH78" s="209"/>
      <c r="FCI78" s="209"/>
      <c r="FCJ78" s="209"/>
      <c r="FCK78" s="209"/>
      <c r="FCL78" s="209"/>
      <c r="FCM78" s="209"/>
      <c r="FCN78" s="209"/>
      <c r="FCO78" s="209"/>
      <c r="FCP78" s="209"/>
      <c r="FCQ78" s="209"/>
      <c r="FCR78" s="209"/>
      <c r="FCS78" s="209"/>
      <c r="FCT78" s="209"/>
      <c r="FCU78" s="209"/>
      <c r="FCV78" s="209"/>
      <c r="FCW78" s="209"/>
      <c r="FCX78" s="209"/>
      <c r="FCY78" s="209"/>
      <c r="FCZ78" s="209"/>
      <c r="FDA78" s="209"/>
      <c r="FDB78" s="209"/>
      <c r="FDC78" s="209"/>
      <c r="FDD78" s="209"/>
      <c r="FDE78" s="209"/>
      <c r="FDF78" s="209"/>
      <c r="FDG78" s="209"/>
      <c r="FDH78" s="209"/>
      <c r="FDI78" s="209"/>
      <c r="FDJ78" s="209"/>
      <c r="FDK78" s="209"/>
      <c r="FDL78" s="209"/>
      <c r="FDM78" s="209"/>
      <c r="FDN78" s="209"/>
      <c r="FDO78" s="209"/>
      <c r="FDP78" s="209"/>
      <c r="FDQ78" s="209"/>
      <c r="FDR78" s="209"/>
      <c r="FDS78" s="209"/>
      <c r="FDT78" s="209"/>
      <c r="FDU78" s="209"/>
      <c r="FDV78" s="209"/>
      <c r="FDW78" s="209"/>
      <c r="FDX78" s="209"/>
      <c r="FDY78" s="209"/>
      <c r="FDZ78" s="209"/>
      <c r="FEA78" s="209"/>
      <c r="FEB78" s="209"/>
      <c r="FEC78" s="209"/>
      <c r="FED78" s="209"/>
      <c r="FEE78" s="209"/>
      <c r="FEF78" s="209"/>
      <c r="FEG78" s="209"/>
      <c r="FEH78" s="209"/>
      <c r="FEI78" s="209"/>
      <c r="FEJ78" s="209"/>
      <c r="FEK78" s="209"/>
      <c r="FEL78" s="209"/>
      <c r="FEM78" s="209"/>
      <c r="FEN78" s="209"/>
      <c r="FEO78" s="209"/>
      <c r="FEP78" s="209"/>
      <c r="FEQ78" s="209"/>
      <c r="FER78" s="209"/>
      <c r="FES78" s="209"/>
      <c r="FET78" s="209"/>
      <c r="FEU78" s="209"/>
      <c r="FEV78" s="209"/>
      <c r="FEW78" s="209"/>
      <c r="FEX78" s="209"/>
      <c r="FEY78" s="209"/>
      <c r="FEZ78" s="209"/>
      <c r="FFA78" s="209"/>
      <c r="FFB78" s="209"/>
      <c r="FFC78" s="209"/>
      <c r="FFD78" s="209"/>
      <c r="FFE78" s="209"/>
      <c r="FFF78" s="209"/>
      <c r="FFG78" s="209"/>
      <c r="FFH78" s="209"/>
      <c r="FFI78" s="209"/>
      <c r="FFJ78" s="209"/>
      <c r="FFK78" s="209"/>
      <c r="FFL78" s="209"/>
      <c r="FFM78" s="209"/>
      <c r="FFN78" s="209"/>
      <c r="FFO78" s="209"/>
      <c r="FFP78" s="209"/>
      <c r="FFQ78" s="209"/>
      <c r="FFR78" s="209"/>
      <c r="FFS78" s="209"/>
      <c r="FFT78" s="209"/>
      <c r="FFU78" s="209"/>
      <c r="FFV78" s="209"/>
      <c r="FFW78" s="209"/>
      <c r="FFX78" s="209"/>
      <c r="FFY78" s="209"/>
      <c r="FFZ78" s="209"/>
      <c r="FGA78" s="209"/>
      <c r="FGB78" s="209"/>
      <c r="FGC78" s="209"/>
      <c r="FGD78" s="209"/>
      <c r="FGE78" s="209"/>
      <c r="FGF78" s="209"/>
      <c r="FGG78" s="209"/>
      <c r="FGH78" s="209"/>
      <c r="FGI78" s="209"/>
      <c r="FGJ78" s="209"/>
      <c r="FGK78" s="209"/>
      <c r="FGL78" s="209"/>
      <c r="FGM78" s="209"/>
      <c r="FGN78" s="209"/>
      <c r="FGO78" s="209"/>
      <c r="FGP78" s="209"/>
      <c r="FGQ78" s="209"/>
      <c r="FGR78" s="209"/>
      <c r="FGS78" s="209"/>
      <c r="FGT78" s="209"/>
      <c r="FGU78" s="209"/>
      <c r="FGV78" s="209"/>
      <c r="FGW78" s="209"/>
      <c r="FGX78" s="209"/>
      <c r="FGY78" s="209"/>
      <c r="FGZ78" s="209"/>
      <c r="FHA78" s="209"/>
      <c r="FHB78" s="209"/>
      <c r="FHC78" s="209"/>
      <c r="FHD78" s="209"/>
      <c r="FHE78" s="209"/>
      <c r="FHF78" s="209"/>
      <c r="FHG78" s="209"/>
      <c r="FHH78" s="209"/>
      <c r="FHI78" s="209"/>
      <c r="FHJ78" s="209"/>
      <c r="FHK78" s="209"/>
      <c r="FHL78" s="209"/>
      <c r="FHM78" s="209"/>
      <c r="FHN78" s="209"/>
      <c r="FHO78" s="209"/>
      <c r="FHP78" s="209"/>
      <c r="FHQ78" s="209"/>
      <c r="FHR78" s="209"/>
      <c r="FHS78" s="209"/>
      <c r="FHT78" s="209"/>
      <c r="FHU78" s="209"/>
      <c r="FHV78" s="209"/>
      <c r="FHW78" s="209"/>
      <c r="FHX78" s="209"/>
      <c r="FHY78" s="209"/>
      <c r="FHZ78" s="209"/>
      <c r="FIA78" s="209"/>
      <c r="FIB78" s="209"/>
      <c r="FIC78" s="209"/>
      <c r="FID78" s="209"/>
      <c r="FIE78" s="209"/>
      <c r="FIF78" s="209"/>
      <c r="FIG78" s="209"/>
      <c r="FIH78" s="209"/>
      <c r="FII78" s="209"/>
      <c r="FIJ78" s="209"/>
      <c r="FIK78" s="209"/>
      <c r="FIL78" s="209"/>
      <c r="FIM78" s="209"/>
      <c r="FIN78" s="209"/>
      <c r="FIO78" s="209"/>
      <c r="FIP78" s="209"/>
      <c r="FIQ78" s="209"/>
      <c r="FIR78" s="209"/>
      <c r="FIS78" s="209"/>
      <c r="FIT78" s="209"/>
      <c r="FIU78" s="209"/>
      <c r="FIV78" s="209"/>
      <c r="FIW78" s="209"/>
      <c r="FIX78" s="209"/>
      <c r="FIY78" s="209"/>
      <c r="FIZ78" s="209"/>
      <c r="FJA78" s="209"/>
      <c r="FJB78" s="209"/>
      <c r="FJC78" s="209"/>
      <c r="FJD78" s="209"/>
      <c r="FJE78" s="209"/>
      <c r="FJF78" s="209"/>
      <c r="FJG78" s="209"/>
      <c r="FJH78" s="209"/>
      <c r="FJI78" s="209"/>
      <c r="FJJ78" s="209"/>
      <c r="FJK78" s="209"/>
      <c r="FJL78" s="209"/>
      <c r="FJM78" s="209"/>
      <c r="FJN78" s="209"/>
      <c r="FJO78" s="209"/>
      <c r="FJP78" s="209"/>
      <c r="FJQ78" s="209"/>
      <c r="FJR78" s="209"/>
      <c r="FJS78" s="209"/>
      <c r="FJT78" s="209"/>
      <c r="FJU78" s="209"/>
      <c r="FJV78" s="209"/>
      <c r="FJW78" s="209"/>
      <c r="FJX78" s="209"/>
      <c r="FJY78" s="209"/>
      <c r="FJZ78" s="209"/>
      <c r="FKA78" s="209"/>
      <c r="FKB78" s="209"/>
      <c r="FKC78" s="209"/>
      <c r="FKD78" s="209"/>
      <c r="FKE78" s="209"/>
      <c r="FKF78" s="209"/>
      <c r="FKG78" s="209"/>
      <c r="FKH78" s="209"/>
      <c r="FKI78" s="209"/>
      <c r="FKJ78" s="209"/>
      <c r="FKK78" s="209"/>
      <c r="FKL78" s="209"/>
      <c r="FKM78" s="209"/>
      <c r="FKN78" s="209"/>
      <c r="FKO78" s="209"/>
      <c r="FKP78" s="209"/>
      <c r="FKQ78" s="209"/>
      <c r="FKR78" s="209"/>
      <c r="FKS78" s="209"/>
      <c r="FKT78" s="209"/>
      <c r="FKU78" s="209"/>
      <c r="FKV78" s="209"/>
      <c r="FKW78" s="209"/>
      <c r="FKX78" s="209"/>
      <c r="FKY78" s="209"/>
      <c r="FKZ78" s="209"/>
      <c r="FLA78" s="209"/>
      <c r="FLB78" s="209"/>
      <c r="FLC78" s="209"/>
      <c r="FLD78" s="209"/>
      <c r="FLE78" s="209"/>
      <c r="FLF78" s="209"/>
      <c r="FLG78" s="209"/>
      <c r="FLH78" s="209"/>
      <c r="FLI78" s="209"/>
      <c r="FLJ78" s="209"/>
      <c r="FLK78" s="209"/>
      <c r="FLL78" s="209"/>
      <c r="FLM78" s="209"/>
      <c r="FLN78" s="209"/>
      <c r="FLO78" s="209"/>
      <c r="FLP78" s="209"/>
      <c r="FLQ78" s="209"/>
      <c r="FLR78" s="209"/>
      <c r="FLS78" s="209"/>
      <c r="FLT78" s="209"/>
      <c r="FLU78" s="209"/>
      <c r="FLV78" s="209"/>
      <c r="FLW78" s="209"/>
      <c r="FLX78" s="209"/>
      <c r="FLY78" s="209"/>
      <c r="FLZ78" s="209"/>
      <c r="FMA78" s="209"/>
      <c r="FMB78" s="209"/>
      <c r="FMC78" s="209"/>
      <c r="FMD78" s="209"/>
      <c r="FME78" s="209"/>
      <c r="FMF78" s="209"/>
      <c r="FMG78" s="209"/>
      <c r="FMH78" s="209"/>
      <c r="FMI78" s="209"/>
      <c r="FMJ78" s="209"/>
      <c r="FMK78" s="209"/>
      <c r="FML78" s="209"/>
      <c r="FMM78" s="209"/>
      <c r="FMN78" s="209"/>
      <c r="FMO78" s="209"/>
      <c r="FMP78" s="209"/>
      <c r="FMQ78" s="209"/>
      <c r="FMR78" s="209"/>
      <c r="FMS78" s="209"/>
      <c r="FMT78" s="209"/>
      <c r="FMU78" s="209"/>
      <c r="FMV78" s="209"/>
      <c r="FMW78" s="209"/>
      <c r="FMX78" s="209"/>
      <c r="FMY78" s="209"/>
      <c r="FMZ78" s="209"/>
      <c r="FNA78" s="209"/>
      <c r="FNB78" s="209"/>
      <c r="FNC78" s="209"/>
      <c r="FND78" s="209"/>
      <c r="FNE78" s="209"/>
      <c r="FNF78" s="209"/>
      <c r="FNG78" s="209"/>
      <c r="FNH78" s="209"/>
      <c r="FNI78" s="209"/>
      <c r="FNJ78" s="209"/>
      <c r="FNK78" s="209"/>
      <c r="FNL78" s="209"/>
      <c r="FNM78" s="209"/>
      <c r="FNN78" s="209"/>
      <c r="FNO78" s="209"/>
      <c r="FNP78" s="209"/>
      <c r="FNQ78" s="209"/>
      <c r="FNR78" s="209"/>
      <c r="FNS78" s="209"/>
      <c r="FNT78" s="209"/>
      <c r="FNU78" s="209"/>
      <c r="FNV78" s="209"/>
      <c r="FNW78" s="209"/>
      <c r="FNX78" s="209"/>
      <c r="FNY78" s="209"/>
      <c r="FNZ78" s="209"/>
      <c r="FOA78" s="209"/>
      <c r="FOB78" s="209"/>
      <c r="FOC78" s="209"/>
      <c r="FOD78" s="209"/>
      <c r="FOE78" s="209"/>
      <c r="FOF78" s="209"/>
      <c r="FOG78" s="209"/>
      <c r="FOH78" s="209"/>
      <c r="FOI78" s="209"/>
      <c r="FOJ78" s="209"/>
      <c r="FOK78" s="209"/>
      <c r="FOL78" s="209"/>
      <c r="FOM78" s="209"/>
      <c r="FON78" s="209"/>
      <c r="FOO78" s="209"/>
      <c r="FOP78" s="209"/>
      <c r="FOQ78" s="209"/>
      <c r="FOR78" s="209"/>
      <c r="FOS78" s="209"/>
      <c r="FOT78" s="209"/>
      <c r="FOU78" s="209"/>
      <c r="FOV78" s="209"/>
      <c r="FOW78" s="209"/>
      <c r="FOX78" s="209"/>
      <c r="FOY78" s="209"/>
      <c r="FOZ78" s="209"/>
      <c r="FPA78" s="209"/>
      <c r="FPB78" s="209"/>
      <c r="FPC78" s="209"/>
      <c r="FPD78" s="209"/>
      <c r="FPE78" s="209"/>
      <c r="FPF78" s="209"/>
      <c r="FPG78" s="209"/>
      <c r="FPH78" s="209"/>
      <c r="FPI78" s="209"/>
      <c r="FPJ78" s="209"/>
      <c r="FPK78" s="209"/>
      <c r="FPL78" s="209"/>
      <c r="FPM78" s="209"/>
      <c r="FPN78" s="209"/>
      <c r="FPO78" s="209"/>
      <c r="FPP78" s="209"/>
      <c r="FPQ78" s="209"/>
      <c r="FPR78" s="209"/>
      <c r="FPS78" s="209"/>
      <c r="FPT78" s="209"/>
      <c r="FPU78" s="209"/>
      <c r="FPV78" s="209"/>
      <c r="FPW78" s="209"/>
      <c r="FPX78" s="209"/>
      <c r="FPY78" s="209"/>
      <c r="FPZ78" s="209"/>
      <c r="FQA78" s="209"/>
      <c r="FQB78" s="209"/>
      <c r="FQC78" s="209"/>
      <c r="FQD78" s="209"/>
      <c r="FQE78" s="209"/>
      <c r="FQF78" s="209"/>
      <c r="FQG78" s="209"/>
      <c r="FQH78" s="209"/>
      <c r="FQI78" s="209"/>
      <c r="FQJ78" s="209"/>
      <c r="FQK78" s="209"/>
      <c r="FQL78" s="209"/>
      <c r="FQM78" s="209"/>
      <c r="FQN78" s="209"/>
      <c r="FQO78" s="209"/>
      <c r="FQP78" s="209"/>
      <c r="FQQ78" s="209"/>
      <c r="FQR78" s="209"/>
      <c r="FQS78" s="209"/>
      <c r="FQT78" s="209"/>
      <c r="FQU78" s="209"/>
      <c r="FQV78" s="209"/>
      <c r="FQW78" s="209"/>
      <c r="FQX78" s="209"/>
      <c r="FQY78" s="209"/>
      <c r="FQZ78" s="209"/>
      <c r="FRA78" s="209"/>
      <c r="FRB78" s="209"/>
      <c r="FRC78" s="209"/>
      <c r="FRD78" s="209"/>
      <c r="FRE78" s="209"/>
      <c r="FRF78" s="209"/>
      <c r="FRG78" s="209"/>
      <c r="FRH78" s="209"/>
      <c r="FRI78" s="209"/>
      <c r="FRJ78" s="209"/>
      <c r="FRK78" s="209"/>
      <c r="FRL78" s="209"/>
      <c r="FRM78" s="209"/>
      <c r="FRN78" s="209"/>
      <c r="FRO78" s="209"/>
      <c r="FRP78" s="209"/>
      <c r="FRQ78" s="209"/>
      <c r="FRR78" s="209"/>
      <c r="FRS78" s="209"/>
      <c r="FRT78" s="209"/>
      <c r="FRU78" s="209"/>
      <c r="FRV78" s="209"/>
      <c r="FRW78" s="209"/>
      <c r="FRX78" s="209"/>
      <c r="FRY78" s="209"/>
      <c r="FRZ78" s="209"/>
      <c r="FSA78" s="209"/>
      <c r="FSB78" s="209"/>
      <c r="FSC78" s="209"/>
      <c r="FSD78" s="209"/>
      <c r="FSE78" s="209"/>
      <c r="FSF78" s="209"/>
      <c r="FSG78" s="209"/>
      <c r="FSH78" s="209"/>
      <c r="FSI78" s="209"/>
      <c r="FSJ78" s="209"/>
      <c r="FSK78" s="209"/>
      <c r="FSL78" s="209"/>
      <c r="FSM78" s="209"/>
      <c r="FSN78" s="209"/>
      <c r="FSO78" s="209"/>
      <c r="FSP78" s="209"/>
      <c r="FSQ78" s="209"/>
      <c r="FSR78" s="209"/>
      <c r="FSS78" s="209"/>
      <c r="FST78" s="209"/>
      <c r="FSU78" s="209"/>
      <c r="FSV78" s="209"/>
      <c r="FSW78" s="209"/>
      <c r="FSX78" s="209"/>
      <c r="FSY78" s="209"/>
      <c r="FSZ78" s="209"/>
      <c r="FTA78" s="209"/>
      <c r="FTB78" s="209"/>
      <c r="FTC78" s="209"/>
      <c r="FTD78" s="209"/>
      <c r="FTE78" s="209"/>
      <c r="FTF78" s="209"/>
      <c r="FTG78" s="209"/>
      <c r="FTH78" s="209"/>
      <c r="FTI78" s="209"/>
      <c r="FTJ78" s="209"/>
      <c r="FTK78" s="209"/>
      <c r="FTL78" s="209"/>
      <c r="FTM78" s="209"/>
      <c r="FTN78" s="209"/>
      <c r="FTO78" s="209"/>
      <c r="FTP78" s="209"/>
      <c r="FTQ78" s="209"/>
      <c r="FTR78" s="209"/>
      <c r="FTS78" s="209"/>
      <c r="FTT78" s="209"/>
      <c r="FTU78" s="209"/>
      <c r="FTV78" s="209"/>
      <c r="FTW78" s="209"/>
      <c r="FTX78" s="209"/>
      <c r="FTY78" s="209"/>
      <c r="FTZ78" s="209"/>
      <c r="FUA78" s="209"/>
      <c r="FUB78" s="209"/>
      <c r="FUC78" s="209"/>
      <c r="FUD78" s="209"/>
      <c r="FUE78" s="209"/>
      <c r="FUF78" s="209"/>
      <c r="FUG78" s="209"/>
      <c r="FUH78" s="209"/>
      <c r="FUI78" s="209"/>
      <c r="FUJ78" s="209"/>
      <c r="FUK78" s="209"/>
      <c r="FUL78" s="209"/>
      <c r="FUM78" s="209"/>
      <c r="FUN78" s="209"/>
      <c r="FUO78" s="209"/>
      <c r="FUP78" s="209"/>
      <c r="FUQ78" s="209"/>
      <c r="FUR78" s="209"/>
      <c r="FUS78" s="209"/>
      <c r="FUT78" s="209"/>
      <c r="FUU78" s="209"/>
      <c r="FUV78" s="209"/>
      <c r="FUW78" s="209"/>
      <c r="FUX78" s="209"/>
      <c r="FUY78" s="209"/>
      <c r="FUZ78" s="209"/>
      <c r="FVA78" s="209"/>
      <c r="FVB78" s="209"/>
      <c r="FVC78" s="209"/>
      <c r="FVD78" s="209"/>
      <c r="FVE78" s="209"/>
      <c r="FVF78" s="209"/>
      <c r="FVG78" s="209"/>
      <c r="FVH78" s="209"/>
      <c r="FVI78" s="209"/>
      <c r="FVJ78" s="209"/>
      <c r="FVK78" s="209"/>
      <c r="FVL78" s="209"/>
      <c r="FVM78" s="209"/>
      <c r="FVN78" s="209"/>
      <c r="FVO78" s="209"/>
      <c r="FVP78" s="209"/>
      <c r="FVQ78" s="209"/>
      <c r="FVR78" s="209"/>
      <c r="FVS78" s="209"/>
      <c r="FVT78" s="209"/>
      <c r="FVU78" s="209"/>
      <c r="FVV78" s="209"/>
      <c r="FVW78" s="209"/>
      <c r="FVX78" s="209"/>
      <c r="FVY78" s="209"/>
      <c r="FVZ78" s="209"/>
      <c r="FWA78" s="209"/>
      <c r="FWB78" s="209"/>
      <c r="FWC78" s="209"/>
      <c r="FWD78" s="209"/>
      <c r="FWE78" s="209"/>
      <c r="FWF78" s="209"/>
      <c r="FWG78" s="209"/>
      <c r="FWH78" s="209"/>
      <c r="FWI78" s="209"/>
      <c r="FWJ78" s="209"/>
      <c r="FWK78" s="209"/>
      <c r="FWL78" s="209"/>
      <c r="FWM78" s="209"/>
      <c r="FWN78" s="209"/>
      <c r="FWO78" s="209"/>
      <c r="FWP78" s="209"/>
      <c r="FWQ78" s="209"/>
      <c r="FWR78" s="209"/>
      <c r="FWS78" s="209"/>
      <c r="FWT78" s="209"/>
      <c r="FWU78" s="209"/>
      <c r="FWV78" s="209"/>
      <c r="FWW78" s="209"/>
      <c r="FWX78" s="209"/>
      <c r="FWY78" s="209"/>
      <c r="FWZ78" s="209"/>
      <c r="FXA78" s="209"/>
      <c r="FXB78" s="209"/>
      <c r="FXC78" s="209"/>
      <c r="FXD78" s="209"/>
      <c r="FXE78" s="209"/>
      <c r="FXF78" s="209"/>
      <c r="FXG78" s="209"/>
      <c r="FXH78" s="209"/>
      <c r="FXI78" s="209"/>
      <c r="FXJ78" s="209"/>
      <c r="FXK78" s="209"/>
      <c r="FXL78" s="209"/>
      <c r="FXM78" s="209"/>
      <c r="FXN78" s="209"/>
      <c r="FXO78" s="209"/>
      <c r="FXP78" s="209"/>
      <c r="FXQ78" s="209"/>
      <c r="FXR78" s="209"/>
      <c r="FXS78" s="209"/>
      <c r="FXT78" s="209"/>
      <c r="FXU78" s="209"/>
      <c r="FXV78" s="209"/>
      <c r="FXW78" s="209"/>
      <c r="FXX78" s="209"/>
      <c r="FXY78" s="209"/>
      <c r="FXZ78" s="209"/>
      <c r="FYA78" s="209"/>
      <c r="FYB78" s="209"/>
      <c r="FYC78" s="209"/>
      <c r="FYD78" s="209"/>
      <c r="FYE78" s="209"/>
      <c r="FYF78" s="209"/>
      <c r="FYG78" s="209"/>
      <c r="FYH78" s="209"/>
      <c r="FYI78" s="209"/>
      <c r="FYJ78" s="209"/>
      <c r="FYK78" s="209"/>
      <c r="FYL78" s="209"/>
      <c r="FYM78" s="209"/>
      <c r="FYN78" s="209"/>
      <c r="FYO78" s="209"/>
      <c r="FYP78" s="209"/>
      <c r="FYQ78" s="209"/>
      <c r="FYR78" s="209"/>
      <c r="FYS78" s="209"/>
      <c r="FYT78" s="209"/>
      <c r="FYU78" s="209"/>
      <c r="FYV78" s="209"/>
      <c r="FYW78" s="209"/>
      <c r="FYX78" s="209"/>
      <c r="FYY78" s="209"/>
      <c r="FYZ78" s="209"/>
      <c r="FZA78" s="209"/>
      <c r="FZB78" s="209"/>
      <c r="FZC78" s="209"/>
      <c r="FZD78" s="209"/>
      <c r="FZE78" s="209"/>
      <c r="FZF78" s="209"/>
      <c r="FZG78" s="209"/>
      <c r="FZH78" s="209"/>
      <c r="FZI78" s="209"/>
      <c r="FZJ78" s="209"/>
      <c r="FZK78" s="209"/>
      <c r="FZL78" s="209"/>
      <c r="FZM78" s="209"/>
      <c r="FZN78" s="209"/>
      <c r="FZO78" s="209"/>
      <c r="FZP78" s="209"/>
      <c r="FZQ78" s="209"/>
      <c r="FZR78" s="209"/>
      <c r="FZS78" s="209"/>
      <c r="FZT78" s="209"/>
      <c r="FZU78" s="209"/>
      <c r="FZV78" s="209"/>
      <c r="FZW78" s="209"/>
      <c r="FZX78" s="209"/>
      <c r="FZY78" s="209"/>
      <c r="FZZ78" s="209"/>
      <c r="GAA78" s="209"/>
      <c r="GAB78" s="209"/>
      <c r="GAC78" s="209"/>
      <c r="GAD78" s="209"/>
      <c r="GAE78" s="209"/>
      <c r="GAF78" s="209"/>
      <c r="GAG78" s="209"/>
      <c r="GAH78" s="209"/>
      <c r="GAI78" s="209"/>
      <c r="GAJ78" s="209"/>
      <c r="GAK78" s="209"/>
      <c r="GAL78" s="209"/>
      <c r="GAM78" s="209"/>
      <c r="GAN78" s="209"/>
      <c r="GAO78" s="209"/>
      <c r="GAP78" s="209"/>
      <c r="GAQ78" s="209"/>
      <c r="GAR78" s="209"/>
      <c r="GAS78" s="209"/>
      <c r="GAT78" s="209"/>
      <c r="GAU78" s="209"/>
      <c r="GAV78" s="209"/>
      <c r="GAW78" s="209"/>
      <c r="GAX78" s="209"/>
      <c r="GAY78" s="209"/>
      <c r="GAZ78" s="209"/>
      <c r="GBA78" s="209"/>
      <c r="GBB78" s="209"/>
      <c r="GBC78" s="209"/>
      <c r="GBD78" s="209"/>
      <c r="GBE78" s="209"/>
      <c r="GBF78" s="209"/>
      <c r="GBG78" s="209"/>
      <c r="GBH78" s="209"/>
      <c r="GBI78" s="209"/>
      <c r="GBJ78" s="209"/>
      <c r="GBK78" s="209"/>
      <c r="GBL78" s="209"/>
      <c r="GBM78" s="209"/>
      <c r="GBN78" s="209"/>
      <c r="GBO78" s="209"/>
      <c r="GBP78" s="209"/>
      <c r="GBQ78" s="209"/>
      <c r="GBR78" s="209"/>
      <c r="GBS78" s="209"/>
      <c r="GBT78" s="209"/>
      <c r="GBU78" s="209"/>
      <c r="GBV78" s="209"/>
      <c r="GBW78" s="209"/>
      <c r="GBX78" s="209"/>
      <c r="GBY78" s="209"/>
      <c r="GBZ78" s="209"/>
      <c r="GCA78" s="209"/>
      <c r="GCB78" s="209"/>
      <c r="GCC78" s="209"/>
      <c r="GCD78" s="209"/>
      <c r="GCE78" s="209"/>
      <c r="GCF78" s="209"/>
      <c r="GCG78" s="209"/>
      <c r="GCH78" s="209"/>
      <c r="GCI78" s="209"/>
      <c r="GCJ78" s="209"/>
      <c r="GCK78" s="209"/>
      <c r="GCL78" s="209"/>
      <c r="GCM78" s="209"/>
      <c r="GCN78" s="209"/>
      <c r="GCO78" s="209"/>
      <c r="GCP78" s="209"/>
      <c r="GCQ78" s="209"/>
      <c r="GCR78" s="209"/>
      <c r="GCS78" s="209"/>
      <c r="GCT78" s="209"/>
      <c r="GCU78" s="209"/>
      <c r="GCV78" s="209"/>
      <c r="GCW78" s="209"/>
      <c r="GCX78" s="209"/>
      <c r="GCY78" s="209"/>
      <c r="GCZ78" s="209"/>
      <c r="GDA78" s="209"/>
      <c r="GDB78" s="209"/>
      <c r="GDC78" s="209"/>
      <c r="GDD78" s="209"/>
      <c r="GDE78" s="209"/>
      <c r="GDF78" s="209"/>
      <c r="GDG78" s="209"/>
      <c r="GDH78" s="209"/>
      <c r="GDI78" s="209"/>
      <c r="GDJ78" s="209"/>
      <c r="GDK78" s="209"/>
      <c r="GDL78" s="209"/>
      <c r="GDM78" s="209"/>
      <c r="GDN78" s="209"/>
      <c r="GDO78" s="209"/>
      <c r="GDP78" s="209"/>
      <c r="GDQ78" s="209"/>
      <c r="GDR78" s="209"/>
      <c r="GDS78" s="209"/>
      <c r="GDT78" s="209"/>
      <c r="GDU78" s="209"/>
      <c r="GDV78" s="209"/>
      <c r="GDW78" s="209"/>
      <c r="GDX78" s="209"/>
      <c r="GDY78" s="209"/>
      <c r="GDZ78" s="209"/>
      <c r="GEA78" s="209"/>
      <c r="GEB78" s="209"/>
      <c r="GEC78" s="209"/>
      <c r="GED78" s="209"/>
      <c r="GEE78" s="209"/>
      <c r="GEF78" s="209"/>
      <c r="GEG78" s="209"/>
      <c r="GEH78" s="209"/>
      <c r="GEI78" s="209"/>
      <c r="GEJ78" s="209"/>
      <c r="GEK78" s="209"/>
      <c r="GEL78" s="209"/>
      <c r="GEM78" s="209"/>
      <c r="GEN78" s="209"/>
      <c r="GEO78" s="209"/>
      <c r="GEP78" s="209"/>
      <c r="GEQ78" s="209"/>
      <c r="GER78" s="209"/>
      <c r="GES78" s="209"/>
      <c r="GET78" s="209"/>
      <c r="GEU78" s="209"/>
      <c r="GEV78" s="209"/>
      <c r="GEW78" s="209"/>
      <c r="GEX78" s="209"/>
      <c r="GEY78" s="209"/>
      <c r="GEZ78" s="209"/>
      <c r="GFA78" s="209"/>
      <c r="GFB78" s="209"/>
      <c r="GFC78" s="209"/>
      <c r="GFD78" s="209"/>
      <c r="GFE78" s="209"/>
      <c r="GFF78" s="209"/>
      <c r="GFG78" s="209"/>
      <c r="GFH78" s="209"/>
      <c r="GFI78" s="209"/>
      <c r="GFJ78" s="209"/>
      <c r="GFK78" s="209"/>
      <c r="GFL78" s="209"/>
      <c r="GFM78" s="209"/>
      <c r="GFN78" s="209"/>
      <c r="GFO78" s="209"/>
      <c r="GFP78" s="209"/>
      <c r="GFQ78" s="209"/>
      <c r="GFR78" s="209"/>
      <c r="GFS78" s="209"/>
      <c r="GFT78" s="209"/>
      <c r="GFU78" s="209"/>
      <c r="GFV78" s="209"/>
      <c r="GFW78" s="209"/>
      <c r="GFX78" s="209"/>
      <c r="GFY78" s="209"/>
      <c r="GFZ78" s="209"/>
      <c r="GGA78" s="209"/>
      <c r="GGB78" s="209"/>
      <c r="GGC78" s="209"/>
      <c r="GGD78" s="209"/>
      <c r="GGE78" s="209"/>
      <c r="GGF78" s="209"/>
      <c r="GGG78" s="209"/>
      <c r="GGH78" s="209"/>
      <c r="GGI78" s="209"/>
      <c r="GGJ78" s="209"/>
      <c r="GGK78" s="209"/>
      <c r="GGL78" s="209"/>
      <c r="GGM78" s="209"/>
      <c r="GGN78" s="209"/>
      <c r="GGO78" s="209"/>
      <c r="GGP78" s="209"/>
      <c r="GGQ78" s="209"/>
      <c r="GGR78" s="209"/>
      <c r="GGS78" s="209"/>
      <c r="GGT78" s="209"/>
      <c r="GGU78" s="209"/>
      <c r="GGV78" s="209"/>
      <c r="GGW78" s="209"/>
      <c r="GGX78" s="209"/>
      <c r="GGY78" s="209"/>
      <c r="GGZ78" s="209"/>
      <c r="GHA78" s="209"/>
      <c r="GHB78" s="209"/>
      <c r="GHC78" s="209"/>
      <c r="GHD78" s="209"/>
      <c r="GHE78" s="209"/>
      <c r="GHF78" s="209"/>
      <c r="GHG78" s="209"/>
      <c r="GHH78" s="209"/>
      <c r="GHI78" s="209"/>
      <c r="GHJ78" s="209"/>
      <c r="GHK78" s="209"/>
      <c r="GHL78" s="209"/>
      <c r="GHM78" s="209"/>
      <c r="GHN78" s="209"/>
      <c r="GHO78" s="209"/>
      <c r="GHP78" s="209"/>
      <c r="GHQ78" s="209"/>
      <c r="GHR78" s="209"/>
      <c r="GHS78" s="209"/>
      <c r="GHT78" s="209"/>
      <c r="GHU78" s="209"/>
      <c r="GHV78" s="209"/>
      <c r="GHW78" s="209"/>
      <c r="GHX78" s="209"/>
      <c r="GHY78" s="209"/>
      <c r="GHZ78" s="209"/>
      <c r="GIA78" s="209"/>
      <c r="GIB78" s="209"/>
      <c r="GIC78" s="209"/>
      <c r="GID78" s="209"/>
      <c r="GIE78" s="209"/>
      <c r="GIF78" s="209"/>
      <c r="GIG78" s="209"/>
      <c r="GIH78" s="209"/>
      <c r="GII78" s="209"/>
      <c r="GIJ78" s="209"/>
      <c r="GIK78" s="209"/>
      <c r="GIL78" s="209"/>
      <c r="GIM78" s="209"/>
      <c r="GIN78" s="209"/>
      <c r="GIO78" s="209"/>
      <c r="GIP78" s="209"/>
      <c r="GIQ78" s="209"/>
      <c r="GIR78" s="209"/>
      <c r="GIS78" s="209"/>
      <c r="GIT78" s="209"/>
      <c r="GIU78" s="209"/>
      <c r="GIV78" s="209"/>
      <c r="GIW78" s="209"/>
      <c r="GIX78" s="209"/>
      <c r="GIY78" s="209"/>
      <c r="GIZ78" s="209"/>
      <c r="GJA78" s="209"/>
      <c r="GJB78" s="209"/>
      <c r="GJC78" s="209"/>
      <c r="GJD78" s="209"/>
      <c r="GJE78" s="209"/>
      <c r="GJF78" s="209"/>
      <c r="GJG78" s="209"/>
      <c r="GJH78" s="209"/>
      <c r="GJI78" s="209"/>
      <c r="GJJ78" s="209"/>
      <c r="GJK78" s="209"/>
      <c r="GJL78" s="209"/>
      <c r="GJM78" s="209"/>
      <c r="GJN78" s="209"/>
      <c r="GJO78" s="209"/>
      <c r="GJP78" s="209"/>
      <c r="GJQ78" s="209"/>
      <c r="GJR78" s="209"/>
      <c r="GJS78" s="209"/>
      <c r="GJT78" s="209"/>
      <c r="GJU78" s="209"/>
      <c r="GJV78" s="209"/>
      <c r="GJW78" s="209"/>
      <c r="GJX78" s="209"/>
      <c r="GJY78" s="209"/>
      <c r="GJZ78" s="209"/>
      <c r="GKA78" s="209"/>
      <c r="GKB78" s="209"/>
      <c r="GKC78" s="209"/>
      <c r="GKD78" s="209"/>
      <c r="GKE78" s="209"/>
      <c r="GKF78" s="209"/>
      <c r="GKG78" s="209"/>
      <c r="GKH78" s="209"/>
      <c r="GKI78" s="209"/>
      <c r="GKJ78" s="209"/>
      <c r="GKK78" s="209"/>
      <c r="GKL78" s="209"/>
      <c r="GKM78" s="209"/>
      <c r="GKN78" s="209"/>
      <c r="GKO78" s="209"/>
      <c r="GKP78" s="209"/>
      <c r="GKQ78" s="209"/>
      <c r="GKR78" s="209"/>
      <c r="GKS78" s="209"/>
      <c r="GKT78" s="209"/>
      <c r="GKU78" s="209"/>
      <c r="GKV78" s="209"/>
      <c r="GKW78" s="209"/>
      <c r="GKX78" s="209"/>
      <c r="GKY78" s="209"/>
      <c r="GKZ78" s="209"/>
      <c r="GLA78" s="209"/>
      <c r="GLB78" s="209"/>
      <c r="GLC78" s="209"/>
      <c r="GLD78" s="209"/>
      <c r="GLE78" s="209"/>
      <c r="GLF78" s="209"/>
      <c r="GLG78" s="209"/>
      <c r="GLH78" s="209"/>
      <c r="GLI78" s="209"/>
      <c r="GLJ78" s="209"/>
      <c r="GLK78" s="209"/>
      <c r="GLL78" s="209"/>
      <c r="GLM78" s="209"/>
      <c r="GLN78" s="209"/>
      <c r="GLO78" s="209"/>
      <c r="GLP78" s="209"/>
      <c r="GLQ78" s="209"/>
      <c r="GLR78" s="209"/>
      <c r="GLS78" s="209"/>
      <c r="GLT78" s="209"/>
      <c r="GLU78" s="209"/>
      <c r="GLV78" s="209"/>
      <c r="GLW78" s="209"/>
      <c r="GLX78" s="209"/>
      <c r="GLY78" s="209"/>
      <c r="GLZ78" s="209"/>
      <c r="GMA78" s="209"/>
      <c r="GMB78" s="209"/>
      <c r="GMC78" s="209"/>
      <c r="GMD78" s="209"/>
      <c r="GME78" s="209"/>
      <c r="GMF78" s="209"/>
      <c r="GMG78" s="209"/>
      <c r="GMH78" s="209"/>
      <c r="GMI78" s="209"/>
      <c r="GMJ78" s="209"/>
      <c r="GMK78" s="209"/>
      <c r="GML78" s="209"/>
      <c r="GMM78" s="209"/>
      <c r="GMN78" s="209"/>
      <c r="GMO78" s="209"/>
      <c r="GMP78" s="209"/>
      <c r="GMQ78" s="209"/>
      <c r="GMR78" s="209"/>
      <c r="GMS78" s="209"/>
      <c r="GMT78" s="209"/>
      <c r="GMU78" s="209"/>
      <c r="GMV78" s="209"/>
      <c r="GMW78" s="209"/>
      <c r="GMX78" s="209"/>
      <c r="GMY78" s="209"/>
      <c r="GMZ78" s="209"/>
      <c r="GNA78" s="209"/>
      <c r="GNB78" s="209"/>
      <c r="GNC78" s="209"/>
      <c r="GND78" s="209"/>
      <c r="GNE78" s="209"/>
      <c r="GNF78" s="209"/>
      <c r="GNG78" s="209"/>
      <c r="GNH78" s="209"/>
      <c r="GNI78" s="209"/>
      <c r="GNJ78" s="209"/>
      <c r="GNK78" s="209"/>
      <c r="GNL78" s="209"/>
      <c r="GNM78" s="209"/>
      <c r="GNN78" s="209"/>
      <c r="GNO78" s="209"/>
      <c r="GNP78" s="209"/>
      <c r="GNQ78" s="209"/>
      <c r="GNR78" s="209"/>
      <c r="GNS78" s="209"/>
      <c r="GNT78" s="209"/>
      <c r="GNU78" s="209"/>
      <c r="GNV78" s="209"/>
      <c r="GNW78" s="209"/>
      <c r="GNX78" s="209"/>
      <c r="GNY78" s="209"/>
      <c r="GNZ78" s="209"/>
      <c r="GOA78" s="209"/>
      <c r="GOB78" s="209"/>
      <c r="GOC78" s="209"/>
      <c r="GOD78" s="209"/>
      <c r="GOE78" s="209"/>
      <c r="GOF78" s="209"/>
      <c r="GOG78" s="209"/>
      <c r="GOH78" s="209"/>
      <c r="GOI78" s="209"/>
      <c r="GOJ78" s="209"/>
      <c r="GOK78" s="209"/>
      <c r="GOL78" s="209"/>
      <c r="GOM78" s="209"/>
      <c r="GON78" s="209"/>
      <c r="GOO78" s="209"/>
      <c r="GOP78" s="209"/>
      <c r="GOQ78" s="209"/>
      <c r="GOR78" s="209"/>
      <c r="GOS78" s="209"/>
      <c r="GOT78" s="209"/>
      <c r="GOU78" s="209"/>
      <c r="GOV78" s="209"/>
      <c r="GOW78" s="209"/>
      <c r="GOX78" s="209"/>
      <c r="GOY78" s="209"/>
      <c r="GOZ78" s="209"/>
      <c r="GPA78" s="209"/>
      <c r="GPB78" s="209"/>
      <c r="GPC78" s="209"/>
      <c r="GPD78" s="209"/>
      <c r="GPE78" s="209"/>
      <c r="GPF78" s="209"/>
      <c r="GPG78" s="209"/>
      <c r="GPH78" s="209"/>
      <c r="GPI78" s="209"/>
      <c r="GPJ78" s="209"/>
      <c r="GPK78" s="209"/>
      <c r="GPL78" s="209"/>
      <c r="GPM78" s="209"/>
      <c r="GPN78" s="209"/>
      <c r="GPO78" s="209"/>
      <c r="GPP78" s="209"/>
      <c r="GPQ78" s="209"/>
      <c r="GPR78" s="209"/>
      <c r="GPS78" s="209"/>
      <c r="GPT78" s="209"/>
      <c r="GPU78" s="209"/>
      <c r="GPV78" s="209"/>
      <c r="GPW78" s="209"/>
      <c r="GPX78" s="209"/>
      <c r="GPY78" s="209"/>
      <c r="GPZ78" s="209"/>
      <c r="GQA78" s="209"/>
      <c r="GQB78" s="209"/>
      <c r="GQC78" s="209"/>
      <c r="GQD78" s="209"/>
      <c r="GQE78" s="209"/>
      <c r="GQF78" s="209"/>
      <c r="GQG78" s="209"/>
      <c r="GQH78" s="209"/>
      <c r="GQI78" s="209"/>
      <c r="GQJ78" s="209"/>
      <c r="GQK78" s="209"/>
      <c r="GQL78" s="209"/>
      <c r="GQM78" s="209"/>
      <c r="GQN78" s="209"/>
      <c r="GQO78" s="209"/>
      <c r="GQP78" s="209"/>
      <c r="GQQ78" s="209"/>
      <c r="GQR78" s="209"/>
      <c r="GQS78" s="209"/>
      <c r="GQT78" s="209"/>
      <c r="GQU78" s="209"/>
      <c r="GQV78" s="209"/>
      <c r="GQW78" s="209"/>
      <c r="GQX78" s="209"/>
      <c r="GQY78" s="209"/>
      <c r="GQZ78" s="209"/>
      <c r="GRA78" s="209"/>
      <c r="GRB78" s="209"/>
      <c r="GRC78" s="209"/>
      <c r="GRD78" s="209"/>
      <c r="GRE78" s="209"/>
      <c r="GRF78" s="209"/>
      <c r="GRG78" s="209"/>
      <c r="GRH78" s="209"/>
      <c r="GRI78" s="209"/>
      <c r="GRJ78" s="209"/>
      <c r="GRK78" s="209"/>
      <c r="GRL78" s="209"/>
      <c r="GRM78" s="209"/>
      <c r="GRN78" s="209"/>
      <c r="GRO78" s="209"/>
      <c r="GRP78" s="209"/>
      <c r="GRQ78" s="209"/>
      <c r="GRR78" s="209"/>
      <c r="GRS78" s="209"/>
      <c r="GRT78" s="209"/>
      <c r="GRU78" s="209"/>
      <c r="GRV78" s="209"/>
      <c r="GRW78" s="209"/>
      <c r="GRX78" s="209"/>
      <c r="GRY78" s="209"/>
      <c r="GRZ78" s="209"/>
      <c r="GSA78" s="209"/>
      <c r="GSB78" s="209"/>
      <c r="GSC78" s="209"/>
      <c r="GSD78" s="209"/>
      <c r="GSE78" s="209"/>
      <c r="GSF78" s="209"/>
      <c r="GSG78" s="209"/>
      <c r="GSH78" s="209"/>
      <c r="GSI78" s="209"/>
      <c r="GSJ78" s="209"/>
      <c r="GSK78" s="209"/>
      <c r="GSL78" s="209"/>
      <c r="GSM78" s="209"/>
      <c r="GSN78" s="209"/>
      <c r="GSO78" s="209"/>
      <c r="GSP78" s="209"/>
      <c r="GSQ78" s="209"/>
      <c r="GSR78" s="209"/>
      <c r="GSS78" s="209"/>
      <c r="GST78" s="209"/>
      <c r="GSU78" s="209"/>
      <c r="GSV78" s="209"/>
      <c r="GSW78" s="209"/>
      <c r="GSX78" s="209"/>
      <c r="GSY78" s="209"/>
      <c r="GSZ78" s="209"/>
      <c r="GTA78" s="209"/>
      <c r="GTB78" s="209"/>
      <c r="GTC78" s="209"/>
      <c r="GTD78" s="209"/>
      <c r="GTE78" s="209"/>
      <c r="GTF78" s="209"/>
      <c r="GTG78" s="209"/>
      <c r="GTH78" s="209"/>
      <c r="GTI78" s="209"/>
      <c r="GTJ78" s="209"/>
      <c r="GTK78" s="209"/>
      <c r="GTL78" s="209"/>
      <c r="GTM78" s="209"/>
      <c r="GTN78" s="209"/>
      <c r="GTO78" s="209"/>
      <c r="GTP78" s="209"/>
      <c r="GTQ78" s="209"/>
      <c r="GTR78" s="209"/>
      <c r="GTS78" s="209"/>
      <c r="GTT78" s="209"/>
      <c r="GTU78" s="209"/>
      <c r="GTV78" s="209"/>
      <c r="GTW78" s="209"/>
      <c r="GTX78" s="209"/>
      <c r="GTY78" s="209"/>
      <c r="GTZ78" s="209"/>
      <c r="GUA78" s="209"/>
      <c r="GUB78" s="209"/>
      <c r="GUC78" s="209"/>
      <c r="GUD78" s="209"/>
      <c r="GUE78" s="209"/>
      <c r="GUF78" s="209"/>
      <c r="GUG78" s="209"/>
      <c r="GUH78" s="209"/>
      <c r="GUI78" s="209"/>
      <c r="GUJ78" s="209"/>
      <c r="GUK78" s="209"/>
      <c r="GUL78" s="209"/>
      <c r="GUM78" s="209"/>
      <c r="GUN78" s="209"/>
      <c r="GUO78" s="209"/>
      <c r="GUP78" s="209"/>
      <c r="GUQ78" s="209"/>
      <c r="GUR78" s="209"/>
      <c r="GUS78" s="209"/>
      <c r="GUT78" s="209"/>
      <c r="GUU78" s="209"/>
      <c r="GUV78" s="209"/>
      <c r="GUW78" s="209"/>
      <c r="GUX78" s="209"/>
      <c r="GUY78" s="209"/>
      <c r="GUZ78" s="209"/>
      <c r="GVA78" s="209"/>
      <c r="GVB78" s="209"/>
      <c r="GVC78" s="209"/>
      <c r="GVD78" s="209"/>
      <c r="GVE78" s="209"/>
      <c r="GVF78" s="209"/>
      <c r="GVG78" s="209"/>
      <c r="GVH78" s="209"/>
      <c r="GVI78" s="209"/>
      <c r="GVJ78" s="209"/>
      <c r="GVK78" s="209"/>
      <c r="GVL78" s="209"/>
      <c r="GVM78" s="209"/>
      <c r="GVN78" s="209"/>
      <c r="GVO78" s="209"/>
      <c r="GVP78" s="209"/>
      <c r="GVQ78" s="209"/>
      <c r="GVR78" s="209"/>
      <c r="GVS78" s="209"/>
      <c r="GVT78" s="209"/>
      <c r="GVU78" s="209"/>
      <c r="GVV78" s="209"/>
      <c r="GVW78" s="209"/>
      <c r="GVX78" s="209"/>
      <c r="GVY78" s="209"/>
      <c r="GVZ78" s="209"/>
      <c r="GWA78" s="209"/>
      <c r="GWB78" s="209"/>
      <c r="GWC78" s="209"/>
      <c r="GWD78" s="209"/>
      <c r="GWE78" s="209"/>
      <c r="GWF78" s="209"/>
      <c r="GWG78" s="209"/>
      <c r="GWH78" s="209"/>
      <c r="GWI78" s="209"/>
      <c r="GWJ78" s="209"/>
      <c r="GWK78" s="209"/>
      <c r="GWL78" s="209"/>
      <c r="GWM78" s="209"/>
      <c r="GWN78" s="209"/>
      <c r="GWO78" s="209"/>
      <c r="GWP78" s="209"/>
      <c r="GWQ78" s="209"/>
      <c r="GWR78" s="209"/>
      <c r="GWS78" s="209"/>
      <c r="GWT78" s="209"/>
      <c r="GWU78" s="209"/>
      <c r="GWV78" s="209"/>
      <c r="GWW78" s="209"/>
      <c r="GWX78" s="209"/>
      <c r="GWY78" s="209"/>
      <c r="GWZ78" s="209"/>
      <c r="GXA78" s="209"/>
      <c r="GXB78" s="209"/>
      <c r="GXC78" s="209"/>
      <c r="GXD78" s="209"/>
      <c r="GXE78" s="209"/>
      <c r="GXF78" s="209"/>
      <c r="GXG78" s="209"/>
      <c r="GXH78" s="209"/>
      <c r="GXI78" s="209"/>
      <c r="GXJ78" s="209"/>
      <c r="GXK78" s="209"/>
      <c r="GXL78" s="209"/>
      <c r="GXM78" s="209"/>
      <c r="GXN78" s="209"/>
      <c r="GXO78" s="209"/>
      <c r="GXP78" s="209"/>
      <c r="GXQ78" s="209"/>
      <c r="GXR78" s="209"/>
      <c r="GXS78" s="209"/>
      <c r="GXT78" s="209"/>
      <c r="GXU78" s="209"/>
      <c r="GXV78" s="209"/>
      <c r="GXW78" s="209"/>
      <c r="GXX78" s="209"/>
      <c r="GXY78" s="209"/>
      <c r="GXZ78" s="209"/>
      <c r="GYA78" s="209"/>
      <c r="GYB78" s="209"/>
      <c r="GYC78" s="209"/>
      <c r="GYD78" s="209"/>
      <c r="GYE78" s="209"/>
      <c r="GYF78" s="209"/>
      <c r="GYG78" s="209"/>
      <c r="GYH78" s="209"/>
      <c r="GYI78" s="209"/>
      <c r="GYJ78" s="209"/>
      <c r="GYK78" s="209"/>
      <c r="GYL78" s="209"/>
      <c r="GYM78" s="209"/>
      <c r="GYN78" s="209"/>
      <c r="GYO78" s="209"/>
      <c r="GYP78" s="209"/>
      <c r="GYQ78" s="209"/>
      <c r="GYR78" s="209"/>
      <c r="GYS78" s="209"/>
      <c r="GYT78" s="209"/>
      <c r="GYU78" s="209"/>
      <c r="GYV78" s="209"/>
      <c r="GYW78" s="209"/>
      <c r="GYX78" s="209"/>
      <c r="GYY78" s="209"/>
      <c r="GYZ78" s="209"/>
      <c r="GZA78" s="209"/>
      <c r="GZB78" s="209"/>
      <c r="GZC78" s="209"/>
      <c r="GZD78" s="209"/>
      <c r="GZE78" s="209"/>
      <c r="GZF78" s="209"/>
      <c r="GZG78" s="209"/>
      <c r="GZH78" s="209"/>
      <c r="GZI78" s="209"/>
      <c r="GZJ78" s="209"/>
      <c r="GZK78" s="209"/>
      <c r="GZL78" s="209"/>
      <c r="GZM78" s="209"/>
      <c r="GZN78" s="209"/>
      <c r="GZO78" s="209"/>
      <c r="GZP78" s="209"/>
      <c r="GZQ78" s="209"/>
      <c r="GZR78" s="209"/>
      <c r="GZS78" s="209"/>
      <c r="GZT78" s="209"/>
      <c r="GZU78" s="209"/>
      <c r="GZV78" s="209"/>
      <c r="GZW78" s="209"/>
      <c r="GZX78" s="209"/>
      <c r="GZY78" s="209"/>
      <c r="GZZ78" s="209"/>
      <c r="HAA78" s="209"/>
      <c r="HAB78" s="209"/>
      <c r="HAC78" s="209"/>
      <c r="HAD78" s="209"/>
      <c r="HAE78" s="209"/>
      <c r="HAF78" s="209"/>
      <c r="HAG78" s="209"/>
      <c r="HAH78" s="209"/>
      <c r="HAI78" s="209"/>
      <c r="HAJ78" s="209"/>
      <c r="HAK78" s="209"/>
      <c r="HAL78" s="209"/>
      <c r="HAM78" s="209"/>
      <c r="HAN78" s="209"/>
      <c r="HAO78" s="209"/>
      <c r="HAP78" s="209"/>
      <c r="HAQ78" s="209"/>
      <c r="HAR78" s="209"/>
      <c r="HAS78" s="209"/>
      <c r="HAT78" s="209"/>
      <c r="HAU78" s="209"/>
      <c r="HAV78" s="209"/>
      <c r="HAW78" s="209"/>
      <c r="HAX78" s="209"/>
      <c r="HAY78" s="209"/>
      <c r="HAZ78" s="209"/>
      <c r="HBA78" s="209"/>
      <c r="HBB78" s="209"/>
      <c r="HBC78" s="209"/>
      <c r="HBD78" s="209"/>
      <c r="HBE78" s="209"/>
      <c r="HBF78" s="209"/>
      <c r="HBG78" s="209"/>
      <c r="HBH78" s="209"/>
      <c r="HBI78" s="209"/>
      <c r="HBJ78" s="209"/>
      <c r="HBK78" s="209"/>
      <c r="HBL78" s="209"/>
      <c r="HBM78" s="209"/>
      <c r="HBN78" s="209"/>
      <c r="HBO78" s="209"/>
      <c r="HBP78" s="209"/>
      <c r="HBQ78" s="209"/>
      <c r="HBR78" s="209"/>
      <c r="HBS78" s="209"/>
      <c r="HBT78" s="209"/>
      <c r="HBU78" s="209"/>
      <c r="HBV78" s="209"/>
      <c r="HBW78" s="209"/>
      <c r="HBX78" s="209"/>
      <c r="HBY78" s="209"/>
      <c r="HBZ78" s="209"/>
      <c r="HCA78" s="209"/>
      <c r="HCB78" s="209"/>
      <c r="HCC78" s="209"/>
      <c r="HCD78" s="209"/>
      <c r="HCE78" s="209"/>
      <c r="HCF78" s="209"/>
      <c r="HCG78" s="209"/>
      <c r="HCH78" s="209"/>
      <c r="HCI78" s="209"/>
      <c r="HCJ78" s="209"/>
      <c r="HCK78" s="209"/>
      <c r="HCL78" s="209"/>
      <c r="HCM78" s="209"/>
      <c r="HCN78" s="209"/>
      <c r="HCO78" s="209"/>
      <c r="HCP78" s="209"/>
      <c r="HCQ78" s="209"/>
      <c r="HCR78" s="209"/>
      <c r="HCS78" s="209"/>
      <c r="HCT78" s="209"/>
      <c r="HCU78" s="209"/>
      <c r="HCV78" s="209"/>
      <c r="HCW78" s="209"/>
      <c r="HCX78" s="209"/>
      <c r="HCY78" s="209"/>
      <c r="HCZ78" s="209"/>
      <c r="HDA78" s="209"/>
      <c r="HDB78" s="209"/>
      <c r="HDC78" s="209"/>
      <c r="HDD78" s="209"/>
      <c r="HDE78" s="209"/>
      <c r="HDF78" s="209"/>
      <c r="HDG78" s="209"/>
      <c r="HDH78" s="209"/>
      <c r="HDI78" s="209"/>
      <c r="HDJ78" s="209"/>
      <c r="HDK78" s="209"/>
      <c r="HDL78" s="209"/>
      <c r="HDM78" s="209"/>
      <c r="HDN78" s="209"/>
      <c r="HDO78" s="209"/>
      <c r="HDP78" s="209"/>
      <c r="HDQ78" s="209"/>
      <c r="HDR78" s="209"/>
      <c r="HDS78" s="209"/>
      <c r="HDT78" s="209"/>
      <c r="HDU78" s="209"/>
      <c r="HDV78" s="209"/>
      <c r="HDW78" s="209"/>
      <c r="HDX78" s="209"/>
      <c r="HDY78" s="209"/>
      <c r="HDZ78" s="209"/>
      <c r="HEA78" s="209"/>
      <c r="HEB78" s="209"/>
      <c r="HEC78" s="209"/>
      <c r="HED78" s="209"/>
      <c r="HEE78" s="209"/>
      <c r="HEF78" s="209"/>
      <c r="HEG78" s="209"/>
      <c r="HEH78" s="209"/>
      <c r="HEI78" s="209"/>
      <c r="HEJ78" s="209"/>
      <c r="HEK78" s="209"/>
      <c r="HEL78" s="209"/>
      <c r="HEM78" s="209"/>
      <c r="HEN78" s="209"/>
      <c r="HEO78" s="209"/>
      <c r="HEP78" s="209"/>
      <c r="HEQ78" s="209"/>
      <c r="HER78" s="209"/>
      <c r="HES78" s="209"/>
      <c r="HET78" s="209"/>
      <c r="HEU78" s="209"/>
      <c r="HEV78" s="209"/>
      <c r="HEW78" s="209"/>
      <c r="HEX78" s="209"/>
      <c r="HEY78" s="209"/>
      <c r="HEZ78" s="209"/>
      <c r="HFA78" s="209"/>
      <c r="HFB78" s="209"/>
      <c r="HFC78" s="209"/>
      <c r="HFD78" s="209"/>
      <c r="HFE78" s="209"/>
      <c r="HFF78" s="209"/>
      <c r="HFG78" s="209"/>
      <c r="HFH78" s="209"/>
      <c r="HFI78" s="209"/>
      <c r="HFJ78" s="209"/>
      <c r="HFK78" s="209"/>
      <c r="HFL78" s="209"/>
      <c r="HFM78" s="209"/>
      <c r="HFN78" s="209"/>
      <c r="HFO78" s="209"/>
      <c r="HFP78" s="209"/>
      <c r="HFQ78" s="209"/>
      <c r="HFR78" s="209"/>
      <c r="HFS78" s="209"/>
      <c r="HFT78" s="209"/>
      <c r="HFU78" s="209"/>
      <c r="HFV78" s="209"/>
      <c r="HFW78" s="209"/>
      <c r="HFX78" s="209"/>
      <c r="HFY78" s="209"/>
      <c r="HFZ78" s="209"/>
      <c r="HGA78" s="209"/>
      <c r="HGB78" s="209"/>
      <c r="HGC78" s="209"/>
      <c r="HGD78" s="209"/>
      <c r="HGE78" s="209"/>
      <c r="HGF78" s="209"/>
      <c r="HGG78" s="209"/>
      <c r="HGH78" s="209"/>
      <c r="HGI78" s="209"/>
      <c r="HGJ78" s="209"/>
      <c r="HGK78" s="209"/>
      <c r="HGL78" s="209"/>
      <c r="HGM78" s="209"/>
      <c r="HGN78" s="209"/>
      <c r="HGO78" s="209"/>
      <c r="HGP78" s="209"/>
      <c r="HGQ78" s="209"/>
      <c r="HGR78" s="209"/>
      <c r="HGS78" s="209"/>
      <c r="HGT78" s="209"/>
      <c r="HGU78" s="209"/>
      <c r="HGV78" s="209"/>
      <c r="HGW78" s="209"/>
      <c r="HGX78" s="209"/>
      <c r="HGY78" s="209"/>
      <c r="HGZ78" s="209"/>
      <c r="HHA78" s="209"/>
      <c r="HHB78" s="209"/>
      <c r="HHC78" s="209"/>
      <c r="HHD78" s="209"/>
      <c r="HHE78" s="209"/>
      <c r="HHF78" s="209"/>
      <c r="HHG78" s="209"/>
      <c r="HHH78" s="209"/>
      <c r="HHI78" s="209"/>
      <c r="HHJ78" s="209"/>
      <c r="HHK78" s="209"/>
      <c r="HHL78" s="209"/>
      <c r="HHM78" s="209"/>
      <c r="HHN78" s="209"/>
      <c r="HHO78" s="209"/>
      <c r="HHP78" s="209"/>
      <c r="HHQ78" s="209"/>
      <c r="HHR78" s="209"/>
      <c r="HHS78" s="209"/>
      <c r="HHT78" s="209"/>
      <c r="HHU78" s="209"/>
      <c r="HHV78" s="209"/>
      <c r="HHW78" s="209"/>
      <c r="HHX78" s="209"/>
      <c r="HHY78" s="209"/>
      <c r="HHZ78" s="209"/>
      <c r="HIA78" s="209"/>
      <c r="HIB78" s="209"/>
      <c r="HIC78" s="209"/>
      <c r="HID78" s="209"/>
      <c r="HIE78" s="209"/>
      <c r="HIF78" s="209"/>
      <c r="HIG78" s="209"/>
      <c r="HIH78" s="209"/>
      <c r="HII78" s="209"/>
      <c r="HIJ78" s="209"/>
      <c r="HIK78" s="209"/>
      <c r="HIL78" s="209"/>
      <c r="HIM78" s="209"/>
      <c r="HIN78" s="209"/>
      <c r="HIO78" s="209"/>
      <c r="HIP78" s="209"/>
      <c r="HIQ78" s="209"/>
      <c r="HIR78" s="209"/>
      <c r="HIS78" s="209"/>
      <c r="HIT78" s="209"/>
      <c r="HIU78" s="209"/>
      <c r="HIV78" s="209"/>
      <c r="HIW78" s="209"/>
      <c r="HIX78" s="209"/>
      <c r="HIY78" s="209"/>
      <c r="HIZ78" s="209"/>
      <c r="HJA78" s="209"/>
      <c r="HJB78" s="209"/>
      <c r="HJC78" s="209"/>
      <c r="HJD78" s="209"/>
      <c r="HJE78" s="209"/>
      <c r="HJF78" s="209"/>
      <c r="HJG78" s="209"/>
      <c r="HJH78" s="209"/>
      <c r="HJI78" s="209"/>
      <c r="HJJ78" s="209"/>
      <c r="HJK78" s="209"/>
      <c r="HJL78" s="209"/>
      <c r="HJM78" s="209"/>
      <c r="HJN78" s="209"/>
      <c r="HJO78" s="209"/>
      <c r="HJP78" s="209"/>
      <c r="HJQ78" s="209"/>
      <c r="HJR78" s="209"/>
      <c r="HJS78" s="209"/>
      <c r="HJT78" s="209"/>
      <c r="HJU78" s="209"/>
      <c r="HJV78" s="209"/>
      <c r="HJW78" s="209"/>
      <c r="HJX78" s="209"/>
      <c r="HJY78" s="209"/>
      <c r="HJZ78" s="209"/>
      <c r="HKA78" s="209"/>
      <c r="HKB78" s="209"/>
      <c r="HKC78" s="209"/>
      <c r="HKD78" s="209"/>
      <c r="HKE78" s="209"/>
      <c r="HKF78" s="209"/>
      <c r="HKG78" s="209"/>
      <c r="HKH78" s="209"/>
      <c r="HKI78" s="209"/>
      <c r="HKJ78" s="209"/>
      <c r="HKK78" s="209"/>
      <c r="HKL78" s="209"/>
      <c r="HKM78" s="209"/>
      <c r="HKN78" s="209"/>
      <c r="HKO78" s="209"/>
      <c r="HKP78" s="209"/>
      <c r="HKQ78" s="209"/>
      <c r="HKR78" s="209"/>
      <c r="HKS78" s="209"/>
      <c r="HKT78" s="209"/>
      <c r="HKU78" s="209"/>
      <c r="HKV78" s="209"/>
      <c r="HKW78" s="209"/>
      <c r="HKX78" s="209"/>
      <c r="HKY78" s="209"/>
      <c r="HKZ78" s="209"/>
      <c r="HLA78" s="209"/>
      <c r="HLB78" s="209"/>
      <c r="HLC78" s="209"/>
      <c r="HLD78" s="209"/>
      <c r="HLE78" s="209"/>
      <c r="HLF78" s="209"/>
      <c r="HLG78" s="209"/>
      <c r="HLH78" s="209"/>
      <c r="HLI78" s="209"/>
      <c r="HLJ78" s="209"/>
      <c r="HLK78" s="209"/>
      <c r="HLL78" s="209"/>
      <c r="HLM78" s="209"/>
      <c r="HLN78" s="209"/>
      <c r="HLO78" s="209"/>
      <c r="HLP78" s="209"/>
      <c r="HLQ78" s="209"/>
      <c r="HLR78" s="209"/>
      <c r="HLS78" s="209"/>
      <c r="HLT78" s="209"/>
      <c r="HLU78" s="209"/>
      <c r="HLV78" s="209"/>
      <c r="HLW78" s="209"/>
      <c r="HLX78" s="209"/>
      <c r="HLY78" s="209"/>
      <c r="HLZ78" s="209"/>
      <c r="HMA78" s="209"/>
      <c r="HMB78" s="209"/>
      <c r="HMC78" s="209"/>
      <c r="HMD78" s="209"/>
      <c r="HME78" s="209"/>
      <c r="HMF78" s="209"/>
      <c r="HMG78" s="209"/>
      <c r="HMH78" s="209"/>
      <c r="HMI78" s="209"/>
      <c r="HMJ78" s="209"/>
      <c r="HMK78" s="209"/>
      <c r="HML78" s="209"/>
      <c r="HMM78" s="209"/>
      <c r="HMN78" s="209"/>
      <c r="HMO78" s="209"/>
      <c r="HMP78" s="209"/>
      <c r="HMQ78" s="209"/>
      <c r="HMR78" s="209"/>
      <c r="HMS78" s="209"/>
      <c r="HMT78" s="209"/>
      <c r="HMU78" s="209"/>
      <c r="HMV78" s="209"/>
      <c r="HMW78" s="209"/>
      <c r="HMX78" s="209"/>
      <c r="HMY78" s="209"/>
      <c r="HMZ78" s="209"/>
      <c r="HNA78" s="209"/>
      <c r="HNB78" s="209"/>
      <c r="HNC78" s="209"/>
      <c r="HND78" s="209"/>
      <c r="HNE78" s="209"/>
      <c r="HNF78" s="209"/>
      <c r="HNG78" s="209"/>
      <c r="HNH78" s="209"/>
      <c r="HNI78" s="209"/>
      <c r="HNJ78" s="209"/>
      <c r="HNK78" s="209"/>
      <c r="HNL78" s="209"/>
      <c r="HNM78" s="209"/>
      <c r="HNN78" s="209"/>
      <c r="HNO78" s="209"/>
      <c r="HNP78" s="209"/>
      <c r="HNQ78" s="209"/>
      <c r="HNR78" s="209"/>
      <c r="HNS78" s="209"/>
      <c r="HNT78" s="209"/>
      <c r="HNU78" s="209"/>
      <c r="HNV78" s="209"/>
      <c r="HNW78" s="209"/>
      <c r="HNX78" s="209"/>
      <c r="HNY78" s="209"/>
      <c r="HNZ78" s="209"/>
      <c r="HOA78" s="209"/>
      <c r="HOB78" s="209"/>
      <c r="HOC78" s="209"/>
      <c r="HOD78" s="209"/>
      <c r="HOE78" s="209"/>
      <c r="HOF78" s="209"/>
      <c r="HOG78" s="209"/>
      <c r="HOH78" s="209"/>
      <c r="HOI78" s="209"/>
      <c r="HOJ78" s="209"/>
      <c r="HOK78" s="209"/>
      <c r="HOL78" s="209"/>
      <c r="HOM78" s="209"/>
      <c r="HON78" s="209"/>
      <c r="HOO78" s="209"/>
      <c r="HOP78" s="209"/>
      <c r="HOQ78" s="209"/>
      <c r="HOR78" s="209"/>
      <c r="HOS78" s="209"/>
      <c r="HOT78" s="209"/>
      <c r="HOU78" s="209"/>
      <c r="HOV78" s="209"/>
      <c r="HOW78" s="209"/>
      <c r="HOX78" s="209"/>
      <c r="HOY78" s="209"/>
      <c r="HOZ78" s="209"/>
      <c r="HPA78" s="209"/>
      <c r="HPB78" s="209"/>
      <c r="HPC78" s="209"/>
      <c r="HPD78" s="209"/>
      <c r="HPE78" s="209"/>
      <c r="HPF78" s="209"/>
      <c r="HPG78" s="209"/>
      <c r="HPH78" s="209"/>
      <c r="HPI78" s="209"/>
      <c r="HPJ78" s="209"/>
      <c r="HPK78" s="209"/>
      <c r="HPL78" s="209"/>
      <c r="HPM78" s="209"/>
      <c r="HPN78" s="209"/>
      <c r="HPO78" s="209"/>
      <c r="HPP78" s="209"/>
      <c r="HPQ78" s="209"/>
      <c r="HPR78" s="209"/>
      <c r="HPS78" s="209"/>
      <c r="HPT78" s="209"/>
      <c r="HPU78" s="209"/>
      <c r="HPV78" s="209"/>
      <c r="HPW78" s="209"/>
      <c r="HPX78" s="209"/>
      <c r="HPY78" s="209"/>
      <c r="HPZ78" s="209"/>
      <c r="HQA78" s="209"/>
      <c r="HQB78" s="209"/>
      <c r="HQC78" s="209"/>
      <c r="HQD78" s="209"/>
      <c r="HQE78" s="209"/>
      <c r="HQF78" s="209"/>
      <c r="HQG78" s="209"/>
      <c r="HQH78" s="209"/>
      <c r="HQI78" s="209"/>
      <c r="HQJ78" s="209"/>
      <c r="HQK78" s="209"/>
      <c r="HQL78" s="209"/>
      <c r="HQM78" s="209"/>
      <c r="HQN78" s="209"/>
      <c r="HQO78" s="209"/>
      <c r="HQP78" s="209"/>
      <c r="HQQ78" s="209"/>
      <c r="HQR78" s="209"/>
      <c r="HQS78" s="209"/>
      <c r="HQT78" s="209"/>
      <c r="HQU78" s="209"/>
      <c r="HQV78" s="209"/>
      <c r="HQW78" s="209"/>
      <c r="HQX78" s="209"/>
      <c r="HQY78" s="209"/>
      <c r="HQZ78" s="209"/>
      <c r="HRA78" s="209"/>
      <c r="HRB78" s="209"/>
      <c r="HRC78" s="209"/>
      <c r="HRD78" s="209"/>
      <c r="HRE78" s="209"/>
      <c r="HRF78" s="209"/>
      <c r="HRG78" s="209"/>
      <c r="HRH78" s="209"/>
      <c r="HRI78" s="209"/>
      <c r="HRJ78" s="209"/>
      <c r="HRK78" s="209"/>
      <c r="HRL78" s="209"/>
      <c r="HRM78" s="209"/>
      <c r="HRN78" s="209"/>
      <c r="HRO78" s="209"/>
      <c r="HRP78" s="209"/>
      <c r="HRQ78" s="209"/>
      <c r="HRR78" s="209"/>
      <c r="HRS78" s="209"/>
      <c r="HRT78" s="209"/>
      <c r="HRU78" s="209"/>
      <c r="HRV78" s="209"/>
      <c r="HRW78" s="209"/>
      <c r="HRX78" s="209"/>
      <c r="HRY78" s="209"/>
      <c r="HRZ78" s="209"/>
      <c r="HSA78" s="209"/>
      <c r="HSB78" s="209"/>
      <c r="HSC78" s="209"/>
      <c r="HSD78" s="209"/>
      <c r="HSE78" s="209"/>
      <c r="HSF78" s="209"/>
      <c r="HSG78" s="209"/>
      <c r="HSH78" s="209"/>
      <c r="HSI78" s="209"/>
      <c r="HSJ78" s="209"/>
      <c r="HSK78" s="209"/>
      <c r="HSL78" s="209"/>
      <c r="HSM78" s="209"/>
      <c r="HSN78" s="209"/>
      <c r="HSO78" s="209"/>
      <c r="HSP78" s="209"/>
      <c r="HSQ78" s="209"/>
      <c r="HSR78" s="209"/>
      <c r="HSS78" s="209"/>
      <c r="HST78" s="209"/>
      <c r="HSU78" s="209"/>
      <c r="HSV78" s="209"/>
      <c r="HSW78" s="209"/>
      <c r="HSX78" s="209"/>
      <c r="HSY78" s="209"/>
      <c r="HSZ78" s="209"/>
      <c r="HTA78" s="209"/>
      <c r="HTB78" s="209"/>
      <c r="HTC78" s="209"/>
      <c r="HTD78" s="209"/>
      <c r="HTE78" s="209"/>
      <c r="HTF78" s="209"/>
      <c r="HTG78" s="209"/>
      <c r="HTH78" s="209"/>
      <c r="HTI78" s="209"/>
      <c r="HTJ78" s="209"/>
      <c r="HTK78" s="209"/>
      <c r="HTL78" s="209"/>
      <c r="HTM78" s="209"/>
      <c r="HTN78" s="209"/>
      <c r="HTO78" s="209"/>
      <c r="HTP78" s="209"/>
      <c r="HTQ78" s="209"/>
      <c r="HTR78" s="209"/>
      <c r="HTS78" s="209"/>
      <c r="HTT78" s="209"/>
      <c r="HTU78" s="209"/>
      <c r="HTV78" s="209"/>
      <c r="HTW78" s="209"/>
      <c r="HTX78" s="209"/>
      <c r="HTY78" s="209"/>
      <c r="HTZ78" s="209"/>
      <c r="HUA78" s="209"/>
      <c r="HUB78" s="209"/>
      <c r="HUC78" s="209"/>
      <c r="HUD78" s="209"/>
      <c r="HUE78" s="209"/>
      <c r="HUF78" s="209"/>
      <c r="HUG78" s="209"/>
      <c r="HUH78" s="209"/>
      <c r="HUI78" s="209"/>
      <c r="HUJ78" s="209"/>
      <c r="HUK78" s="209"/>
      <c r="HUL78" s="209"/>
      <c r="HUM78" s="209"/>
      <c r="HUN78" s="209"/>
      <c r="HUO78" s="209"/>
      <c r="HUP78" s="209"/>
      <c r="HUQ78" s="209"/>
      <c r="HUR78" s="209"/>
      <c r="HUS78" s="209"/>
      <c r="HUT78" s="209"/>
      <c r="HUU78" s="209"/>
      <c r="HUV78" s="209"/>
      <c r="HUW78" s="209"/>
      <c r="HUX78" s="209"/>
      <c r="HUY78" s="209"/>
      <c r="HUZ78" s="209"/>
      <c r="HVA78" s="209"/>
      <c r="HVB78" s="209"/>
      <c r="HVC78" s="209"/>
      <c r="HVD78" s="209"/>
      <c r="HVE78" s="209"/>
      <c r="HVF78" s="209"/>
      <c r="HVG78" s="209"/>
      <c r="HVH78" s="209"/>
      <c r="HVI78" s="209"/>
      <c r="HVJ78" s="209"/>
      <c r="HVK78" s="209"/>
      <c r="HVL78" s="209"/>
      <c r="HVM78" s="209"/>
      <c r="HVN78" s="209"/>
      <c r="HVO78" s="209"/>
      <c r="HVP78" s="209"/>
      <c r="HVQ78" s="209"/>
      <c r="HVR78" s="209"/>
      <c r="HVS78" s="209"/>
      <c r="HVT78" s="209"/>
      <c r="HVU78" s="209"/>
      <c r="HVV78" s="209"/>
      <c r="HVW78" s="209"/>
      <c r="HVX78" s="209"/>
      <c r="HVY78" s="209"/>
      <c r="HVZ78" s="209"/>
      <c r="HWA78" s="209"/>
      <c r="HWB78" s="209"/>
      <c r="HWC78" s="209"/>
      <c r="HWD78" s="209"/>
      <c r="HWE78" s="209"/>
      <c r="HWF78" s="209"/>
      <c r="HWG78" s="209"/>
      <c r="HWH78" s="209"/>
      <c r="HWI78" s="209"/>
      <c r="HWJ78" s="209"/>
      <c r="HWK78" s="209"/>
      <c r="HWL78" s="209"/>
      <c r="HWM78" s="209"/>
      <c r="HWN78" s="209"/>
      <c r="HWO78" s="209"/>
      <c r="HWP78" s="209"/>
      <c r="HWQ78" s="209"/>
      <c r="HWR78" s="209"/>
      <c r="HWS78" s="209"/>
      <c r="HWT78" s="209"/>
      <c r="HWU78" s="209"/>
      <c r="HWV78" s="209"/>
      <c r="HWW78" s="209"/>
      <c r="HWX78" s="209"/>
      <c r="HWY78" s="209"/>
      <c r="HWZ78" s="209"/>
      <c r="HXA78" s="209"/>
      <c r="HXB78" s="209"/>
      <c r="HXC78" s="209"/>
      <c r="HXD78" s="209"/>
      <c r="HXE78" s="209"/>
      <c r="HXF78" s="209"/>
      <c r="HXG78" s="209"/>
      <c r="HXH78" s="209"/>
      <c r="HXI78" s="209"/>
      <c r="HXJ78" s="209"/>
      <c r="HXK78" s="209"/>
      <c r="HXL78" s="209"/>
      <c r="HXM78" s="209"/>
      <c r="HXN78" s="209"/>
      <c r="HXO78" s="209"/>
      <c r="HXP78" s="209"/>
      <c r="HXQ78" s="209"/>
      <c r="HXR78" s="209"/>
      <c r="HXS78" s="209"/>
      <c r="HXT78" s="209"/>
      <c r="HXU78" s="209"/>
      <c r="HXV78" s="209"/>
      <c r="HXW78" s="209"/>
      <c r="HXX78" s="209"/>
      <c r="HXY78" s="209"/>
      <c r="HXZ78" s="209"/>
      <c r="HYA78" s="209"/>
      <c r="HYB78" s="209"/>
      <c r="HYC78" s="209"/>
      <c r="HYD78" s="209"/>
      <c r="HYE78" s="209"/>
      <c r="HYF78" s="209"/>
      <c r="HYG78" s="209"/>
      <c r="HYH78" s="209"/>
      <c r="HYI78" s="209"/>
      <c r="HYJ78" s="209"/>
      <c r="HYK78" s="209"/>
      <c r="HYL78" s="209"/>
      <c r="HYM78" s="209"/>
      <c r="HYN78" s="209"/>
      <c r="HYO78" s="209"/>
      <c r="HYP78" s="209"/>
      <c r="HYQ78" s="209"/>
      <c r="HYR78" s="209"/>
      <c r="HYS78" s="209"/>
      <c r="HYT78" s="209"/>
      <c r="HYU78" s="209"/>
      <c r="HYV78" s="209"/>
      <c r="HYW78" s="209"/>
      <c r="HYX78" s="209"/>
      <c r="HYY78" s="209"/>
      <c r="HYZ78" s="209"/>
      <c r="HZA78" s="209"/>
      <c r="HZB78" s="209"/>
      <c r="HZC78" s="209"/>
      <c r="HZD78" s="209"/>
      <c r="HZE78" s="209"/>
      <c r="HZF78" s="209"/>
      <c r="HZG78" s="209"/>
      <c r="HZH78" s="209"/>
      <c r="HZI78" s="209"/>
      <c r="HZJ78" s="209"/>
      <c r="HZK78" s="209"/>
      <c r="HZL78" s="209"/>
      <c r="HZM78" s="209"/>
      <c r="HZN78" s="209"/>
      <c r="HZO78" s="209"/>
      <c r="HZP78" s="209"/>
      <c r="HZQ78" s="209"/>
      <c r="HZR78" s="209"/>
      <c r="HZS78" s="209"/>
      <c r="HZT78" s="209"/>
      <c r="HZU78" s="209"/>
      <c r="HZV78" s="209"/>
      <c r="HZW78" s="209"/>
      <c r="HZX78" s="209"/>
      <c r="HZY78" s="209"/>
      <c r="HZZ78" s="209"/>
      <c r="IAA78" s="209"/>
      <c r="IAB78" s="209"/>
      <c r="IAC78" s="209"/>
      <c r="IAD78" s="209"/>
      <c r="IAE78" s="209"/>
      <c r="IAF78" s="209"/>
      <c r="IAG78" s="209"/>
      <c r="IAH78" s="209"/>
      <c r="IAI78" s="209"/>
      <c r="IAJ78" s="209"/>
      <c r="IAK78" s="209"/>
      <c r="IAL78" s="209"/>
      <c r="IAM78" s="209"/>
      <c r="IAN78" s="209"/>
      <c r="IAO78" s="209"/>
      <c r="IAP78" s="209"/>
      <c r="IAQ78" s="209"/>
      <c r="IAR78" s="209"/>
      <c r="IAS78" s="209"/>
      <c r="IAT78" s="209"/>
      <c r="IAU78" s="209"/>
      <c r="IAV78" s="209"/>
      <c r="IAW78" s="209"/>
      <c r="IAX78" s="209"/>
      <c r="IAY78" s="209"/>
      <c r="IAZ78" s="209"/>
      <c r="IBA78" s="209"/>
      <c r="IBB78" s="209"/>
      <c r="IBC78" s="209"/>
      <c r="IBD78" s="209"/>
      <c r="IBE78" s="209"/>
      <c r="IBF78" s="209"/>
      <c r="IBG78" s="209"/>
      <c r="IBH78" s="209"/>
      <c r="IBI78" s="209"/>
      <c r="IBJ78" s="209"/>
      <c r="IBK78" s="209"/>
      <c r="IBL78" s="209"/>
      <c r="IBM78" s="209"/>
      <c r="IBN78" s="209"/>
      <c r="IBO78" s="209"/>
      <c r="IBP78" s="209"/>
      <c r="IBQ78" s="209"/>
      <c r="IBR78" s="209"/>
      <c r="IBS78" s="209"/>
      <c r="IBT78" s="209"/>
      <c r="IBU78" s="209"/>
      <c r="IBV78" s="209"/>
      <c r="IBW78" s="209"/>
      <c r="IBX78" s="209"/>
      <c r="IBY78" s="209"/>
      <c r="IBZ78" s="209"/>
      <c r="ICA78" s="209"/>
      <c r="ICB78" s="209"/>
      <c r="ICC78" s="209"/>
      <c r="ICD78" s="209"/>
      <c r="ICE78" s="209"/>
      <c r="ICF78" s="209"/>
      <c r="ICG78" s="209"/>
      <c r="ICH78" s="209"/>
      <c r="ICI78" s="209"/>
      <c r="ICJ78" s="209"/>
      <c r="ICK78" s="209"/>
      <c r="ICL78" s="209"/>
      <c r="ICM78" s="209"/>
      <c r="ICN78" s="209"/>
      <c r="ICO78" s="209"/>
      <c r="ICP78" s="209"/>
      <c r="ICQ78" s="209"/>
      <c r="ICR78" s="209"/>
      <c r="ICS78" s="209"/>
      <c r="ICT78" s="209"/>
      <c r="ICU78" s="209"/>
      <c r="ICV78" s="209"/>
      <c r="ICW78" s="209"/>
      <c r="ICX78" s="209"/>
      <c r="ICY78" s="209"/>
      <c r="ICZ78" s="209"/>
      <c r="IDA78" s="209"/>
      <c r="IDB78" s="209"/>
      <c r="IDC78" s="209"/>
      <c r="IDD78" s="209"/>
      <c r="IDE78" s="209"/>
      <c r="IDF78" s="209"/>
      <c r="IDG78" s="209"/>
      <c r="IDH78" s="209"/>
      <c r="IDI78" s="209"/>
      <c r="IDJ78" s="209"/>
      <c r="IDK78" s="209"/>
      <c r="IDL78" s="209"/>
      <c r="IDM78" s="209"/>
      <c r="IDN78" s="209"/>
      <c r="IDO78" s="209"/>
      <c r="IDP78" s="209"/>
      <c r="IDQ78" s="209"/>
      <c r="IDR78" s="209"/>
      <c r="IDS78" s="209"/>
      <c r="IDT78" s="209"/>
      <c r="IDU78" s="209"/>
      <c r="IDV78" s="209"/>
      <c r="IDW78" s="209"/>
      <c r="IDX78" s="209"/>
      <c r="IDY78" s="209"/>
      <c r="IDZ78" s="209"/>
      <c r="IEA78" s="209"/>
      <c r="IEB78" s="209"/>
      <c r="IEC78" s="209"/>
      <c r="IED78" s="209"/>
      <c r="IEE78" s="209"/>
      <c r="IEF78" s="209"/>
      <c r="IEG78" s="209"/>
      <c r="IEH78" s="209"/>
      <c r="IEI78" s="209"/>
      <c r="IEJ78" s="209"/>
      <c r="IEK78" s="209"/>
      <c r="IEL78" s="209"/>
      <c r="IEM78" s="209"/>
      <c r="IEN78" s="209"/>
      <c r="IEO78" s="209"/>
      <c r="IEP78" s="209"/>
      <c r="IEQ78" s="209"/>
      <c r="IER78" s="209"/>
      <c r="IES78" s="209"/>
      <c r="IET78" s="209"/>
      <c r="IEU78" s="209"/>
      <c r="IEV78" s="209"/>
      <c r="IEW78" s="209"/>
      <c r="IEX78" s="209"/>
      <c r="IEY78" s="209"/>
      <c r="IEZ78" s="209"/>
      <c r="IFA78" s="209"/>
      <c r="IFB78" s="209"/>
      <c r="IFC78" s="209"/>
      <c r="IFD78" s="209"/>
      <c r="IFE78" s="209"/>
      <c r="IFF78" s="209"/>
      <c r="IFG78" s="209"/>
      <c r="IFH78" s="209"/>
      <c r="IFI78" s="209"/>
      <c r="IFJ78" s="209"/>
      <c r="IFK78" s="209"/>
      <c r="IFL78" s="209"/>
      <c r="IFM78" s="209"/>
      <c r="IFN78" s="209"/>
      <c r="IFO78" s="209"/>
      <c r="IFP78" s="209"/>
      <c r="IFQ78" s="209"/>
      <c r="IFR78" s="209"/>
      <c r="IFS78" s="209"/>
      <c r="IFT78" s="209"/>
      <c r="IFU78" s="209"/>
      <c r="IFV78" s="209"/>
      <c r="IFW78" s="209"/>
      <c r="IFX78" s="209"/>
      <c r="IFY78" s="209"/>
      <c r="IFZ78" s="209"/>
      <c r="IGA78" s="209"/>
      <c r="IGB78" s="209"/>
      <c r="IGC78" s="209"/>
      <c r="IGD78" s="209"/>
      <c r="IGE78" s="209"/>
      <c r="IGF78" s="209"/>
      <c r="IGG78" s="209"/>
      <c r="IGH78" s="209"/>
      <c r="IGI78" s="209"/>
      <c r="IGJ78" s="209"/>
      <c r="IGK78" s="209"/>
      <c r="IGL78" s="209"/>
      <c r="IGM78" s="209"/>
      <c r="IGN78" s="209"/>
      <c r="IGO78" s="209"/>
      <c r="IGP78" s="209"/>
      <c r="IGQ78" s="209"/>
      <c r="IGR78" s="209"/>
      <c r="IGS78" s="209"/>
      <c r="IGT78" s="209"/>
      <c r="IGU78" s="209"/>
      <c r="IGV78" s="209"/>
      <c r="IGW78" s="209"/>
      <c r="IGX78" s="209"/>
      <c r="IGY78" s="209"/>
      <c r="IGZ78" s="209"/>
      <c r="IHA78" s="209"/>
      <c r="IHB78" s="209"/>
      <c r="IHC78" s="209"/>
      <c r="IHD78" s="209"/>
      <c r="IHE78" s="209"/>
      <c r="IHF78" s="209"/>
      <c r="IHG78" s="209"/>
      <c r="IHH78" s="209"/>
      <c r="IHI78" s="209"/>
      <c r="IHJ78" s="209"/>
      <c r="IHK78" s="209"/>
      <c r="IHL78" s="209"/>
      <c r="IHM78" s="209"/>
      <c r="IHN78" s="209"/>
      <c r="IHO78" s="209"/>
      <c r="IHP78" s="209"/>
      <c r="IHQ78" s="209"/>
      <c r="IHR78" s="209"/>
      <c r="IHS78" s="209"/>
      <c r="IHT78" s="209"/>
      <c r="IHU78" s="209"/>
      <c r="IHV78" s="209"/>
      <c r="IHW78" s="209"/>
      <c r="IHX78" s="209"/>
      <c r="IHY78" s="209"/>
      <c r="IHZ78" s="209"/>
      <c r="IIA78" s="209"/>
      <c r="IIB78" s="209"/>
      <c r="IIC78" s="209"/>
      <c r="IID78" s="209"/>
      <c r="IIE78" s="209"/>
      <c r="IIF78" s="209"/>
      <c r="IIG78" s="209"/>
      <c r="IIH78" s="209"/>
      <c r="III78" s="209"/>
      <c r="IIJ78" s="209"/>
      <c r="IIK78" s="209"/>
      <c r="IIL78" s="209"/>
      <c r="IIM78" s="209"/>
      <c r="IIN78" s="209"/>
      <c r="IIO78" s="209"/>
      <c r="IIP78" s="209"/>
      <c r="IIQ78" s="209"/>
      <c r="IIR78" s="209"/>
      <c r="IIS78" s="209"/>
      <c r="IIT78" s="209"/>
      <c r="IIU78" s="209"/>
      <c r="IIV78" s="209"/>
      <c r="IIW78" s="209"/>
      <c r="IIX78" s="209"/>
      <c r="IIY78" s="209"/>
      <c r="IIZ78" s="209"/>
      <c r="IJA78" s="209"/>
      <c r="IJB78" s="209"/>
      <c r="IJC78" s="209"/>
      <c r="IJD78" s="209"/>
      <c r="IJE78" s="209"/>
      <c r="IJF78" s="209"/>
      <c r="IJG78" s="209"/>
      <c r="IJH78" s="209"/>
      <c r="IJI78" s="209"/>
      <c r="IJJ78" s="209"/>
      <c r="IJK78" s="209"/>
      <c r="IJL78" s="209"/>
      <c r="IJM78" s="209"/>
      <c r="IJN78" s="209"/>
      <c r="IJO78" s="209"/>
      <c r="IJP78" s="209"/>
      <c r="IJQ78" s="209"/>
      <c r="IJR78" s="209"/>
      <c r="IJS78" s="209"/>
      <c r="IJT78" s="209"/>
      <c r="IJU78" s="209"/>
      <c r="IJV78" s="209"/>
      <c r="IJW78" s="209"/>
      <c r="IJX78" s="209"/>
      <c r="IJY78" s="209"/>
      <c r="IJZ78" s="209"/>
      <c r="IKA78" s="209"/>
      <c r="IKB78" s="209"/>
      <c r="IKC78" s="209"/>
      <c r="IKD78" s="209"/>
      <c r="IKE78" s="209"/>
      <c r="IKF78" s="209"/>
      <c r="IKG78" s="209"/>
      <c r="IKH78" s="209"/>
      <c r="IKI78" s="209"/>
      <c r="IKJ78" s="209"/>
      <c r="IKK78" s="209"/>
      <c r="IKL78" s="209"/>
      <c r="IKM78" s="209"/>
      <c r="IKN78" s="209"/>
      <c r="IKO78" s="209"/>
      <c r="IKP78" s="209"/>
      <c r="IKQ78" s="209"/>
      <c r="IKR78" s="209"/>
      <c r="IKS78" s="209"/>
      <c r="IKT78" s="209"/>
      <c r="IKU78" s="209"/>
      <c r="IKV78" s="209"/>
      <c r="IKW78" s="209"/>
      <c r="IKX78" s="209"/>
      <c r="IKY78" s="209"/>
      <c r="IKZ78" s="209"/>
      <c r="ILA78" s="209"/>
      <c r="ILB78" s="209"/>
      <c r="ILC78" s="209"/>
      <c r="ILD78" s="209"/>
      <c r="ILE78" s="209"/>
      <c r="ILF78" s="209"/>
      <c r="ILG78" s="209"/>
      <c r="ILH78" s="209"/>
      <c r="ILI78" s="209"/>
      <c r="ILJ78" s="209"/>
      <c r="ILK78" s="209"/>
      <c r="ILL78" s="209"/>
      <c r="ILM78" s="209"/>
      <c r="ILN78" s="209"/>
      <c r="ILO78" s="209"/>
      <c r="ILP78" s="209"/>
      <c r="ILQ78" s="209"/>
      <c r="ILR78" s="209"/>
      <c r="ILS78" s="209"/>
      <c r="ILT78" s="209"/>
      <c r="ILU78" s="209"/>
      <c r="ILV78" s="209"/>
      <c r="ILW78" s="209"/>
      <c r="ILX78" s="209"/>
      <c r="ILY78" s="209"/>
      <c r="ILZ78" s="209"/>
      <c r="IMA78" s="209"/>
      <c r="IMB78" s="209"/>
      <c r="IMC78" s="209"/>
      <c r="IMD78" s="209"/>
      <c r="IME78" s="209"/>
      <c r="IMF78" s="209"/>
      <c r="IMG78" s="209"/>
      <c r="IMH78" s="209"/>
      <c r="IMI78" s="209"/>
      <c r="IMJ78" s="209"/>
      <c r="IMK78" s="209"/>
      <c r="IML78" s="209"/>
      <c r="IMM78" s="209"/>
      <c r="IMN78" s="209"/>
      <c r="IMO78" s="209"/>
      <c r="IMP78" s="209"/>
      <c r="IMQ78" s="209"/>
      <c r="IMR78" s="209"/>
      <c r="IMS78" s="209"/>
      <c r="IMT78" s="209"/>
      <c r="IMU78" s="209"/>
      <c r="IMV78" s="209"/>
      <c r="IMW78" s="209"/>
      <c r="IMX78" s="209"/>
      <c r="IMY78" s="209"/>
      <c r="IMZ78" s="209"/>
      <c r="INA78" s="209"/>
      <c r="INB78" s="209"/>
      <c r="INC78" s="209"/>
      <c r="IND78" s="209"/>
      <c r="INE78" s="209"/>
      <c r="INF78" s="209"/>
      <c r="ING78" s="209"/>
      <c r="INH78" s="209"/>
      <c r="INI78" s="209"/>
      <c r="INJ78" s="209"/>
      <c r="INK78" s="209"/>
      <c r="INL78" s="209"/>
      <c r="INM78" s="209"/>
      <c r="INN78" s="209"/>
      <c r="INO78" s="209"/>
      <c r="INP78" s="209"/>
      <c r="INQ78" s="209"/>
      <c r="INR78" s="209"/>
      <c r="INS78" s="209"/>
      <c r="INT78" s="209"/>
      <c r="INU78" s="209"/>
      <c r="INV78" s="209"/>
      <c r="INW78" s="209"/>
      <c r="INX78" s="209"/>
      <c r="INY78" s="209"/>
      <c r="INZ78" s="209"/>
      <c r="IOA78" s="209"/>
      <c r="IOB78" s="209"/>
      <c r="IOC78" s="209"/>
      <c r="IOD78" s="209"/>
      <c r="IOE78" s="209"/>
      <c r="IOF78" s="209"/>
      <c r="IOG78" s="209"/>
      <c r="IOH78" s="209"/>
      <c r="IOI78" s="209"/>
      <c r="IOJ78" s="209"/>
      <c r="IOK78" s="209"/>
      <c r="IOL78" s="209"/>
      <c r="IOM78" s="209"/>
      <c r="ION78" s="209"/>
      <c r="IOO78" s="209"/>
      <c r="IOP78" s="209"/>
      <c r="IOQ78" s="209"/>
      <c r="IOR78" s="209"/>
      <c r="IOS78" s="209"/>
      <c r="IOT78" s="209"/>
      <c r="IOU78" s="209"/>
      <c r="IOV78" s="209"/>
      <c r="IOW78" s="209"/>
      <c r="IOX78" s="209"/>
      <c r="IOY78" s="209"/>
      <c r="IOZ78" s="209"/>
      <c r="IPA78" s="209"/>
      <c r="IPB78" s="209"/>
      <c r="IPC78" s="209"/>
      <c r="IPD78" s="209"/>
      <c r="IPE78" s="209"/>
      <c r="IPF78" s="209"/>
      <c r="IPG78" s="209"/>
      <c r="IPH78" s="209"/>
      <c r="IPI78" s="209"/>
      <c r="IPJ78" s="209"/>
      <c r="IPK78" s="209"/>
      <c r="IPL78" s="209"/>
      <c r="IPM78" s="209"/>
      <c r="IPN78" s="209"/>
      <c r="IPO78" s="209"/>
      <c r="IPP78" s="209"/>
      <c r="IPQ78" s="209"/>
      <c r="IPR78" s="209"/>
      <c r="IPS78" s="209"/>
      <c r="IPT78" s="209"/>
      <c r="IPU78" s="209"/>
      <c r="IPV78" s="209"/>
      <c r="IPW78" s="209"/>
      <c r="IPX78" s="209"/>
      <c r="IPY78" s="209"/>
      <c r="IPZ78" s="209"/>
      <c r="IQA78" s="209"/>
      <c r="IQB78" s="209"/>
      <c r="IQC78" s="209"/>
      <c r="IQD78" s="209"/>
      <c r="IQE78" s="209"/>
      <c r="IQF78" s="209"/>
      <c r="IQG78" s="209"/>
      <c r="IQH78" s="209"/>
      <c r="IQI78" s="209"/>
      <c r="IQJ78" s="209"/>
      <c r="IQK78" s="209"/>
      <c r="IQL78" s="209"/>
      <c r="IQM78" s="209"/>
      <c r="IQN78" s="209"/>
      <c r="IQO78" s="209"/>
      <c r="IQP78" s="209"/>
      <c r="IQQ78" s="209"/>
      <c r="IQR78" s="209"/>
      <c r="IQS78" s="209"/>
      <c r="IQT78" s="209"/>
      <c r="IQU78" s="209"/>
      <c r="IQV78" s="209"/>
      <c r="IQW78" s="209"/>
      <c r="IQX78" s="209"/>
      <c r="IQY78" s="209"/>
      <c r="IQZ78" s="209"/>
      <c r="IRA78" s="209"/>
      <c r="IRB78" s="209"/>
      <c r="IRC78" s="209"/>
      <c r="IRD78" s="209"/>
      <c r="IRE78" s="209"/>
      <c r="IRF78" s="209"/>
      <c r="IRG78" s="209"/>
      <c r="IRH78" s="209"/>
      <c r="IRI78" s="209"/>
      <c r="IRJ78" s="209"/>
      <c r="IRK78" s="209"/>
      <c r="IRL78" s="209"/>
      <c r="IRM78" s="209"/>
      <c r="IRN78" s="209"/>
      <c r="IRO78" s="209"/>
      <c r="IRP78" s="209"/>
      <c r="IRQ78" s="209"/>
      <c r="IRR78" s="209"/>
      <c r="IRS78" s="209"/>
      <c r="IRT78" s="209"/>
      <c r="IRU78" s="209"/>
      <c r="IRV78" s="209"/>
      <c r="IRW78" s="209"/>
      <c r="IRX78" s="209"/>
      <c r="IRY78" s="209"/>
      <c r="IRZ78" s="209"/>
      <c r="ISA78" s="209"/>
      <c r="ISB78" s="209"/>
      <c r="ISC78" s="209"/>
      <c r="ISD78" s="209"/>
      <c r="ISE78" s="209"/>
      <c r="ISF78" s="209"/>
      <c r="ISG78" s="209"/>
      <c r="ISH78" s="209"/>
      <c r="ISI78" s="209"/>
      <c r="ISJ78" s="209"/>
      <c r="ISK78" s="209"/>
      <c r="ISL78" s="209"/>
      <c r="ISM78" s="209"/>
      <c r="ISN78" s="209"/>
      <c r="ISO78" s="209"/>
      <c r="ISP78" s="209"/>
      <c r="ISQ78" s="209"/>
      <c r="ISR78" s="209"/>
      <c r="ISS78" s="209"/>
      <c r="IST78" s="209"/>
      <c r="ISU78" s="209"/>
      <c r="ISV78" s="209"/>
      <c r="ISW78" s="209"/>
      <c r="ISX78" s="209"/>
      <c r="ISY78" s="209"/>
      <c r="ISZ78" s="209"/>
      <c r="ITA78" s="209"/>
      <c r="ITB78" s="209"/>
      <c r="ITC78" s="209"/>
      <c r="ITD78" s="209"/>
      <c r="ITE78" s="209"/>
      <c r="ITF78" s="209"/>
      <c r="ITG78" s="209"/>
      <c r="ITH78" s="209"/>
      <c r="ITI78" s="209"/>
      <c r="ITJ78" s="209"/>
      <c r="ITK78" s="209"/>
      <c r="ITL78" s="209"/>
      <c r="ITM78" s="209"/>
      <c r="ITN78" s="209"/>
      <c r="ITO78" s="209"/>
      <c r="ITP78" s="209"/>
      <c r="ITQ78" s="209"/>
      <c r="ITR78" s="209"/>
      <c r="ITS78" s="209"/>
      <c r="ITT78" s="209"/>
      <c r="ITU78" s="209"/>
      <c r="ITV78" s="209"/>
      <c r="ITW78" s="209"/>
      <c r="ITX78" s="209"/>
      <c r="ITY78" s="209"/>
      <c r="ITZ78" s="209"/>
      <c r="IUA78" s="209"/>
      <c r="IUB78" s="209"/>
      <c r="IUC78" s="209"/>
      <c r="IUD78" s="209"/>
      <c r="IUE78" s="209"/>
      <c r="IUF78" s="209"/>
      <c r="IUG78" s="209"/>
      <c r="IUH78" s="209"/>
      <c r="IUI78" s="209"/>
      <c r="IUJ78" s="209"/>
      <c r="IUK78" s="209"/>
      <c r="IUL78" s="209"/>
      <c r="IUM78" s="209"/>
      <c r="IUN78" s="209"/>
      <c r="IUO78" s="209"/>
      <c r="IUP78" s="209"/>
      <c r="IUQ78" s="209"/>
      <c r="IUR78" s="209"/>
      <c r="IUS78" s="209"/>
      <c r="IUT78" s="209"/>
      <c r="IUU78" s="209"/>
      <c r="IUV78" s="209"/>
      <c r="IUW78" s="209"/>
      <c r="IUX78" s="209"/>
      <c r="IUY78" s="209"/>
      <c r="IUZ78" s="209"/>
      <c r="IVA78" s="209"/>
      <c r="IVB78" s="209"/>
      <c r="IVC78" s="209"/>
      <c r="IVD78" s="209"/>
      <c r="IVE78" s="209"/>
      <c r="IVF78" s="209"/>
      <c r="IVG78" s="209"/>
      <c r="IVH78" s="209"/>
      <c r="IVI78" s="209"/>
      <c r="IVJ78" s="209"/>
      <c r="IVK78" s="209"/>
      <c r="IVL78" s="209"/>
      <c r="IVM78" s="209"/>
      <c r="IVN78" s="209"/>
      <c r="IVO78" s="209"/>
      <c r="IVP78" s="209"/>
      <c r="IVQ78" s="209"/>
      <c r="IVR78" s="209"/>
      <c r="IVS78" s="209"/>
      <c r="IVT78" s="209"/>
      <c r="IVU78" s="209"/>
      <c r="IVV78" s="209"/>
      <c r="IVW78" s="209"/>
      <c r="IVX78" s="209"/>
      <c r="IVY78" s="209"/>
      <c r="IVZ78" s="209"/>
      <c r="IWA78" s="209"/>
      <c r="IWB78" s="209"/>
      <c r="IWC78" s="209"/>
      <c r="IWD78" s="209"/>
      <c r="IWE78" s="209"/>
      <c r="IWF78" s="209"/>
      <c r="IWG78" s="209"/>
      <c r="IWH78" s="209"/>
      <c r="IWI78" s="209"/>
      <c r="IWJ78" s="209"/>
      <c r="IWK78" s="209"/>
      <c r="IWL78" s="209"/>
      <c r="IWM78" s="209"/>
      <c r="IWN78" s="209"/>
      <c r="IWO78" s="209"/>
      <c r="IWP78" s="209"/>
      <c r="IWQ78" s="209"/>
      <c r="IWR78" s="209"/>
      <c r="IWS78" s="209"/>
      <c r="IWT78" s="209"/>
      <c r="IWU78" s="209"/>
      <c r="IWV78" s="209"/>
      <c r="IWW78" s="209"/>
      <c r="IWX78" s="209"/>
      <c r="IWY78" s="209"/>
      <c r="IWZ78" s="209"/>
      <c r="IXA78" s="209"/>
      <c r="IXB78" s="209"/>
      <c r="IXC78" s="209"/>
      <c r="IXD78" s="209"/>
      <c r="IXE78" s="209"/>
      <c r="IXF78" s="209"/>
      <c r="IXG78" s="209"/>
      <c r="IXH78" s="209"/>
      <c r="IXI78" s="209"/>
      <c r="IXJ78" s="209"/>
      <c r="IXK78" s="209"/>
      <c r="IXL78" s="209"/>
      <c r="IXM78" s="209"/>
      <c r="IXN78" s="209"/>
      <c r="IXO78" s="209"/>
      <c r="IXP78" s="209"/>
      <c r="IXQ78" s="209"/>
      <c r="IXR78" s="209"/>
      <c r="IXS78" s="209"/>
      <c r="IXT78" s="209"/>
      <c r="IXU78" s="209"/>
      <c r="IXV78" s="209"/>
      <c r="IXW78" s="209"/>
      <c r="IXX78" s="209"/>
      <c r="IXY78" s="209"/>
      <c r="IXZ78" s="209"/>
      <c r="IYA78" s="209"/>
      <c r="IYB78" s="209"/>
      <c r="IYC78" s="209"/>
      <c r="IYD78" s="209"/>
      <c r="IYE78" s="209"/>
      <c r="IYF78" s="209"/>
      <c r="IYG78" s="209"/>
      <c r="IYH78" s="209"/>
      <c r="IYI78" s="209"/>
      <c r="IYJ78" s="209"/>
      <c r="IYK78" s="209"/>
      <c r="IYL78" s="209"/>
      <c r="IYM78" s="209"/>
      <c r="IYN78" s="209"/>
      <c r="IYO78" s="209"/>
      <c r="IYP78" s="209"/>
      <c r="IYQ78" s="209"/>
      <c r="IYR78" s="209"/>
      <c r="IYS78" s="209"/>
      <c r="IYT78" s="209"/>
      <c r="IYU78" s="209"/>
      <c r="IYV78" s="209"/>
      <c r="IYW78" s="209"/>
      <c r="IYX78" s="209"/>
      <c r="IYY78" s="209"/>
      <c r="IYZ78" s="209"/>
      <c r="IZA78" s="209"/>
      <c r="IZB78" s="209"/>
      <c r="IZC78" s="209"/>
      <c r="IZD78" s="209"/>
      <c r="IZE78" s="209"/>
      <c r="IZF78" s="209"/>
      <c r="IZG78" s="209"/>
      <c r="IZH78" s="209"/>
      <c r="IZI78" s="209"/>
      <c r="IZJ78" s="209"/>
      <c r="IZK78" s="209"/>
      <c r="IZL78" s="209"/>
      <c r="IZM78" s="209"/>
      <c r="IZN78" s="209"/>
      <c r="IZO78" s="209"/>
      <c r="IZP78" s="209"/>
      <c r="IZQ78" s="209"/>
      <c r="IZR78" s="209"/>
      <c r="IZS78" s="209"/>
      <c r="IZT78" s="209"/>
      <c r="IZU78" s="209"/>
      <c r="IZV78" s="209"/>
      <c r="IZW78" s="209"/>
      <c r="IZX78" s="209"/>
      <c r="IZY78" s="209"/>
      <c r="IZZ78" s="209"/>
      <c r="JAA78" s="209"/>
      <c r="JAB78" s="209"/>
      <c r="JAC78" s="209"/>
      <c r="JAD78" s="209"/>
      <c r="JAE78" s="209"/>
      <c r="JAF78" s="209"/>
      <c r="JAG78" s="209"/>
      <c r="JAH78" s="209"/>
      <c r="JAI78" s="209"/>
      <c r="JAJ78" s="209"/>
      <c r="JAK78" s="209"/>
      <c r="JAL78" s="209"/>
      <c r="JAM78" s="209"/>
      <c r="JAN78" s="209"/>
      <c r="JAO78" s="209"/>
      <c r="JAP78" s="209"/>
      <c r="JAQ78" s="209"/>
      <c r="JAR78" s="209"/>
      <c r="JAS78" s="209"/>
      <c r="JAT78" s="209"/>
      <c r="JAU78" s="209"/>
      <c r="JAV78" s="209"/>
      <c r="JAW78" s="209"/>
      <c r="JAX78" s="209"/>
      <c r="JAY78" s="209"/>
      <c r="JAZ78" s="209"/>
      <c r="JBA78" s="209"/>
      <c r="JBB78" s="209"/>
      <c r="JBC78" s="209"/>
      <c r="JBD78" s="209"/>
      <c r="JBE78" s="209"/>
      <c r="JBF78" s="209"/>
      <c r="JBG78" s="209"/>
      <c r="JBH78" s="209"/>
      <c r="JBI78" s="209"/>
      <c r="JBJ78" s="209"/>
      <c r="JBK78" s="209"/>
      <c r="JBL78" s="209"/>
      <c r="JBM78" s="209"/>
      <c r="JBN78" s="209"/>
      <c r="JBO78" s="209"/>
      <c r="JBP78" s="209"/>
      <c r="JBQ78" s="209"/>
      <c r="JBR78" s="209"/>
      <c r="JBS78" s="209"/>
      <c r="JBT78" s="209"/>
      <c r="JBU78" s="209"/>
      <c r="JBV78" s="209"/>
      <c r="JBW78" s="209"/>
      <c r="JBX78" s="209"/>
      <c r="JBY78" s="209"/>
      <c r="JBZ78" s="209"/>
      <c r="JCA78" s="209"/>
      <c r="JCB78" s="209"/>
      <c r="JCC78" s="209"/>
      <c r="JCD78" s="209"/>
      <c r="JCE78" s="209"/>
      <c r="JCF78" s="209"/>
      <c r="JCG78" s="209"/>
      <c r="JCH78" s="209"/>
      <c r="JCI78" s="209"/>
      <c r="JCJ78" s="209"/>
      <c r="JCK78" s="209"/>
      <c r="JCL78" s="209"/>
      <c r="JCM78" s="209"/>
      <c r="JCN78" s="209"/>
      <c r="JCO78" s="209"/>
      <c r="JCP78" s="209"/>
      <c r="JCQ78" s="209"/>
      <c r="JCR78" s="209"/>
      <c r="JCS78" s="209"/>
      <c r="JCT78" s="209"/>
      <c r="JCU78" s="209"/>
      <c r="JCV78" s="209"/>
      <c r="JCW78" s="209"/>
      <c r="JCX78" s="209"/>
      <c r="JCY78" s="209"/>
      <c r="JCZ78" s="209"/>
      <c r="JDA78" s="209"/>
      <c r="JDB78" s="209"/>
      <c r="JDC78" s="209"/>
      <c r="JDD78" s="209"/>
      <c r="JDE78" s="209"/>
      <c r="JDF78" s="209"/>
      <c r="JDG78" s="209"/>
      <c r="JDH78" s="209"/>
      <c r="JDI78" s="209"/>
      <c r="JDJ78" s="209"/>
      <c r="JDK78" s="209"/>
      <c r="JDL78" s="209"/>
      <c r="JDM78" s="209"/>
      <c r="JDN78" s="209"/>
      <c r="JDO78" s="209"/>
      <c r="JDP78" s="209"/>
      <c r="JDQ78" s="209"/>
      <c r="JDR78" s="209"/>
      <c r="JDS78" s="209"/>
      <c r="JDT78" s="209"/>
      <c r="JDU78" s="209"/>
      <c r="JDV78" s="209"/>
      <c r="JDW78" s="209"/>
      <c r="JDX78" s="209"/>
      <c r="JDY78" s="209"/>
      <c r="JDZ78" s="209"/>
      <c r="JEA78" s="209"/>
      <c r="JEB78" s="209"/>
      <c r="JEC78" s="209"/>
      <c r="JED78" s="209"/>
      <c r="JEE78" s="209"/>
      <c r="JEF78" s="209"/>
      <c r="JEG78" s="209"/>
      <c r="JEH78" s="209"/>
      <c r="JEI78" s="209"/>
      <c r="JEJ78" s="209"/>
      <c r="JEK78" s="209"/>
      <c r="JEL78" s="209"/>
      <c r="JEM78" s="209"/>
      <c r="JEN78" s="209"/>
      <c r="JEO78" s="209"/>
      <c r="JEP78" s="209"/>
      <c r="JEQ78" s="209"/>
      <c r="JER78" s="209"/>
      <c r="JES78" s="209"/>
      <c r="JET78" s="209"/>
      <c r="JEU78" s="209"/>
      <c r="JEV78" s="209"/>
      <c r="JEW78" s="209"/>
      <c r="JEX78" s="209"/>
      <c r="JEY78" s="209"/>
      <c r="JEZ78" s="209"/>
      <c r="JFA78" s="209"/>
      <c r="JFB78" s="209"/>
      <c r="JFC78" s="209"/>
      <c r="JFD78" s="209"/>
      <c r="JFE78" s="209"/>
      <c r="JFF78" s="209"/>
      <c r="JFG78" s="209"/>
      <c r="JFH78" s="209"/>
      <c r="JFI78" s="209"/>
      <c r="JFJ78" s="209"/>
      <c r="JFK78" s="209"/>
      <c r="JFL78" s="209"/>
      <c r="JFM78" s="209"/>
      <c r="JFN78" s="209"/>
      <c r="JFO78" s="209"/>
      <c r="JFP78" s="209"/>
      <c r="JFQ78" s="209"/>
      <c r="JFR78" s="209"/>
      <c r="JFS78" s="209"/>
      <c r="JFT78" s="209"/>
      <c r="JFU78" s="209"/>
      <c r="JFV78" s="209"/>
      <c r="JFW78" s="209"/>
      <c r="JFX78" s="209"/>
      <c r="JFY78" s="209"/>
      <c r="JFZ78" s="209"/>
      <c r="JGA78" s="209"/>
      <c r="JGB78" s="209"/>
      <c r="JGC78" s="209"/>
      <c r="JGD78" s="209"/>
      <c r="JGE78" s="209"/>
      <c r="JGF78" s="209"/>
      <c r="JGG78" s="209"/>
      <c r="JGH78" s="209"/>
      <c r="JGI78" s="209"/>
      <c r="JGJ78" s="209"/>
      <c r="JGK78" s="209"/>
      <c r="JGL78" s="209"/>
      <c r="JGM78" s="209"/>
      <c r="JGN78" s="209"/>
      <c r="JGO78" s="209"/>
      <c r="JGP78" s="209"/>
      <c r="JGQ78" s="209"/>
      <c r="JGR78" s="209"/>
      <c r="JGS78" s="209"/>
      <c r="JGT78" s="209"/>
      <c r="JGU78" s="209"/>
      <c r="JGV78" s="209"/>
      <c r="JGW78" s="209"/>
      <c r="JGX78" s="209"/>
      <c r="JGY78" s="209"/>
      <c r="JGZ78" s="209"/>
      <c r="JHA78" s="209"/>
      <c r="JHB78" s="209"/>
      <c r="JHC78" s="209"/>
      <c r="JHD78" s="209"/>
      <c r="JHE78" s="209"/>
      <c r="JHF78" s="209"/>
      <c r="JHG78" s="209"/>
      <c r="JHH78" s="209"/>
      <c r="JHI78" s="209"/>
      <c r="JHJ78" s="209"/>
      <c r="JHK78" s="209"/>
      <c r="JHL78" s="209"/>
      <c r="JHM78" s="209"/>
      <c r="JHN78" s="209"/>
      <c r="JHO78" s="209"/>
      <c r="JHP78" s="209"/>
      <c r="JHQ78" s="209"/>
      <c r="JHR78" s="209"/>
      <c r="JHS78" s="209"/>
      <c r="JHT78" s="209"/>
      <c r="JHU78" s="209"/>
      <c r="JHV78" s="209"/>
      <c r="JHW78" s="209"/>
      <c r="JHX78" s="209"/>
      <c r="JHY78" s="209"/>
      <c r="JHZ78" s="209"/>
      <c r="JIA78" s="209"/>
      <c r="JIB78" s="209"/>
      <c r="JIC78" s="209"/>
      <c r="JID78" s="209"/>
      <c r="JIE78" s="209"/>
      <c r="JIF78" s="209"/>
      <c r="JIG78" s="209"/>
      <c r="JIH78" s="209"/>
      <c r="JII78" s="209"/>
      <c r="JIJ78" s="209"/>
      <c r="JIK78" s="209"/>
      <c r="JIL78" s="209"/>
      <c r="JIM78" s="209"/>
      <c r="JIN78" s="209"/>
      <c r="JIO78" s="209"/>
      <c r="JIP78" s="209"/>
      <c r="JIQ78" s="209"/>
      <c r="JIR78" s="209"/>
      <c r="JIS78" s="209"/>
      <c r="JIT78" s="209"/>
      <c r="JIU78" s="209"/>
      <c r="JIV78" s="209"/>
      <c r="JIW78" s="209"/>
      <c r="JIX78" s="209"/>
      <c r="JIY78" s="209"/>
      <c r="JIZ78" s="209"/>
      <c r="JJA78" s="209"/>
      <c r="JJB78" s="209"/>
      <c r="JJC78" s="209"/>
      <c r="JJD78" s="209"/>
      <c r="JJE78" s="209"/>
      <c r="JJF78" s="209"/>
      <c r="JJG78" s="209"/>
      <c r="JJH78" s="209"/>
      <c r="JJI78" s="209"/>
      <c r="JJJ78" s="209"/>
      <c r="JJK78" s="209"/>
      <c r="JJL78" s="209"/>
      <c r="JJM78" s="209"/>
      <c r="JJN78" s="209"/>
      <c r="JJO78" s="209"/>
      <c r="JJP78" s="209"/>
      <c r="JJQ78" s="209"/>
      <c r="JJR78" s="209"/>
      <c r="JJS78" s="209"/>
      <c r="JJT78" s="209"/>
      <c r="JJU78" s="209"/>
      <c r="JJV78" s="209"/>
      <c r="JJW78" s="209"/>
      <c r="JJX78" s="209"/>
      <c r="JJY78" s="209"/>
      <c r="JJZ78" s="209"/>
      <c r="JKA78" s="209"/>
      <c r="JKB78" s="209"/>
      <c r="JKC78" s="209"/>
      <c r="JKD78" s="209"/>
      <c r="JKE78" s="209"/>
      <c r="JKF78" s="209"/>
      <c r="JKG78" s="209"/>
      <c r="JKH78" s="209"/>
      <c r="JKI78" s="209"/>
      <c r="JKJ78" s="209"/>
      <c r="JKK78" s="209"/>
      <c r="JKL78" s="209"/>
      <c r="JKM78" s="209"/>
      <c r="JKN78" s="209"/>
      <c r="JKO78" s="209"/>
      <c r="JKP78" s="209"/>
      <c r="JKQ78" s="209"/>
      <c r="JKR78" s="209"/>
      <c r="JKS78" s="209"/>
      <c r="JKT78" s="209"/>
      <c r="JKU78" s="209"/>
      <c r="JKV78" s="209"/>
      <c r="JKW78" s="209"/>
      <c r="JKX78" s="209"/>
      <c r="JKY78" s="209"/>
      <c r="JKZ78" s="209"/>
      <c r="JLA78" s="209"/>
      <c r="JLB78" s="209"/>
      <c r="JLC78" s="209"/>
      <c r="JLD78" s="209"/>
      <c r="JLE78" s="209"/>
      <c r="JLF78" s="209"/>
      <c r="JLG78" s="209"/>
      <c r="JLH78" s="209"/>
      <c r="JLI78" s="209"/>
      <c r="JLJ78" s="209"/>
      <c r="JLK78" s="209"/>
      <c r="JLL78" s="209"/>
      <c r="JLM78" s="209"/>
      <c r="JLN78" s="209"/>
      <c r="JLO78" s="209"/>
      <c r="JLP78" s="209"/>
      <c r="JLQ78" s="209"/>
      <c r="JLR78" s="209"/>
      <c r="JLS78" s="209"/>
      <c r="JLT78" s="209"/>
      <c r="JLU78" s="209"/>
      <c r="JLV78" s="209"/>
      <c r="JLW78" s="209"/>
      <c r="JLX78" s="209"/>
      <c r="JLY78" s="209"/>
      <c r="JLZ78" s="209"/>
      <c r="JMA78" s="209"/>
      <c r="JMB78" s="209"/>
      <c r="JMC78" s="209"/>
      <c r="JMD78" s="209"/>
      <c r="JME78" s="209"/>
      <c r="JMF78" s="209"/>
      <c r="JMG78" s="209"/>
      <c r="JMH78" s="209"/>
      <c r="JMI78" s="209"/>
      <c r="JMJ78" s="209"/>
      <c r="JMK78" s="209"/>
      <c r="JML78" s="209"/>
      <c r="JMM78" s="209"/>
      <c r="JMN78" s="209"/>
      <c r="JMO78" s="209"/>
      <c r="JMP78" s="209"/>
      <c r="JMQ78" s="209"/>
      <c r="JMR78" s="209"/>
      <c r="JMS78" s="209"/>
      <c r="JMT78" s="209"/>
      <c r="JMU78" s="209"/>
      <c r="JMV78" s="209"/>
      <c r="JMW78" s="209"/>
      <c r="JMX78" s="209"/>
      <c r="JMY78" s="209"/>
      <c r="JMZ78" s="209"/>
      <c r="JNA78" s="209"/>
      <c r="JNB78" s="209"/>
      <c r="JNC78" s="209"/>
      <c r="JND78" s="209"/>
      <c r="JNE78" s="209"/>
      <c r="JNF78" s="209"/>
      <c r="JNG78" s="209"/>
      <c r="JNH78" s="209"/>
      <c r="JNI78" s="209"/>
      <c r="JNJ78" s="209"/>
      <c r="JNK78" s="209"/>
      <c r="JNL78" s="209"/>
      <c r="JNM78" s="209"/>
      <c r="JNN78" s="209"/>
      <c r="JNO78" s="209"/>
      <c r="JNP78" s="209"/>
      <c r="JNQ78" s="209"/>
      <c r="JNR78" s="209"/>
      <c r="JNS78" s="209"/>
      <c r="JNT78" s="209"/>
      <c r="JNU78" s="209"/>
      <c r="JNV78" s="209"/>
      <c r="JNW78" s="209"/>
      <c r="JNX78" s="209"/>
      <c r="JNY78" s="209"/>
      <c r="JNZ78" s="209"/>
      <c r="JOA78" s="209"/>
      <c r="JOB78" s="209"/>
      <c r="JOC78" s="209"/>
      <c r="JOD78" s="209"/>
      <c r="JOE78" s="209"/>
      <c r="JOF78" s="209"/>
      <c r="JOG78" s="209"/>
      <c r="JOH78" s="209"/>
      <c r="JOI78" s="209"/>
      <c r="JOJ78" s="209"/>
      <c r="JOK78" s="209"/>
      <c r="JOL78" s="209"/>
      <c r="JOM78" s="209"/>
      <c r="JON78" s="209"/>
      <c r="JOO78" s="209"/>
      <c r="JOP78" s="209"/>
      <c r="JOQ78" s="209"/>
      <c r="JOR78" s="209"/>
      <c r="JOS78" s="209"/>
      <c r="JOT78" s="209"/>
      <c r="JOU78" s="209"/>
      <c r="JOV78" s="209"/>
      <c r="JOW78" s="209"/>
      <c r="JOX78" s="209"/>
      <c r="JOY78" s="209"/>
      <c r="JOZ78" s="209"/>
      <c r="JPA78" s="209"/>
      <c r="JPB78" s="209"/>
      <c r="JPC78" s="209"/>
      <c r="JPD78" s="209"/>
      <c r="JPE78" s="209"/>
      <c r="JPF78" s="209"/>
      <c r="JPG78" s="209"/>
      <c r="JPH78" s="209"/>
      <c r="JPI78" s="209"/>
      <c r="JPJ78" s="209"/>
      <c r="JPK78" s="209"/>
      <c r="JPL78" s="209"/>
      <c r="JPM78" s="209"/>
      <c r="JPN78" s="209"/>
      <c r="JPO78" s="209"/>
      <c r="JPP78" s="209"/>
      <c r="JPQ78" s="209"/>
      <c r="JPR78" s="209"/>
      <c r="JPS78" s="209"/>
      <c r="JPT78" s="209"/>
      <c r="JPU78" s="209"/>
      <c r="JPV78" s="209"/>
      <c r="JPW78" s="209"/>
      <c r="JPX78" s="209"/>
      <c r="JPY78" s="209"/>
      <c r="JPZ78" s="209"/>
      <c r="JQA78" s="209"/>
      <c r="JQB78" s="209"/>
      <c r="JQC78" s="209"/>
      <c r="JQD78" s="209"/>
      <c r="JQE78" s="209"/>
      <c r="JQF78" s="209"/>
      <c r="JQG78" s="209"/>
      <c r="JQH78" s="209"/>
      <c r="JQI78" s="209"/>
      <c r="JQJ78" s="209"/>
      <c r="JQK78" s="209"/>
      <c r="JQL78" s="209"/>
      <c r="JQM78" s="209"/>
      <c r="JQN78" s="209"/>
      <c r="JQO78" s="209"/>
      <c r="JQP78" s="209"/>
      <c r="JQQ78" s="209"/>
      <c r="JQR78" s="209"/>
      <c r="JQS78" s="209"/>
      <c r="JQT78" s="209"/>
      <c r="JQU78" s="209"/>
      <c r="JQV78" s="209"/>
      <c r="JQW78" s="209"/>
      <c r="JQX78" s="209"/>
      <c r="JQY78" s="209"/>
      <c r="JQZ78" s="209"/>
      <c r="JRA78" s="209"/>
      <c r="JRB78" s="209"/>
      <c r="JRC78" s="209"/>
      <c r="JRD78" s="209"/>
      <c r="JRE78" s="209"/>
      <c r="JRF78" s="209"/>
      <c r="JRG78" s="209"/>
      <c r="JRH78" s="209"/>
      <c r="JRI78" s="209"/>
      <c r="JRJ78" s="209"/>
      <c r="JRK78" s="209"/>
      <c r="JRL78" s="209"/>
      <c r="JRM78" s="209"/>
      <c r="JRN78" s="209"/>
      <c r="JRO78" s="209"/>
      <c r="JRP78" s="209"/>
      <c r="JRQ78" s="209"/>
      <c r="JRR78" s="209"/>
      <c r="JRS78" s="209"/>
      <c r="JRT78" s="209"/>
      <c r="JRU78" s="209"/>
      <c r="JRV78" s="209"/>
      <c r="JRW78" s="209"/>
      <c r="JRX78" s="209"/>
      <c r="JRY78" s="209"/>
      <c r="JRZ78" s="209"/>
      <c r="JSA78" s="209"/>
      <c r="JSB78" s="209"/>
      <c r="JSC78" s="209"/>
      <c r="JSD78" s="209"/>
      <c r="JSE78" s="209"/>
      <c r="JSF78" s="209"/>
      <c r="JSG78" s="209"/>
      <c r="JSH78" s="209"/>
      <c r="JSI78" s="209"/>
      <c r="JSJ78" s="209"/>
      <c r="JSK78" s="209"/>
      <c r="JSL78" s="209"/>
      <c r="JSM78" s="209"/>
      <c r="JSN78" s="209"/>
      <c r="JSO78" s="209"/>
      <c r="JSP78" s="209"/>
      <c r="JSQ78" s="209"/>
      <c r="JSR78" s="209"/>
      <c r="JSS78" s="209"/>
      <c r="JST78" s="209"/>
      <c r="JSU78" s="209"/>
      <c r="JSV78" s="209"/>
      <c r="JSW78" s="209"/>
      <c r="JSX78" s="209"/>
      <c r="JSY78" s="209"/>
      <c r="JSZ78" s="209"/>
      <c r="JTA78" s="209"/>
      <c r="JTB78" s="209"/>
      <c r="JTC78" s="209"/>
      <c r="JTD78" s="209"/>
      <c r="JTE78" s="209"/>
      <c r="JTF78" s="209"/>
      <c r="JTG78" s="209"/>
      <c r="JTH78" s="209"/>
      <c r="JTI78" s="209"/>
      <c r="JTJ78" s="209"/>
      <c r="JTK78" s="209"/>
      <c r="JTL78" s="209"/>
      <c r="JTM78" s="209"/>
      <c r="JTN78" s="209"/>
      <c r="JTO78" s="209"/>
      <c r="JTP78" s="209"/>
      <c r="JTQ78" s="209"/>
      <c r="JTR78" s="209"/>
      <c r="JTS78" s="209"/>
      <c r="JTT78" s="209"/>
      <c r="JTU78" s="209"/>
      <c r="JTV78" s="209"/>
      <c r="JTW78" s="209"/>
      <c r="JTX78" s="209"/>
      <c r="JTY78" s="209"/>
      <c r="JTZ78" s="209"/>
      <c r="JUA78" s="209"/>
      <c r="JUB78" s="209"/>
      <c r="JUC78" s="209"/>
      <c r="JUD78" s="209"/>
      <c r="JUE78" s="209"/>
      <c r="JUF78" s="209"/>
      <c r="JUG78" s="209"/>
      <c r="JUH78" s="209"/>
      <c r="JUI78" s="209"/>
      <c r="JUJ78" s="209"/>
      <c r="JUK78" s="209"/>
      <c r="JUL78" s="209"/>
      <c r="JUM78" s="209"/>
      <c r="JUN78" s="209"/>
      <c r="JUO78" s="209"/>
      <c r="JUP78" s="209"/>
      <c r="JUQ78" s="209"/>
      <c r="JUR78" s="209"/>
      <c r="JUS78" s="209"/>
      <c r="JUT78" s="209"/>
      <c r="JUU78" s="209"/>
      <c r="JUV78" s="209"/>
      <c r="JUW78" s="209"/>
      <c r="JUX78" s="209"/>
      <c r="JUY78" s="209"/>
      <c r="JUZ78" s="209"/>
      <c r="JVA78" s="209"/>
      <c r="JVB78" s="209"/>
      <c r="JVC78" s="209"/>
      <c r="JVD78" s="209"/>
      <c r="JVE78" s="209"/>
      <c r="JVF78" s="209"/>
      <c r="JVG78" s="209"/>
      <c r="JVH78" s="209"/>
      <c r="JVI78" s="209"/>
      <c r="JVJ78" s="209"/>
      <c r="JVK78" s="209"/>
      <c r="JVL78" s="209"/>
      <c r="JVM78" s="209"/>
      <c r="JVN78" s="209"/>
      <c r="JVO78" s="209"/>
      <c r="JVP78" s="209"/>
      <c r="JVQ78" s="209"/>
      <c r="JVR78" s="209"/>
      <c r="JVS78" s="209"/>
      <c r="JVT78" s="209"/>
      <c r="JVU78" s="209"/>
      <c r="JVV78" s="209"/>
      <c r="JVW78" s="209"/>
      <c r="JVX78" s="209"/>
      <c r="JVY78" s="209"/>
      <c r="JVZ78" s="209"/>
      <c r="JWA78" s="209"/>
      <c r="JWB78" s="209"/>
      <c r="JWC78" s="209"/>
      <c r="JWD78" s="209"/>
      <c r="JWE78" s="209"/>
      <c r="JWF78" s="209"/>
      <c r="JWG78" s="209"/>
      <c r="JWH78" s="209"/>
      <c r="JWI78" s="209"/>
      <c r="JWJ78" s="209"/>
      <c r="JWK78" s="209"/>
      <c r="JWL78" s="209"/>
      <c r="JWM78" s="209"/>
      <c r="JWN78" s="209"/>
      <c r="JWO78" s="209"/>
      <c r="JWP78" s="209"/>
      <c r="JWQ78" s="209"/>
      <c r="JWR78" s="209"/>
      <c r="JWS78" s="209"/>
      <c r="JWT78" s="209"/>
      <c r="JWU78" s="209"/>
      <c r="JWV78" s="209"/>
      <c r="JWW78" s="209"/>
      <c r="JWX78" s="209"/>
      <c r="JWY78" s="209"/>
      <c r="JWZ78" s="209"/>
      <c r="JXA78" s="209"/>
      <c r="JXB78" s="209"/>
      <c r="JXC78" s="209"/>
      <c r="JXD78" s="209"/>
      <c r="JXE78" s="209"/>
      <c r="JXF78" s="209"/>
      <c r="JXG78" s="209"/>
      <c r="JXH78" s="209"/>
      <c r="JXI78" s="209"/>
      <c r="JXJ78" s="209"/>
      <c r="JXK78" s="209"/>
      <c r="JXL78" s="209"/>
      <c r="JXM78" s="209"/>
      <c r="JXN78" s="209"/>
      <c r="JXO78" s="209"/>
      <c r="JXP78" s="209"/>
      <c r="JXQ78" s="209"/>
      <c r="JXR78" s="209"/>
      <c r="JXS78" s="209"/>
      <c r="JXT78" s="209"/>
      <c r="JXU78" s="209"/>
      <c r="JXV78" s="209"/>
      <c r="JXW78" s="209"/>
      <c r="JXX78" s="209"/>
      <c r="JXY78" s="209"/>
      <c r="JXZ78" s="209"/>
      <c r="JYA78" s="209"/>
      <c r="JYB78" s="209"/>
      <c r="JYC78" s="209"/>
      <c r="JYD78" s="209"/>
      <c r="JYE78" s="209"/>
      <c r="JYF78" s="209"/>
      <c r="JYG78" s="209"/>
      <c r="JYH78" s="209"/>
      <c r="JYI78" s="209"/>
      <c r="JYJ78" s="209"/>
      <c r="JYK78" s="209"/>
      <c r="JYL78" s="209"/>
      <c r="JYM78" s="209"/>
      <c r="JYN78" s="209"/>
      <c r="JYO78" s="209"/>
      <c r="JYP78" s="209"/>
      <c r="JYQ78" s="209"/>
      <c r="JYR78" s="209"/>
      <c r="JYS78" s="209"/>
      <c r="JYT78" s="209"/>
      <c r="JYU78" s="209"/>
      <c r="JYV78" s="209"/>
      <c r="JYW78" s="209"/>
      <c r="JYX78" s="209"/>
      <c r="JYY78" s="209"/>
      <c r="JYZ78" s="209"/>
      <c r="JZA78" s="209"/>
      <c r="JZB78" s="209"/>
      <c r="JZC78" s="209"/>
      <c r="JZD78" s="209"/>
      <c r="JZE78" s="209"/>
      <c r="JZF78" s="209"/>
      <c r="JZG78" s="209"/>
      <c r="JZH78" s="209"/>
      <c r="JZI78" s="209"/>
      <c r="JZJ78" s="209"/>
      <c r="JZK78" s="209"/>
      <c r="JZL78" s="209"/>
      <c r="JZM78" s="209"/>
      <c r="JZN78" s="209"/>
      <c r="JZO78" s="209"/>
      <c r="JZP78" s="209"/>
      <c r="JZQ78" s="209"/>
      <c r="JZR78" s="209"/>
      <c r="JZS78" s="209"/>
      <c r="JZT78" s="209"/>
      <c r="JZU78" s="209"/>
      <c r="JZV78" s="209"/>
      <c r="JZW78" s="209"/>
      <c r="JZX78" s="209"/>
      <c r="JZY78" s="209"/>
      <c r="JZZ78" s="209"/>
      <c r="KAA78" s="209"/>
      <c r="KAB78" s="209"/>
      <c r="KAC78" s="209"/>
      <c r="KAD78" s="209"/>
      <c r="KAE78" s="209"/>
      <c r="KAF78" s="209"/>
      <c r="KAG78" s="209"/>
      <c r="KAH78" s="209"/>
      <c r="KAI78" s="209"/>
      <c r="KAJ78" s="209"/>
      <c r="KAK78" s="209"/>
      <c r="KAL78" s="209"/>
      <c r="KAM78" s="209"/>
      <c r="KAN78" s="209"/>
      <c r="KAO78" s="209"/>
      <c r="KAP78" s="209"/>
      <c r="KAQ78" s="209"/>
      <c r="KAR78" s="209"/>
      <c r="KAS78" s="209"/>
      <c r="KAT78" s="209"/>
      <c r="KAU78" s="209"/>
      <c r="KAV78" s="209"/>
      <c r="KAW78" s="209"/>
      <c r="KAX78" s="209"/>
      <c r="KAY78" s="209"/>
      <c r="KAZ78" s="209"/>
      <c r="KBA78" s="209"/>
      <c r="KBB78" s="209"/>
      <c r="KBC78" s="209"/>
      <c r="KBD78" s="209"/>
      <c r="KBE78" s="209"/>
      <c r="KBF78" s="209"/>
      <c r="KBG78" s="209"/>
      <c r="KBH78" s="209"/>
      <c r="KBI78" s="209"/>
      <c r="KBJ78" s="209"/>
      <c r="KBK78" s="209"/>
      <c r="KBL78" s="209"/>
      <c r="KBM78" s="209"/>
      <c r="KBN78" s="209"/>
      <c r="KBO78" s="209"/>
      <c r="KBP78" s="209"/>
      <c r="KBQ78" s="209"/>
      <c r="KBR78" s="209"/>
      <c r="KBS78" s="209"/>
      <c r="KBT78" s="209"/>
      <c r="KBU78" s="209"/>
      <c r="KBV78" s="209"/>
      <c r="KBW78" s="209"/>
      <c r="KBX78" s="209"/>
      <c r="KBY78" s="209"/>
      <c r="KBZ78" s="209"/>
      <c r="KCA78" s="209"/>
      <c r="KCB78" s="209"/>
      <c r="KCC78" s="209"/>
      <c r="KCD78" s="209"/>
      <c r="KCE78" s="209"/>
      <c r="KCF78" s="209"/>
      <c r="KCG78" s="209"/>
      <c r="KCH78" s="209"/>
      <c r="KCI78" s="209"/>
      <c r="KCJ78" s="209"/>
      <c r="KCK78" s="209"/>
      <c r="KCL78" s="209"/>
      <c r="KCM78" s="209"/>
      <c r="KCN78" s="209"/>
      <c r="KCO78" s="209"/>
      <c r="KCP78" s="209"/>
      <c r="KCQ78" s="209"/>
      <c r="KCR78" s="209"/>
      <c r="KCS78" s="209"/>
      <c r="KCT78" s="209"/>
      <c r="KCU78" s="209"/>
      <c r="KCV78" s="209"/>
      <c r="KCW78" s="209"/>
      <c r="KCX78" s="209"/>
      <c r="KCY78" s="209"/>
      <c r="KCZ78" s="209"/>
      <c r="KDA78" s="209"/>
      <c r="KDB78" s="209"/>
      <c r="KDC78" s="209"/>
      <c r="KDD78" s="209"/>
      <c r="KDE78" s="209"/>
      <c r="KDF78" s="209"/>
      <c r="KDG78" s="209"/>
      <c r="KDH78" s="209"/>
      <c r="KDI78" s="209"/>
      <c r="KDJ78" s="209"/>
      <c r="KDK78" s="209"/>
      <c r="KDL78" s="209"/>
      <c r="KDM78" s="209"/>
      <c r="KDN78" s="209"/>
      <c r="KDO78" s="209"/>
      <c r="KDP78" s="209"/>
      <c r="KDQ78" s="209"/>
      <c r="KDR78" s="209"/>
      <c r="KDS78" s="209"/>
      <c r="KDT78" s="209"/>
      <c r="KDU78" s="209"/>
      <c r="KDV78" s="209"/>
      <c r="KDW78" s="209"/>
      <c r="KDX78" s="209"/>
      <c r="KDY78" s="209"/>
      <c r="KDZ78" s="209"/>
      <c r="KEA78" s="209"/>
      <c r="KEB78" s="209"/>
      <c r="KEC78" s="209"/>
      <c r="KED78" s="209"/>
      <c r="KEE78" s="209"/>
      <c r="KEF78" s="209"/>
      <c r="KEG78" s="209"/>
      <c r="KEH78" s="209"/>
      <c r="KEI78" s="209"/>
      <c r="KEJ78" s="209"/>
      <c r="KEK78" s="209"/>
      <c r="KEL78" s="209"/>
      <c r="KEM78" s="209"/>
      <c r="KEN78" s="209"/>
      <c r="KEO78" s="209"/>
      <c r="KEP78" s="209"/>
      <c r="KEQ78" s="209"/>
      <c r="KER78" s="209"/>
      <c r="KES78" s="209"/>
      <c r="KET78" s="209"/>
      <c r="KEU78" s="209"/>
      <c r="KEV78" s="209"/>
      <c r="KEW78" s="209"/>
      <c r="KEX78" s="209"/>
      <c r="KEY78" s="209"/>
      <c r="KEZ78" s="209"/>
      <c r="KFA78" s="209"/>
      <c r="KFB78" s="209"/>
      <c r="KFC78" s="209"/>
      <c r="KFD78" s="209"/>
      <c r="KFE78" s="209"/>
      <c r="KFF78" s="209"/>
      <c r="KFG78" s="209"/>
      <c r="KFH78" s="209"/>
      <c r="KFI78" s="209"/>
      <c r="KFJ78" s="209"/>
      <c r="KFK78" s="209"/>
      <c r="KFL78" s="209"/>
      <c r="KFM78" s="209"/>
      <c r="KFN78" s="209"/>
      <c r="KFO78" s="209"/>
      <c r="KFP78" s="209"/>
      <c r="KFQ78" s="209"/>
      <c r="KFR78" s="209"/>
      <c r="KFS78" s="209"/>
      <c r="KFT78" s="209"/>
      <c r="KFU78" s="209"/>
      <c r="KFV78" s="209"/>
      <c r="KFW78" s="209"/>
      <c r="KFX78" s="209"/>
      <c r="KFY78" s="209"/>
      <c r="KFZ78" s="209"/>
      <c r="KGA78" s="209"/>
      <c r="KGB78" s="209"/>
      <c r="KGC78" s="209"/>
      <c r="KGD78" s="209"/>
      <c r="KGE78" s="209"/>
      <c r="KGF78" s="209"/>
      <c r="KGG78" s="209"/>
      <c r="KGH78" s="209"/>
      <c r="KGI78" s="209"/>
      <c r="KGJ78" s="209"/>
      <c r="KGK78" s="209"/>
      <c r="KGL78" s="209"/>
      <c r="KGM78" s="209"/>
      <c r="KGN78" s="209"/>
      <c r="KGO78" s="209"/>
      <c r="KGP78" s="209"/>
      <c r="KGQ78" s="209"/>
      <c r="KGR78" s="209"/>
      <c r="KGS78" s="209"/>
      <c r="KGT78" s="209"/>
      <c r="KGU78" s="209"/>
      <c r="KGV78" s="209"/>
      <c r="KGW78" s="209"/>
      <c r="KGX78" s="209"/>
      <c r="KGY78" s="209"/>
      <c r="KGZ78" s="209"/>
      <c r="KHA78" s="209"/>
      <c r="KHB78" s="209"/>
      <c r="KHC78" s="209"/>
      <c r="KHD78" s="209"/>
      <c r="KHE78" s="209"/>
      <c r="KHF78" s="209"/>
      <c r="KHG78" s="209"/>
      <c r="KHH78" s="209"/>
      <c r="KHI78" s="209"/>
      <c r="KHJ78" s="209"/>
      <c r="KHK78" s="209"/>
      <c r="KHL78" s="209"/>
      <c r="KHM78" s="209"/>
      <c r="KHN78" s="209"/>
      <c r="KHO78" s="209"/>
      <c r="KHP78" s="209"/>
      <c r="KHQ78" s="209"/>
      <c r="KHR78" s="209"/>
      <c r="KHS78" s="209"/>
      <c r="KHT78" s="209"/>
      <c r="KHU78" s="209"/>
      <c r="KHV78" s="209"/>
      <c r="KHW78" s="209"/>
      <c r="KHX78" s="209"/>
      <c r="KHY78" s="209"/>
      <c r="KHZ78" s="209"/>
      <c r="KIA78" s="209"/>
      <c r="KIB78" s="209"/>
      <c r="KIC78" s="209"/>
      <c r="KID78" s="209"/>
      <c r="KIE78" s="209"/>
      <c r="KIF78" s="209"/>
      <c r="KIG78" s="209"/>
      <c r="KIH78" s="209"/>
      <c r="KII78" s="209"/>
      <c r="KIJ78" s="209"/>
      <c r="KIK78" s="209"/>
      <c r="KIL78" s="209"/>
      <c r="KIM78" s="209"/>
      <c r="KIN78" s="209"/>
      <c r="KIO78" s="209"/>
      <c r="KIP78" s="209"/>
      <c r="KIQ78" s="209"/>
      <c r="KIR78" s="209"/>
      <c r="KIS78" s="209"/>
      <c r="KIT78" s="209"/>
      <c r="KIU78" s="209"/>
      <c r="KIV78" s="209"/>
      <c r="KIW78" s="209"/>
      <c r="KIX78" s="209"/>
      <c r="KIY78" s="209"/>
      <c r="KIZ78" s="209"/>
      <c r="KJA78" s="209"/>
      <c r="KJB78" s="209"/>
      <c r="KJC78" s="209"/>
      <c r="KJD78" s="209"/>
      <c r="KJE78" s="209"/>
      <c r="KJF78" s="209"/>
      <c r="KJG78" s="209"/>
      <c r="KJH78" s="209"/>
      <c r="KJI78" s="209"/>
      <c r="KJJ78" s="209"/>
      <c r="KJK78" s="209"/>
      <c r="KJL78" s="209"/>
      <c r="KJM78" s="209"/>
      <c r="KJN78" s="209"/>
      <c r="KJO78" s="209"/>
      <c r="KJP78" s="209"/>
      <c r="KJQ78" s="209"/>
      <c r="KJR78" s="209"/>
      <c r="KJS78" s="209"/>
      <c r="KJT78" s="209"/>
      <c r="KJU78" s="209"/>
      <c r="KJV78" s="209"/>
      <c r="KJW78" s="209"/>
      <c r="KJX78" s="209"/>
      <c r="KJY78" s="209"/>
      <c r="KJZ78" s="209"/>
      <c r="KKA78" s="209"/>
      <c r="KKB78" s="209"/>
      <c r="KKC78" s="209"/>
      <c r="KKD78" s="209"/>
      <c r="KKE78" s="209"/>
      <c r="KKF78" s="209"/>
      <c r="KKG78" s="209"/>
      <c r="KKH78" s="209"/>
      <c r="KKI78" s="209"/>
      <c r="KKJ78" s="209"/>
      <c r="KKK78" s="209"/>
      <c r="KKL78" s="209"/>
      <c r="KKM78" s="209"/>
      <c r="KKN78" s="209"/>
      <c r="KKO78" s="209"/>
      <c r="KKP78" s="209"/>
      <c r="KKQ78" s="209"/>
      <c r="KKR78" s="209"/>
      <c r="KKS78" s="209"/>
      <c r="KKT78" s="209"/>
      <c r="KKU78" s="209"/>
      <c r="KKV78" s="209"/>
      <c r="KKW78" s="209"/>
      <c r="KKX78" s="209"/>
      <c r="KKY78" s="209"/>
      <c r="KKZ78" s="209"/>
      <c r="KLA78" s="209"/>
      <c r="KLB78" s="209"/>
      <c r="KLC78" s="209"/>
      <c r="KLD78" s="209"/>
      <c r="KLE78" s="209"/>
      <c r="KLF78" s="209"/>
      <c r="KLG78" s="209"/>
      <c r="KLH78" s="209"/>
      <c r="KLI78" s="209"/>
      <c r="KLJ78" s="209"/>
      <c r="KLK78" s="209"/>
      <c r="KLL78" s="209"/>
      <c r="KLM78" s="209"/>
      <c r="KLN78" s="209"/>
      <c r="KLO78" s="209"/>
      <c r="KLP78" s="209"/>
      <c r="KLQ78" s="209"/>
      <c r="KLR78" s="209"/>
      <c r="KLS78" s="209"/>
      <c r="KLT78" s="209"/>
      <c r="KLU78" s="209"/>
      <c r="KLV78" s="209"/>
      <c r="KLW78" s="209"/>
      <c r="KLX78" s="209"/>
      <c r="KLY78" s="209"/>
      <c r="KLZ78" s="209"/>
      <c r="KMA78" s="209"/>
      <c r="KMB78" s="209"/>
      <c r="KMC78" s="209"/>
      <c r="KMD78" s="209"/>
      <c r="KME78" s="209"/>
      <c r="KMF78" s="209"/>
      <c r="KMG78" s="209"/>
      <c r="KMH78" s="209"/>
      <c r="KMI78" s="209"/>
      <c r="KMJ78" s="209"/>
      <c r="KMK78" s="209"/>
      <c r="KML78" s="209"/>
      <c r="KMM78" s="209"/>
      <c r="KMN78" s="209"/>
      <c r="KMO78" s="209"/>
      <c r="KMP78" s="209"/>
      <c r="KMQ78" s="209"/>
      <c r="KMR78" s="209"/>
      <c r="KMS78" s="209"/>
      <c r="KMT78" s="209"/>
      <c r="KMU78" s="209"/>
      <c r="KMV78" s="209"/>
      <c r="KMW78" s="209"/>
      <c r="KMX78" s="209"/>
      <c r="KMY78" s="209"/>
      <c r="KMZ78" s="209"/>
      <c r="KNA78" s="209"/>
      <c r="KNB78" s="209"/>
      <c r="KNC78" s="209"/>
      <c r="KND78" s="209"/>
      <c r="KNE78" s="209"/>
      <c r="KNF78" s="209"/>
      <c r="KNG78" s="209"/>
      <c r="KNH78" s="209"/>
      <c r="KNI78" s="209"/>
      <c r="KNJ78" s="209"/>
      <c r="KNK78" s="209"/>
      <c r="KNL78" s="209"/>
      <c r="KNM78" s="209"/>
      <c r="KNN78" s="209"/>
      <c r="KNO78" s="209"/>
      <c r="KNP78" s="209"/>
      <c r="KNQ78" s="209"/>
      <c r="KNR78" s="209"/>
      <c r="KNS78" s="209"/>
      <c r="KNT78" s="209"/>
      <c r="KNU78" s="209"/>
      <c r="KNV78" s="209"/>
      <c r="KNW78" s="209"/>
      <c r="KNX78" s="209"/>
      <c r="KNY78" s="209"/>
      <c r="KNZ78" s="209"/>
      <c r="KOA78" s="209"/>
      <c r="KOB78" s="209"/>
      <c r="KOC78" s="209"/>
      <c r="KOD78" s="209"/>
      <c r="KOE78" s="209"/>
      <c r="KOF78" s="209"/>
      <c r="KOG78" s="209"/>
      <c r="KOH78" s="209"/>
      <c r="KOI78" s="209"/>
      <c r="KOJ78" s="209"/>
      <c r="KOK78" s="209"/>
      <c r="KOL78" s="209"/>
      <c r="KOM78" s="209"/>
      <c r="KON78" s="209"/>
      <c r="KOO78" s="209"/>
      <c r="KOP78" s="209"/>
      <c r="KOQ78" s="209"/>
      <c r="KOR78" s="209"/>
      <c r="KOS78" s="209"/>
      <c r="KOT78" s="209"/>
      <c r="KOU78" s="209"/>
      <c r="KOV78" s="209"/>
      <c r="KOW78" s="209"/>
      <c r="KOX78" s="209"/>
      <c r="KOY78" s="209"/>
      <c r="KOZ78" s="209"/>
      <c r="KPA78" s="209"/>
      <c r="KPB78" s="209"/>
      <c r="KPC78" s="209"/>
      <c r="KPD78" s="209"/>
      <c r="KPE78" s="209"/>
      <c r="KPF78" s="209"/>
      <c r="KPG78" s="209"/>
      <c r="KPH78" s="209"/>
      <c r="KPI78" s="209"/>
      <c r="KPJ78" s="209"/>
      <c r="KPK78" s="209"/>
      <c r="KPL78" s="209"/>
      <c r="KPM78" s="209"/>
      <c r="KPN78" s="209"/>
      <c r="KPO78" s="209"/>
      <c r="KPP78" s="209"/>
      <c r="KPQ78" s="209"/>
      <c r="KPR78" s="209"/>
      <c r="KPS78" s="209"/>
      <c r="KPT78" s="209"/>
      <c r="KPU78" s="209"/>
      <c r="KPV78" s="209"/>
      <c r="KPW78" s="209"/>
      <c r="KPX78" s="209"/>
      <c r="KPY78" s="209"/>
      <c r="KPZ78" s="209"/>
      <c r="KQA78" s="209"/>
      <c r="KQB78" s="209"/>
      <c r="KQC78" s="209"/>
      <c r="KQD78" s="209"/>
      <c r="KQE78" s="209"/>
      <c r="KQF78" s="209"/>
      <c r="KQG78" s="209"/>
      <c r="KQH78" s="209"/>
      <c r="KQI78" s="209"/>
      <c r="KQJ78" s="209"/>
      <c r="KQK78" s="209"/>
      <c r="KQL78" s="209"/>
      <c r="KQM78" s="209"/>
      <c r="KQN78" s="209"/>
      <c r="KQO78" s="209"/>
      <c r="KQP78" s="209"/>
      <c r="KQQ78" s="209"/>
      <c r="KQR78" s="209"/>
      <c r="KQS78" s="209"/>
      <c r="KQT78" s="209"/>
      <c r="KQU78" s="209"/>
      <c r="KQV78" s="209"/>
      <c r="KQW78" s="209"/>
      <c r="KQX78" s="209"/>
      <c r="KQY78" s="209"/>
      <c r="KQZ78" s="209"/>
      <c r="KRA78" s="209"/>
      <c r="KRB78" s="209"/>
      <c r="KRC78" s="209"/>
      <c r="KRD78" s="209"/>
      <c r="KRE78" s="209"/>
      <c r="KRF78" s="209"/>
      <c r="KRG78" s="209"/>
      <c r="KRH78" s="209"/>
      <c r="KRI78" s="209"/>
      <c r="KRJ78" s="209"/>
      <c r="KRK78" s="209"/>
      <c r="KRL78" s="209"/>
      <c r="KRM78" s="209"/>
      <c r="KRN78" s="209"/>
      <c r="KRO78" s="209"/>
      <c r="KRP78" s="209"/>
      <c r="KRQ78" s="209"/>
      <c r="KRR78" s="209"/>
      <c r="KRS78" s="209"/>
      <c r="KRT78" s="209"/>
      <c r="KRU78" s="209"/>
      <c r="KRV78" s="209"/>
      <c r="KRW78" s="209"/>
      <c r="KRX78" s="209"/>
      <c r="KRY78" s="209"/>
      <c r="KRZ78" s="209"/>
      <c r="KSA78" s="209"/>
      <c r="KSB78" s="209"/>
      <c r="KSC78" s="209"/>
      <c r="KSD78" s="209"/>
      <c r="KSE78" s="209"/>
      <c r="KSF78" s="209"/>
      <c r="KSG78" s="209"/>
      <c r="KSH78" s="209"/>
      <c r="KSI78" s="209"/>
      <c r="KSJ78" s="209"/>
      <c r="KSK78" s="209"/>
      <c r="KSL78" s="209"/>
      <c r="KSM78" s="209"/>
      <c r="KSN78" s="209"/>
      <c r="KSO78" s="209"/>
      <c r="KSP78" s="209"/>
      <c r="KSQ78" s="209"/>
      <c r="KSR78" s="209"/>
      <c r="KSS78" s="209"/>
      <c r="KST78" s="209"/>
      <c r="KSU78" s="209"/>
      <c r="KSV78" s="209"/>
      <c r="KSW78" s="209"/>
      <c r="KSX78" s="209"/>
      <c r="KSY78" s="209"/>
      <c r="KSZ78" s="209"/>
      <c r="KTA78" s="209"/>
      <c r="KTB78" s="209"/>
      <c r="KTC78" s="209"/>
      <c r="KTD78" s="209"/>
      <c r="KTE78" s="209"/>
      <c r="KTF78" s="209"/>
      <c r="KTG78" s="209"/>
      <c r="KTH78" s="209"/>
      <c r="KTI78" s="209"/>
      <c r="KTJ78" s="209"/>
      <c r="KTK78" s="209"/>
      <c r="KTL78" s="209"/>
      <c r="KTM78" s="209"/>
      <c r="KTN78" s="209"/>
      <c r="KTO78" s="209"/>
      <c r="KTP78" s="209"/>
      <c r="KTQ78" s="209"/>
      <c r="KTR78" s="209"/>
      <c r="KTS78" s="209"/>
      <c r="KTT78" s="209"/>
      <c r="KTU78" s="209"/>
      <c r="KTV78" s="209"/>
      <c r="KTW78" s="209"/>
      <c r="KTX78" s="209"/>
      <c r="KTY78" s="209"/>
      <c r="KTZ78" s="209"/>
      <c r="KUA78" s="209"/>
      <c r="KUB78" s="209"/>
      <c r="KUC78" s="209"/>
      <c r="KUD78" s="209"/>
      <c r="KUE78" s="209"/>
      <c r="KUF78" s="209"/>
      <c r="KUG78" s="209"/>
      <c r="KUH78" s="209"/>
      <c r="KUI78" s="209"/>
      <c r="KUJ78" s="209"/>
      <c r="KUK78" s="209"/>
      <c r="KUL78" s="209"/>
      <c r="KUM78" s="209"/>
      <c r="KUN78" s="209"/>
      <c r="KUO78" s="209"/>
      <c r="KUP78" s="209"/>
      <c r="KUQ78" s="209"/>
      <c r="KUR78" s="209"/>
      <c r="KUS78" s="209"/>
      <c r="KUT78" s="209"/>
      <c r="KUU78" s="209"/>
      <c r="KUV78" s="209"/>
      <c r="KUW78" s="209"/>
      <c r="KUX78" s="209"/>
      <c r="KUY78" s="209"/>
      <c r="KUZ78" s="209"/>
      <c r="KVA78" s="209"/>
      <c r="KVB78" s="209"/>
      <c r="KVC78" s="209"/>
      <c r="KVD78" s="209"/>
      <c r="KVE78" s="209"/>
      <c r="KVF78" s="209"/>
      <c r="KVG78" s="209"/>
      <c r="KVH78" s="209"/>
      <c r="KVI78" s="209"/>
      <c r="KVJ78" s="209"/>
      <c r="KVK78" s="209"/>
      <c r="KVL78" s="209"/>
      <c r="KVM78" s="209"/>
      <c r="KVN78" s="209"/>
      <c r="KVO78" s="209"/>
      <c r="KVP78" s="209"/>
      <c r="KVQ78" s="209"/>
      <c r="KVR78" s="209"/>
      <c r="KVS78" s="209"/>
      <c r="KVT78" s="209"/>
      <c r="KVU78" s="209"/>
      <c r="KVV78" s="209"/>
      <c r="KVW78" s="209"/>
      <c r="KVX78" s="209"/>
      <c r="KVY78" s="209"/>
      <c r="KVZ78" s="209"/>
      <c r="KWA78" s="209"/>
      <c r="KWB78" s="209"/>
      <c r="KWC78" s="209"/>
      <c r="KWD78" s="209"/>
      <c r="KWE78" s="209"/>
      <c r="KWF78" s="209"/>
      <c r="KWG78" s="209"/>
      <c r="KWH78" s="209"/>
      <c r="KWI78" s="209"/>
      <c r="KWJ78" s="209"/>
      <c r="KWK78" s="209"/>
      <c r="KWL78" s="209"/>
      <c r="KWM78" s="209"/>
      <c r="KWN78" s="209"/>
      <c r="KWO78" s="209"/>
      <c r="KWP78" s="209"/>
      <c r="KWQ78" s="209"/>
      <c r="KWR78" s="209"/>
      <c r="KWS78" s="209"/>
      <c r="KWT78" s="209"/>
      <c r="KWU78" s="209"/>
      <c r="KWV78" s="209"/>
      <c r="KWW78" s="209"/>
      <c r="KWX78" s="209"/>
      <c r="KWY78" s="209"/>
      <c r="KWZ78" s="209"/>
      <c r="KXA78" s="209"/>
      <c r="KXB78" s="209"/>
      <c r="KXC78" s="209"/>
      <c r="KXD78" s="209"/>
      <c r="KXE78" s="209"/>
      <c r="KXF78" s="209"/>
      <c r="KXG78" s="209"/>
      <c r="KXH78" s="209"/>
      <c r="KXI78" s="209"/>
      <c r="KXJ78" s="209"/>
      <c r="KXK78" s="209"/>
      <c r="KXL78" s="209"/>
      <c r="KXM78" s="209"/>
      <c r="KXN78" s="209"/>
      <c r="KXO78" s="209"/>
      <c r="KXP78" s="209"/>
      <c r="KXQ78" s="209"/>
      <c r="KXR78" s="209"/>
      <c r="KXS78" s="209"/>
      <c r="KXT78" s="209"/>
      <c r="KXU78" s="209"/>
      <c r="KXV78" s="209"/>
      <c r="KXW78" s="209"/>
      <c r="KXX78" s="209"/>
      <c r="KXY78" s="209"/>
      <c r="KXZ78" s="209"/>
      <c r="KYA78" s="209"/>
      <c r="KYB78" s="209"/>
      <c r="KYC78" s="209"/>
      <c r="KYD78" s="209"/>
      <c r="KYE78" s="209"/>
      <c r="KYF78" s="209"/>
      <c r="KYG78" s="209"/>
      <c r="KYH78" s="209"/>
      <c r="KYI78" s="209"/>
      <c r="KYJ78" s="209"/>
      <c r="KYK78" s="209"/>
      <c r="KYL78" s="209"/>
      <c r="KYM78" s="209"/>
      <c r="KYN78" s="209"/>
      <c r="KYO78" s="209"/>
      <c r="KYP78" s="209"/>
      <c r="KYQ78" s="209"/>
      <c r="KYR78" s="209"/>
      <c r="KYS78" s="209"/>
      <c r="KYT78" s="209"/>
      <c r="KYU78" s="209"/>
      <c r="KYV78" s="209"/>
      <c r="KYW78" s="209"/>
      <c r="KYX78" s="209"/>
      <c r="KYY78" s="209"/>
      <c r="KYZ78" s="209"/>
      <c r="KZA78" s="209"/>
      <c r="KZB78" s="209"/>
      <c r="KZC78" s="209"/>
      <c r="KZD78" s="209"/>
      <c r="KZE78" s="209"/>
      <c r="KZF78" s="209"/>
      <c r="KZG78" s="209"/>
      <c r="KZH78" s="209"/>
      <c r="KZI78" s="209"/>
      <c r="KZJ78" s="209"/>
      <c r="KZK78" s="209"/>
      <c r="KZL78" s="209"/>
      <c r="KZM78" s="209"/>
      <c r="KZN78" s="209"/>
      <c r="KZO78" s="209"/>
      <c r="KZP78" s="209"/>
      <c r="KZQ78" s="209"/>
      <c r="KZR78" s="209"/>
      <c r="KZS78" s="209"/>
      <c r="KZT78" s="209"/>
      <c r="KZU78" s="209"/>
      <c r="KZV78" s="209"/>
      <c r="KZW78" s="209"/>
      <c r="KZX78" s="209"/>
      <c r="KZY78" s="209"/>
      <c r="KZZ78" s="209"/>
      <c r="LAA78" s="209"/>
      <c r="LAB78" s="209"/>
      <c r="LAC78" s="209"/>
      <c r="LAD78" s="209"/>
      <c r="LAE78" s="209"/>
      <c r="LAF78" s="209"/>
      <c r="LAG78" s="209"/>
      <c r="LAH78" s="209"/>
      <c r="LAI78" s="209"/>
      <c r="LAJ78" s="209"/>
      <c r="LAK78" s="209"/>
      <c r="LAL78" s="209"/>
      <c r="LAM78" s="209"/>
      <c r="LAN78" s="209"/>
      <c r="LAO78" s="209"/>
      <c r="LAP78" s="209"/>
      <c r="LAQ78" s="209"/>
      <c r="LAR78" s="209"/>
      <c r="LAS78" s="209"/>
      <c r="LAT78" s="209"/>
      <c r="LAU78" s="209"/>
      <c r="LAV78" s="209"/>
      <c r="LAW78" s="209"/>
      <c r="LAX78" s="209"/>
      <c r="LAY78" s="209"/>
      <c r="LAZ78" s="209"/>
      <c r="LBA78" s="209"/>
      <c r="LBB78" s="209"/>
      <c r="LBC78" s="209"/>
      <c r="LBD78" s="209"/>
      <c r="LBE78" s="209"/>
      <c r="LBF78" s="209"/>
      <c r="LBG78" s="209"/>
      <c r="LBH78" s="209"/>
      <c r="LBI78" s="209"/>
      <c r="LBJ78" s="209"/>
      <c r="LBK78" s="209"/>
      <c r="LBL78" s="209"/>
      <c r="LBM78" s="209"/>
      <c r="LBN78" s="209"/>
      <c r="LBO78" s="209"/>
      <c r="LBP78" s="209"/>
      <c r="LBQ78" s="209"/>
      <c r="LBR78" s="209"/>
      <c r="LBS78" s="209"/>
      <c r="LBT78" s="209"/>
      <c r="LBU78" s="209"/>
      <c r="LBV78" s="209"/>
      <c r="LBW78" s="209"/>
      <c r="LBX78" s="209"/>
      <c r="LBY78" s="209"/>
      <c r="LBZ78" s="209"/>
      <c r="LCA78" s="209"/>
      <c r="LCB78" s="209"/>
      <c r="LCC78" s="209"/>
      <c r="LCD78" s="209"/>
      <c r="LCE78" s="209"/>
      <c r="LCF78" s="209"/>
      <c r="LCG78" s="209"/>
      <c r="LCH78" s="209"/>
      <c r="LCI78" s="209"/>
      <c r="LCJ78" s="209"/>
      <c r="LCK78" s="209"/>
      <c r="LCL78" s="209"/>
      <c r="LCM78" s="209"/>
      <c r="LCN78" s="209"/>
      <c r="LCO78" s="209"/>
      <c r="LCP78" s="209"/>
      <c r="LCQ78" s="209"/>
      <c r="LCR78" s="209"/>
      <c r="LCS78" s="209"/>
      <c r="LCT78" s="209"/>
      <c r="LCU78" s="209"/>
      <c r="LCV78" s="209"/>
      <c r="LCW78" s="209"/>
      <c r="LCX78" s="209"/>
      <c r="LCY78" s="209"/>
      <c r="LCZ78" s="209"/>
      <c r="LDA78" s="209"/>
      <c r="LDB78" s="209"/>
      <c r="LDC78" s="209"/>
      <c r="LDD78" s="209"/>
      <c r="LDE78" s="209"/>
      <c r="LDF78" s="209"/>
      <c r="LDG78" s="209"/>
      <c r="LDH78" s="209"/>
      <c r="LDI78" s="209"/>
      <c r="LDJ78" s="209"/>
      <c r="LDK78" s="209"/>
      <c r="LDL78" s="209"/>
      <c r="LDM78" s="209"/>
      <c r="LDN78" s="209"/>
      <c r="LDO78" s="209"/>
      <c r="LDP78" s="209"/>
      <c r="LDQ78" s="209"/>
      <c r="LDR78" s="209"/>
      <c r="LDS78" s="209"/>
      <c r="LDT78" s="209"/>
      <c r="LDU78" s="209"/>
      <c r="LDV78" s="209"/>
      <c r="LDW78" s="209"/>
      <c r="LDX78" s="209"/>
      <c r="LDY78" s="209"/>
      <c r="LDZ78" s="209"/>
      <c r="LEA78" s="209"/>
      <c r="LEB78" s="209"/>
      <c r="LEC78" s="209"/>
      <c r="LED78" s="209"/>
      <c r="LEE78" s="209"/>
      <c r="LEF78" s="209"/>
      <c r="LEG78" s="209"/>
      <c r="LEH78" s="209"/>
      <c r="LEI78" s="209"/>
      <c r="LEJ78" s="209"/>
      <c r="LEK78" s="209"/>
      <c r="LEL78" s="209"/>
      <c r="LEM78" s="209"/>
      <c r="LEN78" s="209"/>
      <c r="LEO78" s="209"/>
      <c r="LEP78" s="209"/>
      <c r="LEQ78" s="209"/>
      <c r="LER78" s="209"/>
      <c r="LES78" s="209"/>
      <c r="LET78" s="209"/>
      <c r="LEU78" s="209"/>
      <c r="LEV78" s="209"/>
      <c r="LEW78" s="209"/>
      <c r="LEX78" s="209"/>
      <c r="LEY78" s="209"/>
      <c r="LEZ78" s="209"/>
      <c r="LFA78" s="209"/>
      <c r="LFB78" s="209"/>
      <c r="LFC78" s="209"/>
      <c r="LFD78" s="209"/>
      <c r="LFE78" s="209"/>
      <c r="LFF78" s="209"/>
      <c r="LFG78" s="209"/>
      <c r="LFH78" s="209"/>
      <c r="LFI78" s="209"/>
      <c r="LFJ78" s="209"/>
      <c r="LFK78" s="209"/>
      <c r="LFL78" s="209"/>
      <c r="LFM78" s="209"/>
      <c r="LFN78" s="209"/>
      <c r="LFO78" s="209"/>
      <c r="LFP78" s="209"/>
      <c r="LFQ78" s="209"/>
      <c r="LFR78" s="209"/>
      <c r="LFS78" s="209"/>
      <c r="LFT78" s="209"/>
      <c r="LFU78" s="209"/>
      <c r="LFV78" s="209"/>
      <c r="LFW78" s="209"/>
      <c r="LFX78" s="209"/>
      <c r="LFY78" s="209"/>
      <c r="LFZ78" s="209"/>
      <c r="LGA78" s="209"/>
      <c r="LGB78" s="209"/>
      <c r="LGC78" s="209"/>
      <c r="LGD78" s="209"/>
      <c r="LGE78" s="209"/>
      <c r="LGF78" s="209"/>
      <c r="LGG78" s="209"/>
      <c r="LGH78" s="209"/>
      <c r="LGI78" s="209"/>
      <c r="LGJ78" s="209"/>
      <c r="LGK78" s="209"/>
      <c r="LGL78" s="209"/>
      <c r="LGM78" s="209"/>
      <c r="LGN78" s="209"/>
      <c r="LGO78" s="209"/>
      <c r="LGP78" s="209"/>
      <c r="LGQ78" s="209"/>
      <c r="LGR78" s="209"/>
      <c r="LGS78" s="209"/>
      <c r="LGT78" s="209"/>
      <c r="LGU78" s="209"/>
      <c r="LGV78" s="209"/>
      <c r="LGW78" s="209"/>
      <c r="LGX78" s="209"/>
      <c r="LGY78" s="209"/>
      <c r="LGZ78" s="209"/>
      <c r="LHA78" s="209"/>
      <c r="LHB78" s="209"/>
      <c r="LHC78" s="209"/>
      <c r="LHD78" s="209"/>
      <c r="LHE78" s="209"/>
      <c r="LHF78" s="209"/>
      <c r="LHG78" s="209"/>
      <c r="LHH78" s="209"/>
      <c r="LHI78" s="209"/>
      <c r="LHJ78" s="209"/>
      <c r="LHK78" s="209"/>
      <c r="LHL78" s="209"/>
      <c r="LHM78" s="209"/>
      <c r="LHN78" s="209"/>
      <c r="LHO78" s="209"/>
      <c r="LHP78" s="209"/>
      <c r="LHQ78" s="209"/>
      <c r="LHR78" s="209"/>
      <c r="LHS78" s="209"/>
      <c r="LHT78" s="209"/>
      <c r="LHU78" s="209"/>
      <c r="LHV78" s="209"/>
      <c r="LHW78" s="209"/>
      <c r="LHX78" s="209"/>
      <c r="LHY78" s="209"/>
      <c r="LHZ78" s="209"/>
      <c r="LIA78" s="209"/>
      <c r="LIB78" s="209"/>
      <c r="LIC78" s="209"/>
      <c r="LID78" s="209"/>
      <c r="LIE78" s="209"/>
      <c r="LIF78" s="209"/>
      <c r="LIG78" s="209"/>
      <c r="LIH78" s="209"/>
      <c r="LII78" s="209"/>
      <c r="LIJ78" s="209"/>
      <c r="LIK78" s="209"/>
      <c r="LIL78" s="209"/>
      <c r="LIM78" s="209"/>
      <c r="LIN78" s="209"/>
      <c r="LIO78" s="209"/>
      <c r="LIP78" s="209"/>
      <c r="LIQ78" s="209"/>
      <c r="LIR78" s="209"/>
      <c r="LIS78" s="209"/>
      <c r="LIT78" s="209"/>
      <c r="LIU78" s="209"/>
      <c r="LIV78" s="209"/>
      <c r="LIW78" s="209"/>
      <c r="LIX78" s="209"/>
      <c r="LIY78" s="209"/>
      <c r="LIZ78" s="209"/>
      <c r="LJA78" s="209"/>
      <c r="LJB78" s="209"/>
      <c r="LJC78" s="209"/>
      <c r="LJD78" s="209"/>
      <c r="LJE78" s="209"/>
      <c r="LJF78" s="209"/>
      <c r="LJG78" s="209"/>
      <c r="LJH78" s="209"/>
      <c r="LJI78" s="209"/>
      <c r="LJJ78" s="209"/>
      <c r="LJK78" s="209"/>
      <c r="LJL78" s="209"/>
      <c r="LJM78" s="209"/>
      <c r="LJN78" s="209"/>
      <c r="LJO78" s="209"/>
      <c r="LJP78" s="209"/>
      <c r="LJQ78" s="209"/>
      <c r="LJR78" s="209"/>
      <c r="LJS78" s="209"/>
      <c r="LJT78" s="209"/>
      <c r="LJU78" s="209"/>
      <c r="LJV78" s="209"/>
      <c r="LJW78" s="209"/>
      <c r="LJX78" s="209"/>
      <c r="LJY78" s="209"/>
      <c r="LJZ78" s="209"/>
      <c r="LKA78" s="209"/>
      <c r="LKB78" s="209"/>
      <c r="LKC78" s="209"/>
      <c r="LKD78" s="209"/>
      <c r="LKE78" s="209"/>
      <c r="LKF78" s="209"/>
      <c r="LKG78" s="209"/>
      <c r="LKH78" s="209"/>
      <c r="LKI78" s="209"/>
      <c r="LKJ78" s="209"/>
      <c r="LKK78" s="209"/>
      <c r="LKL78" s="209"/>
      <c r="LKM78" s="209"/>
      <c r="LKN78" s="209"/>
      <c r="LKO78" s="209"/>
      <c r="LKP78" s="209"/>
      <c r="LKQ78" s="209"/>
      <c r="LKR78" s="209"/>
      <c r="LKS78" s="209"/>
      <c r="LKT78" s="209"/>
      <c r="LKU78" s="209"/>
      <c r="LKV78" s="209"/>
      <c r="LKW78" s="209"/>
      <c r="LKX78" s="209"/>
      <c r="LKY78" s="209"/>
      <c r="LKZ78" s="209"/>
      <c r="LLA78" s="209"/>
      <c r="LLB78" s="209"/>
      <c r="LLC78" s="209"/>
      <c r="LLD78" s="209"/>
      <c r="LLE78" s="209"/>
      <c r="LLF78" s="209"/>
      <c r="LLG78" s="209"/>
      <c r="LLH78" s="209"/>
      <c r="LLI78" s="209"/>
      <c r="LLJ78" s="209"/>
      <c r="LLK78" s="209"/>
      <c r="LLL78" s="209"/>
      <c r="LLM78" s="209"/>
      <c r="LLN78" s="209"/>
      <c r="LLO78" s="209"/>
      <c r="LLP78" s="209"/>
      <c r="LLQ78" s="209"/>
      <c r="LLR78" s="209"/>
      <c r="LLS78" s="209"/>
      <c r="LLT78" s="209"/>
      <c r="LLU78" s="209"/>
      <c r="LLV78" s="209"/>
      <c r="LLW78" s="209"/>
      <c r="LLX78" s="209"/>
      <c r="LLY78" s="209"/>
      <c r="LLZ78" s="209"/>
      <c r="LMA78" s="209"/>
      <c r="LMB78" s="209"/>
      <c r="LMC78" s="209"/>
      <c r="LMD78" s="209"/>
      <c r="LME78" s="209"/>
      <c r="LMF78" s="209"/>
      <c r="LMG78" s="209"/>
      <c r="LMH78" s="209"/>
      <c r="LMI78" s="209"/>
      <c r="LMJ78" s="209"/>
      <c r="LMK78" s="209"/>
      <c r="LML78" s="209"/>
      <c r="LMM78" s="209"/>
      <c r="LMN78" s="209"/>
      <c r="LMO78" s="209"/>
      <c r="LMP78" s="209"/>
      <c r="LMQ78" s="209"/>
      <c r="LMR78" s="209"/>
      <c r="LMS78" s="209"/>
      <c r="LMT78" s="209"/>
      <c r="LMU78" s="209"/>
      <c r="LMV78" s="209"/>
      <c r="LMW78" s="209"/>
      <c r="LMX78" s="209"/>
      <c r="LMY78" s="209"/>
      <c r="LMZ78" s="209"/>
      <c r="LNA78" s="209"/>
      <c r="LNB78" s="209"/>
      <c r="LNC78" s="209"/>
      <c r="LND78" s="209"/>
      <c r="LNE78" s="209"/>
      <c r="LNF78" s="209"/>
      <c r="LNG78" s="209"/>
      <c r="LNH78" s="209"/>
      <c r="LNI78" s="209"/>
      <c r="LNJ78" s="209"/>
      <c r="LNK78" s="209"/>
      <c r="LNL78" s="209"/>
      <c r="LNM78" s="209"/>
      <c r="LNN78" s="209"/>
      <c r="LNO78" s="209"/>
      <c r="LNP78" s="209"/>
      <c r="LNQ78" s="209"/>
      <c r="LNR78" s="209"/>
      <c r="LNS78" s="209"/>
      <c r="LNT78" s="209"/>
      <c r="LNU78" s="209"/>
      <c r="LNV78" s="209"/>
      <c r="LNW78" s="209"/>
      <c r="LNX78" s="209"/>
      <c r="LNY78" s="209"/>
      <c r="LNZ78" s="209"/>
      <c r="LOA78" s="209"/>
      <c r="LOB78" s="209"/>
      <c r="LOC78" s="209"/>
      <c r="LOD78" s="209"/>
      <c r="LOE78" s="209"/>
      <c r="LOF78" s="209"/>
      <c r="LOG78" s="209"/>
      <c r="LOH78" s="209"/>
      <c r="LOI78" s="209"/>
      <c r="LOJ78" s="209"/>
      <c r="LOK78" s="209"/>
      <c r="LOL78" s="209"/>
      <c r="LOM78" s="209"/>
      <c r="LON78" s="209"/>
      <c r="LOO78" s="209"/>
      <c r="LOP78" s="209"/>
      <c r="LOQ78" s="209"/>
      <c r="LOR78" s="209"/>
      <c r="LOS78" s="209"/>
      <c r="LOT78" s="209"/>
      <c r="LOU78" s="209"/>
      <c r="LOV78" s="209"/>
      <c r="LOW78" s="209"/>
      <c r="LOX78" s="209"/>
      <c r="LOY78" s="209"/>
      <c r="LOZ78" s="209"/>
      <c r="LPA78" s="209"/>
      <c r="LPB78" s="209"/>
      <c r="LPC78" s="209"/>
      <c r="LPD78" s="209"/>
      <c r="LPE78" s="209"/>
      <c r="LPF78" s="209"/>
      <c r="LPG78" s="209"/>
      <c r="LPH78" s="209"/>
      <c r="LPI78" s="209"/>
      <c r="LPJ78" s="209"/>
      <c r="LPK78" s="209"/>
      <c r="LPL78" s="209"/>
      <c r="LPM78" s="209"/>
      <c r="LPN78" s="209"/>
      <c r="LPO78" s="209"/>
      <c r="LPP78" s="209"/>
      <c r="LPQ78" s="209"/>
      <c r="LPR78" s="209"/>
      <c r="LPS78" s="209"/>
      <c r="LPT78" s="209"/>
      <c r="LPU78" s="209"/>
      <c r="LPV78" s="209"/>
      <c r="LPW78" s="209"/>
      <c r="LPX78" s="209"/>
      <c r="LPY78" s="209"/>
      <c r="LPZ78" s="209"/>
      <c r="LQA78" s="209"/>
      <c r="LQB78" s="209"/>
      <c r="LQC78" s="209"/>
      <c r="LQD78" s="209"/>
      <c r="LQE78" s="209"/>
      <c r="LQF78" s="209"/>
      <c r="LQG78" s="209"/>
      <c r="LQH78" s="209"/>
      <c r="LQI78" s="209"/>
      <c r="LQJ78" s="209"/>
      <c r="LQK78" s="209"/>
      <c r="LQL78" s="209"/>
      <c r="LQM78" s="209"/>
      <c r="LQN78" s="209"/>
      <c r="LQO78" s="209"/>
      <c r="LQP78" s="209"/>
      <c r="LQQ78" s="209"/>
      <c r="LQR78" s="209"/>
      <c r="LQS78" s="209"/>
      <c r="LQT78" s="209"/>
      <c r="LQU78" s="209"/>
      <c r="LQV78" s="209"/>
      <c r="LQW78" s="209"/>
      <c r="LQX78" s="209"/>
      <c r="LQY78" s="209"/>
      <c r="LQZ78" s="209"/>
      <c r="LRA78" s="209"/>
      <c r="LRB78" s="209"/>
      <c r="LRC78" s="209"/>
      <c r="LRD78" s="209"/>
      <c r="LRE78" s="209"/>
      <c r="LRF78" s="209"/>
      <c r="LRG78" s="209"/>
      <c r="LRH78" s="209"/>
      <c r="LRI78" s="209"/>
      <c r="LRJ78" s="209"/>
      <c r="LRK78" s="209"/>
      <c r="LRL78" s="209"/>
      <c r="LRM78" s="209"/>
      <c r="LRN78" s="209"/>
      <c r="LRO78" s="209"/>
      <c r="LRP78" s="209"/>
      <c r="LRQ78" s="209"/>
      <c r="LRR78" s="209"/>
      <c r="LRS78" s="209"/>
      <c r="LRT78" s="209"/>
      <c r="LRU78" s="209"/>
      <c r="LRV78" s="209"/>
      <c r="LRW78" s="209"/>
      <c r="LRX78" s="209"/>
      <c r="LRY78" s="209"/>
      <c r="LRZ78" s="209"/>
      <c r="LSA78" s="209"/>
      <c r="LSB78" s="209"/>
      <c r="LSC78" s="209"/>
      <c r="LSD78" s="209"/>
      <c r="LSE78" s="209"/>
      <c r="LSF78" s="209"/>
      <c r="LSG78" s="209"/>
      <c r="LSH78" s="209"/>
      <c r="LSI78" s="209"/>
      <c r="LSJ78" s="209"/>
      <c r="LSK78" s="209"/>
      <c r="LSL78" s="209"/>
      <c r="LSM78" s="209"/>
      <c r="LSN78" s="209"/>
      <c r="LSO78" s="209"/>
      <c r="LSP78" s="209"/>
      <c r="LSQ78" s="209"/>
      <c r="LSR78" s="209"/>
      <c r="LSS78" s="209"/>
      <c r="LST78" s="209"/>
      <c r="LSU78" s="209"/>
      <c r="LSV78" s="209"/>
      <c r="LSW78" s="209"/>
      <c r="LSX78" s="209"/>
      <c r="LSY78" s="209"/>
      <c r="LSZ78" s="209"/>
      <c r="LTA78" s="209"/>
      <c r="LTB78" s="209"/>
      <c r="LTC78" s="209"/>
      <c r="LTD78" s="209"/>
      <c r="LTE78" s="209"/>
      <c r="LTF78" s="209"/>
      <c r="LTG78" s="209"/>
      <c r="LTH78" s="209"/>
      <c r="LTI78" s="209"/>
      <c r="LTJ78" s="209"/>
      <c r="LTK78" s="209"/>
      <c r="LTL78" s="209"/>
      <c r="LTM78" s="209"/>
      <c r="LTN78" s="209"/>
      <c r="LTO78" s="209"/>
      <c r="LTP78" s="209"/>
      <c r="LTQ78" s="209"/>
      <c r="LTR78" s="209"/>
      <c r="LTS78" s="209"/>
      <c r="LTT78" s="209"/>
      <c r="LTU78" s="209"/>
      <c r="LTV78" s="209"/>
      <c r="LTW78" s="209"/>
      <c r="LTX78" s="209"/>
      <c r="LTY78" s="209"/>
      <c r="LTZ78" s="209"/>
      <c r="LUA78" s="209"/>
      <c r="LUB78" s="209"/>
      <c r="LUC78" s="209"/>
      <c r="LUD78" s="209"/>
      <c r="LUE78" s="209"/>
      <c r="LUF78" s="209"/>
      <c r="LUG78" s="209"/>
      <c r="LUH78" s="209"/>
      <c r="LUI78" s="209"/>
      <c r="LUJ78" s="209"/>
      <c r="LUK78" s="209"/>
      <c r="LUL78" s="209"/>
      <c r="LUM78" s="209"/>
      <c r="LUN78" s="209"/>
      <c r="LUO78" s="209"/>
      <c r="LUP78" s="209"/>
      <c r="LUQ78" s="209"/>
      <c r="LUR78" s="209"/>
      <c r="LUS78" s="209"/>
      <c r="LUT78" s="209"/>
      <c r="LUU78" s="209"/>
      <c r="LUV78" s="209"/>
      <c r="LUW78" s="209"/>
      <c r="LUX78" s="209"/>
      <c r="LUY78" s="209"/>
      <c r="LUZ78" s="209"/>
      <c r="LVA78" s="209"/>
      <c r="LVB78" s="209"/>
      <c r="LVC78" s="209"/>
      <c r="LVD78" s="209"/>
      <c r="LVE78" s="209"/>
      <c r="LVF78" s="209"/>
      <c r="LVG78" s="209"/>
      <c r="LVH78" s="209"/>
      <c r="LVI78" s="209"/>
      <c r="LVJ78" s="209"/>
      <c r="LVK78" s="209"/>
      <c r="LVL78" s="209"/>
      <c r="LVM78" s="209"/>
      <c r="LVN78" s="209"/>
      <c r="LVO78" s="209"/>
      <c r="LVP78" s="209"/>
      <c r="LVQ78" s="209"/>
      <c r="LVR78" s="209"/>
      <c r="LVS78" s="209"/>
      <c r="LVT78" s="209"/>
      <c r="LVU78" s="209"/>
      <c r="LVV78" s="209"/>
      <c r="LVW78" s="209"/>
      <c r="LVX78" s="209"/>
      <c r="LVY78" s="209"/>
      <c r="LVZ78" s="209"/>
      <c r="LWA78" s="209"/>
      <c r="LWB78" s="209"/>
      <c r="LWC78" s="209"/>
      <c r="LWD78" s="209"/>
      <c r="LWE78" s="209"/>
      <c r="LWF78" s="209"/>
      <c r="LWG78" s="209"/>
      <c r="LWH78" s="209"/>
      <c r="LWI78" s="209"/>
      <c r="LWJ78" s="209"/>
      <c r="LWK78" s="209"/>
      <c r="LWL78" s="209"/>
      <c r="LWM78" s="209"/>
      <c r="LWN78" s="209"/>
      <c r="LWO78" s="209"/>
      <c r="LWP78" s="209"/>
      <c r="LWQ78" s="209"/>
      <c r="LWR78" s="209"/>
      <c r="LWS78" s="209"/>
      <c r="LWT78" s="209"/>
      <c r="LWU78" s="209"/>
      <c r="LWV78" s="209"/>
      <c r="LWW78" s="209"/>
      <c r="LWX78" s="209"/>
      <c r="LWY78" s="209"/>
      <c r="LWZ78" s="209"/>
      <c r="LXA78" s="209"/>
      <c r="LXB78" s="209"/>
      <c r="LXC78" s="209"/>
      <c r="LXD78" s="209"/>
      <c r="LXE78" s="209"/>
      <c r="LXF78" s="209"/>
      <c r="LXG78" s="209"/>
      <c r="LXH78" s="209"/>
      <c r="LXI78" s="209"/>
      <c r="LXJ78" s="209"/>
      <c r="LXK78" s="209"/>
      <c r="LXL78" s="209"/>
      <c r="LXM78" s="209"/>
      <c r="LXN78" s="209"/>
      <c r="LXO78" s="209"/>
      <c r="LXP78" s="209"/>
      <c r="LXQ78" s="209"/>
      <c r="LXR78" s="209"/>
      <c r="LXS78" s="209"/>
      <c r="LXT78" s="209"/>
      <c r="LXU78" s="209"/>
      <c r="LXV78" s="209"/>
      <c r="LXW78" s="209"/>
      <c r="LXX78" s="209"/>
      <c r="LXY78" s="209"/>
      <c r="LXZ78" s="209"/>
      <c r="LYA78" s="209"/>
      <c r="LYB78" s="209"/>
      <c r="LYC78" s="209"/>
      <c r="LYD78" s="209"/>
      <c r="LYE78" s="209"/>
      <c r="LYF78" s="209"/>
      <c r="LYG78" s="209"/>
      <c r="LYH78" s="209"/>
      <c r="LYI78" s="209"/>
      <c r="LYJ78" s="209"/>
      <c r="LYK78" s="209"/>
      <c r="LYL78" s="209"/>
      <c r="LYM78" s="209"/>
      <c r="LYN78" s="209"/>
      <c r="LYO78" s="209"/>
      <c r="LYP78" s="209"/>
      <c r="LYQ78" s="209"/>
      <c r="LYR78" s="209"/>
      <c r="LYS78" s="209"/>
      <c r="LYT78" s="209"/>
      <c r="LYU78" s="209"/>
      <c r="LYV78" s="209"/>
      <c r="LYW78" s="209"/>
      <c r="LYX78" s="209"/>
      <c r="LYY78" s="209"/>
      <c r="LYZ78" s="209"/>
      <c r="LZA78" s="209"/>
      <c r="LZB78" s="209"/>
      <c r="LZC78" s="209"/>
      <c r="LZD78" s="209"/>
      <c r="LZE78" s="209"/>
      <c r="LZF78" s="209"/>
      <c r="LZG78" s="209"/>
      <c r="LZH78" s="209"/>
      <c r="LZI78" s="209"/>
      <c r="LZJ78" s="209"/>
      <c r="LZK78" s="209"/>
      <c r="LZL78" s="209"/>
      <c r="LZM78" s="209"/>
      <c r="LZN78" s="209"/>
      <c r="LZO78" s="209"/>
      <c r="LZP78" s="209"/>
      <c r="LZQ78" s="209"/>
      <c r="LZR78" s="209"/>
      <c r="LZS78" s="209"/>
      <c r="LZT78" s="209"/>
      <c r="LZU78" s="209"/>
      <c r="LZV78" s="209"/>
      <c r="LZW78" s="209"/>
      <c r="LZX78" s="209"/>
      <c r="LZY78" s="209"/>
      <c r="LZZ78" s="209"/>
      <c r="MAA78" s="209"/>
      <c r="MAB78" s="209"/>
      <c r="MAC78" s="209"/>
      <c r="MAD78" s="209"/>
      <c r="MAE78" s="209"/>
      <c r="MAF78" s="209"/>
      <c r="MAG78" s="209"/>
      <c r="MAH78" s="209"/>
      <c r="MAI78" s="209"/>
      <c r="MAJ78" s="209"/>
      <c r="MAK78" s="209"/>
      <c r="MAL78" s="209"/>
      <c r="MAM78" s="209"/>
      <c r="MAN78" s="209"/>
      <c r="MAO78" s="209"/>
      <c r="MAP78" s="209"/>
      <c r="MAQ78" s="209"/>
      <c r="MAR78" s="209"/>
      <c r="MAS78" s="209"/>
      <c r="MAT78" s="209"/>
      <c r="MAU78" s="209"/>
      <c r="MAV78" s="209"/>
      <c r="MAW78" s="209"/>
      <c r="MAX78" s="209"/>
      <c r="MAY78" s="209"/>
      <c r="MAZ78" s="209"/>
      <c r="MBA78" s="209"/>
      <c r="MBB78" s="209"/>
      <c r="MBC78" s="209"/>
      <c r="MBD78" s="209"/>
      <c r="MBE78" s="209"/>
      <c r="MBF78" s="209"/>
      <c r="MBG78" s="209"/>
      <c r="MBH78" s="209"/>
      <c r="MBI78" s="209"/>
      <c r="MBJ78" s="209"/>
      <c r="MBK78" s="209"/>
      <c r="MBL78" s="209"/>
      <c r="MBM78" s="209"/>
      <c r="MBN78" s="209"/>
      <c r="MBO78" s="209"/>
      <c r="MBP78" s="209"/>
      <c r="MBQ78" s="209"/>
      <c r="MBR78" s="209"/>
      <c r="MBS78" s="209"/>
      <c r="MBT78" s="209"/>
      <c r="MBU78" s="209"/>
      <c r="MBV78" s="209"/>
      <c r="MBW78" s="209"/>
      <c r="MBX78" s="209"/>
      <c r="MBY78" s="209"/>
      <c r="MBZ78" s="209"/>
      <c r="MCA78" s="209"/>
      <c r="MCB78" s="209"/>
      <c r="MCC78" s="209"/>
      <c r="MCD78" s="209"/>
      <c r="MCE78" s="209"/>
      <c r="MCF78" s="209"/>
      <c r="MCG78" s="209"/>
      <c r="MCH78" s="209"/>
      <c r="MCI78" s="209"/>
      <c r="MCJ78" s="209"/>
      <c r="MCK78" s="209"/>
      <c r="MCL78" s="209"/>
      <c r="MCM78" s="209"/>
      <c r="MCN78" s="209"/>
      <c r="MCO78" s="209"/>
      <c r="MCP78" s="209"/>
      <c r="MCQ78" s="209"/>
      <c r="MCR78" s="209"/>
      <c r="MCS78" s="209"/>
      <c r="MCT78" s="209"/>
      <c r="MCU78" s="209"/>
      <c r="MCV78" s="209"/>
      <c r="MCW78" s="209"/>
      <c r="MCX78" s="209"/>
      <c r="MCY78" s="209"/>
      <c r="MCZ78" s="209"/>
      <c r="MDA78" s="209"/>
      <c r="MDB78" s="209"/>
      <c r="MDC78" s="209"/>
      <c r="MDD78" s="209"/>
      <c r="MDE78" s="209"/>
      <c r="MDF78" s="209"/>
      <c r="MDG78" s="209"/>
      <c r="MDH78" s="209"/>
      <c r="MDI78" s="209"/>
      <c r="MDJ78" s="209"/>
      <c r="MDK78" s="209"/>
      <c r="MDL78" s="209"/>
      <c r="MDM78" s="209"/>
      <c r="MDN78" s="209"/>
      <c r="MDO78" s="209"/>
      <c r="MDP78" s="209"/>
      <c r="MDQ78" s="209"/>
      <c r="MDR78" s="209"/>
      <c r="MDS78" s="209"/>
      <c r="MDT78" s="209"/>
      <c r="MDU78" s="209"/>
      <c r="MDV78" s="209"/>
      <c r="MDW78" s="209"/>
      <c r="MDX78" s="209"/>
      <c r="MDY78" s="209"/>
      <c r="MDZ78" s="209"/>
      <c r="MEA78" s="209"/>
      <c r="MEB78" s="209"/>
      <c r="MEC78" s="209"/>
      <c r="MED78" s="209"/>
      <c r="MEE78" s="209"/>
      <c r="MEF78" s="209"/>
      <c r="MEG78" s="209"/>
      <c r="MEH78" s="209"/>
      <c r="MEI78" s="209"/>
      <c r="MEJ78" s="209"/>
      <c r="MEK78" s="209"/>
      <c r="MEL78" s="209"/>
      <c r="MEM78" s="209"/>
      <c r="MEN78" s="209"/>
      <c r="MEO78" s="209"/>
      <c r="MEP78" s="209"/>
      <c r="MEQ78" s="209"/>
      <c r="MER78" s="209"/>
      <c r="MES78" s="209"/>
      <c r="MET78" s="209"/>
      <c r="MEU78" s="209"/>
      <c r="MEV78" s="209"/>
      <c r="MEW78" s="209"/>
      <c r="MEX78" s="209"/>
      <c r="MEY78" s="209"/>
      <c r="MEZ78" s="209"/>
      <c r="MFA78" s="209"/>
      <c r="MFB78" s="209"/>
      <c r="MFC78" s="209"/>
      <c r="MFD78" s="209"/>
      <c r="MFE78" s="209"/>
      <c r="MFF78" s="209"/>
      <c r="MFG78" s="209"/>
      <c r="MFH78" s="209"/>
      <c r="MFI78" s="209"/>
      <c r="MFJ78" s="209"/>
      <c r="MFK78" s="209"/>
      <c r="MFL78" s="209"/>
      <c r="MFM78" s="209"/>
      <c r="MFN78" s="209"/>
      <c r="MFO78" s="209"/>
      <c r="MFP78" s="209"/>
      <c r="MFQ78" s="209"/>
      <c r="MFR78" s="209"/>
      <c r="MFS78" s="209"/>
      <c r="MFT78" s="209"/>
      <c r="MFU78" s="209"/>
      <c r="MFV78" s="209"/>
      <c r="MFW78" s="209"/>
      <c r="MFX78" s="209"/>
      <c r="MFY78" s="209"/>
      <c r="MFZ78" s="209"/>
      <c r="MGA78" s="209"/>
      <c r="MGB78" s="209"/>
      <c r="MGC78" s="209"/>
      <c r="MGD78" s="209"/>
      <c r="MGE78" s="209"/>
      <c r="MGF78" s="209"/>
      <c r="MGG78" s="209"/>
      <c r="MGH78" s="209"/>
      <c r="MGI78" s="209"/>
      <c r="MGJ78" s="209"/>
      <c r="MGK78" s="209"/>
      <c r="MGL78" s="209"/>
      <c r="MGM78" s="209"/>
      <c r="MGN78" s="209"/>
      <c r="MGO78" s="209"/>
      <c r="MGP78" s="209"/>
      <c r="MGQ78" s="209"/>
      <c r="MGR78" s="209"/>
      <c r="MGS78" s="209"/>
      <c r="MGT78" s="209"/>
      <c r="MGU78" s="209"/>
      <c r="MGV78" s="209"/>
      <c r="MGW78" s="209"/>
      <c r="MGX78" s="209"/>
      <c r="MGY78" s="209"/>
      <c r="MGZ78" s="209"/>
      <c r="MHA78" s="209"/>
      <c r="MHB78" s="209"/>
      <c r="MHC78" s="209"/>
      <c r="MHD78" s="209"/>
      <c r="MHE78" s="209"/>
      <c r="MHF78" s="209"/>
      <c r="MHG78" s="209"/>
      <c r="MHH78" s="209"/>
      <c r="MHI78" s="209"/>
      <c r="MHJ78" s="209"/>
      <c r="MHK78" s="209"/>
      <c r="MHL78" s="209"/>
      <c r="MHM78" s="209"/>
      <c r="MHN78" s="209"/>
      <c r="MHO78" s="209"/>
      <c r="MHP78" s="209"/>
      <c r="MHQ78" s="209"/>
      <c r="MHR78" s="209"/>
      <c r="MHS78" s="209"/>
      <c r="MHT78" s="209"/>
      <c r="MHU78" s="209"/>
      <c r="MHV78" s="209"/>
      <c r="MHW78" s="209"/>
      <c r="MHX78" s="209"/>
      <c r="MHY78" s="209"/>
      <c r="MHZ78" s="209"/>
      <c r="MIA78" s="209"/>
      <c r="MIB78" s="209"/>
      <c r="MIC78" s="209"/>
      <c r="MID78" s="209"/>
      <c r="MIE78" s="209"/>
      <c r="MIF78" s="209"/>
      <c r="MIG78" s="209"/>
      <c r="MIH78" s="209"/>
      <c r="MII78" s="209"/>
      <c r="MIJ78" s="209"/>
      <c r="MIK78" s="209"/>
      <c r="MIL78" s="209"/>
      <c r="MIM78" s="209"/>
      <c r="MIN78" s="209"/>
      <c r="MIO78" s="209"/>
      <c r="MIP78" s="209"/>
      <c r="MIQ78" s="209"/>
      <c r="MIR78" s="209"/>
      <c r="MIS78" s="209"/>
      <c r="MIT78" s="209"/>
      <c r="MIU78" s="209"/>
      <c r="MIV78" s="209"/>
      <c r="MIW78" s="209"/>
      <c r="MIX78" s="209"/>
      <c r="MIY78" s="209"/>
      <c r="MIZ78" s="209"/>
      <c r="MJA78" s="209"/>
      <c r="MJB78" s="209"/>
      <c r="MJC78" s="209"/>
      <c r="MJD78" s="209"/>
      <c r="MJE78" s="209"/>
      <c r="MJF78" s="209"/>
      <c r="MJG78" s="209"/>
      <c r="MJH78" s="209"/>
      <c r="MJI78" s="209"/>
      <c r="MJJ78" s="209"/>
      <c r="MJK78" s="209"/>
      <c r="MJL78" s="209"/>
      <c r="MJM78" s="209"/>
      <c r="MJN78" s="209"/>
      <c r="MJO78" s="209"/>
      <c r="MJP78" s="209"/>
      <c r="MJQ78" s="209"/>
      <c r="MJR78" s="209"/>
      <c r="MJS78" s="209"/>
      <c r="MJT78" s="209"/>
      <c r="MJU78" s="209"/>
      <c r="MJV78" s="209"/>
      <c r="MJW78" s="209"/>
      <c r="MJX78" s="209"/>
      <c r="MJY78" s="209"/>
      <c r="MJZ78" s="209"/>
      <c r="MKA78" s="209"/>
      <c r="MKB78" s="209"/>
      <c r="MKC78" s="209"/>
      <c r="MKD78" s="209"/>
      <c r="MKE78" s="209"/>
      <c r="MKF78" s="209"/>
      <c r="MKG78" s="209"/>
      <c r="MKH78" s="209"/>
      <c r="MKI78" s="209"/>
      <c r="MKJ78" s="209"/>
      <c r="MKK78" s="209"/>
      <c r="MKL78" s="209"/>
      <c r="MKM78" s="209"/>
      <c r="MKN78" s="209"/>
      <c r="MKO78" s="209"/>
      <c r="MKP78" s="209"/>
      <c r="MKQ78" s="209"/>
      <c r="MKR78" s="209"/>
      <c r="MKS78" s="209"/>
      <c r="MKT78" s="209"/>
      <c r="MKU78" s="209"/>
      <c r="MKV78" s="209"/>
      <c r="MKW78" s="209"/>
      <c r="MKX78" s="209"/>
      <c r="MKY78" s="209"/>
      <c r="MKZ78" s="209"/>
      <c r="MLA78" s="209"/>
      <c r="MLB78" s="209"/>
      <c r="MLC78" s="209"/>
      <c r="MLD78" s="209"/>
      <c r="MLE78" s="209"/>
      <c r="MLF78" s="209"/>
      <c r="MLG78" s="209"/>
      <c r="MLH78" s="209"/>
      <c r="MLI78" s="209"/>
      <c r="MLJ78" s="209"/>
      <c r="MLK78" s="209"/>
      <c r="MLL78" s="209"/>
      <c r="MLM78" s="209"/>
      <c r="MLN78" s="209"/>
      <c r="MLO78" s="209"/>
      <c r="MLP78" s="209"/>
      <c r="MLQ78" s="209"/>
      <c r="MLR78" s="209"/>
      <c r="MLS78" s="209"/>
      <c r="MLT78" s="209"/>
      <c r="MLU78" s="209"/>
      <c r="MLV78" s="209"/>
      <c r="MLW78" s="209"/>
      <c r="MLX78" s="209"/>
      <c r="MLY78" s="209"/>
      <c r="MLZ78" s="209"/>
      <c r="MMA78" s="209"/>
      <c r="MMB78" s="209"/>
      <c r="MMC78" s="209"/>
      <c r="MMD78" s="209"/>
      <c r="MME78" s="209"/>
      <c r="MMF78" s="209"/>
      <c r="MMG78" s="209"/>
      <c r="MMH78" s="209"/>
      <c r="MMI78" s="209"/>
      <c r="MMJ78" s="209"/>
      <c r="MMK78" s="209"/>
      <c r="MML78" s="209"/>
      <c r="MMM78" s="209"/>
      <c r="MMN78" s="209"/>
      <c r="MMO78" s="209"/>
      <c r="MMP78" s="209"/>
      <c r="MMQ78" s="209"/>
      <c r="MMR78" s="209"/>
      <c r="MMS78" s="209"/>
      <c r="MMT78" s="209"/>
      <c r="MMU78" s="209"/>
      <c r="MMV78" s="209"/>
      <c r="MMW78" s="209"/>
      <c r="MMX78" s="209"/>
      <c r="MMY78" s="209"/>
      <c r="MMZ78" s="209"/>
      <c r="MNA78" s="209"/>
      <c r="MNB78" s="209"/>
      <c r="MNC78" s="209"/>
      <c r="MND78" s="209"/>
      <c r="MNE78" s="209"/>
      <c r="MNF78" s="209"/>
      <c r="MNG78" s="209"/>
      <c r="MNH78" s="209"/>
      <c r="MNI78" s="209"/>
      <c r="MNJ78" s="209"/>
      <c r="MNK78" s="209"/>
      <c r="MNL78" s="209"/>
      <c r="MNM78" s="209"/>
      <c r="MNN78" s="209"/>
      <c r="MNO78" s="209"/>
      <c r="MNP78" s="209"/>
      <c r="MNQ78" s="209"/>
      <c r="MNR78" s="209"/>
      <c r="MNS78" s="209"/>
      <c r="MNT78" s="209"/>
      <c r="MNU78" s="209"/>
      <c r="MNV78" s="209"/>
      <c r="MNW78" s="209"/>
      <c r="MNX78" s="209"/>
      <c r="MNY78" s="209"/>
      <c r="MNZ78" s="209"/>
      <c r="MOA78" s="209"/>
      <c r="MOB78" s="209"/>
      <c r="MOC78" s="209"/>
      <c r="MOD78" s="209"/>
      <c r="MOE78" s="209"/>
      <c r="MOF78" s="209"/>
      <c r="MOG78" s="209"/>
      <c r="MOH78" s="209"/>
      <c r="MOI78" s="209"/>
      <c r="MOJ78" s="209"/>
      <c r="MOK78" s="209"/>
      <c r="MOL78" s="209"/>
      <c r="MOM78" s="209"/>
      <c r="MON78" s="209"/>
      <c r="MOO78" s="209"/>
      <c r="MOP78" s="209"/>
      <c r="MOQ78" s="209"/>
      <c r="MOR78" s="209"/>
      <c r="MOS78" s="209"/>
      <c r="MOT78" s="209"/>
      <c r="MOU78" s="209"/>
      <c r="MOV78" s="209"/>
      <c r="MOW78" s="209"/>
      <c r="MOX78" s="209"/>
      <c r="MOY78" s="209"/>
      <c r="MOZ78" s="209"/>
      <c r="MPA78" s="209"/>
      <c r="MPB78" s="209"/>
      <c r="MPC78" s="209"/>
      <c r="MPD78" s="209"/>
      <c r="MPE78" s="209"/>
      <c r="MPF78" s="209"/>
      <c r="MPG78" s="209"/>
      <c r="MPH78" s="209"/>
      <c r="MPI78" s="209"/>
      <c r="MPJ78" s="209"/>
      <c r="MPK78" s="209"/>
      <c r="MPL78" s="209"/>
      <c r="MPM78" s="209"/>
      <c r="MPN78" s="209"/>
      <c r="MPO78" s="209"/>
      <c r="MPP78" s="209"/>
      <c r="MPQ78" s="209"/>
      <c r="MPR78" s="209"/>
      <c r="MPS78" s="209"/>
      <c r="MPT78" s="209"/>
      <c r="MPU78" s="209"/>
      <c r="MPV78" s="209"/>
      <c r="MPW78" s="209"/>
      <c r="MPX78" s="209"/>
      <c r="MPY78" s="209"/>
      <c r="MPZ78" s="209"/>
      <c r="MQA78" s="209"/>
      <c r="MQB78" s="209"/>
      <c r="MQC78" s="209"/>
      <c r="MQD78" s="209"/>
      <c r="MQE78" s="209"/>
      <c r="MQF78" s="209"/>
      <c r="MQG78" s="209"/>
      <c r="MQH78" s="209"/>
      <c r="MQI78" s="209"/>
      <c r="MQJ78" s="209"/>
      <c r="MQK78" s="209"/>
      <c r="MQL78" s="209"/>
      <c r="MQM78" s="209"/>
      <c r="MQN78" s="209"/>
      <c r="MQO78" s="209"/>
      <c r="MQP78" s="209"/>
      <c r="MQQ78" s="209"/>
      <c r="MQR78" s="209"/>
      <c r="MQS78" s="209"/>
      <c r="MQT78" s="209"/>
      <c r="MQU78" s="209"/>
      <c r="MQV78" s="209"/>
      <c r="MQW78" s="209"/>
      <c r="MQX78" s="209"/>
      <c r="MQY78" s="209"/>
      <c r="MQZ78" s="209"/>
      <c r="MRA78" s="209"/>
      <c r="MRB78" s="209"/>
      <c r="MRC78" s="209"/>
      <c r="MRD78" s="209"/>
      <c r="MRE78" s="209"/>
      <c r="MRF78" s="209"/>
      <c r="MRG78" s="209"/>
      <c r="MRH78" s="209"/>
      <c r="MRI78" s="209"/>
      <c r="MRJ78" s="209"/>
      <c r="MRK78" s="209"/>
      <c r="MRL78" s="209"/>
      <c r="MRM78" s="209"/>
      <c r="MRN78" s="209"/>
      <c r="MRO78" s="209"/>
      <c r="MRP78" s="209"/>
      <c r="MRQ78" s="209"/>
      <c r="MRR78" s="209"/>
      <c r="MRS78" s="209"/>
      <c r="MRT78" s="209"/>
      <c r="MRU78" s="209"/>
      <c r="MRV78" s="209"/>
      <c r="MRW78" s="209"/>
      <c r="MRX78" s="209"/>
      <c r="MRY78" s="209"/>
      <c r="MRZ78" s="209"/>
      <c r="MSA78" s="209"/>
      <c r="MSB78" s="209"/>
      <c r="MSC78" s="209"/>
      <c r="MSD78" s="209"/>
      <c r="MSE78" s="209"/>
      <c r="MSF78" s="209"/>
      <c r="MSG78" s="209"/>
      <c r="MSH78" s="209"/>
      <c r="MSI78" s="209"/>
      <c r="MSJ78" s="209"/>
      <c r="MSK78" s="209"/>
      <c r="MSL78" s="209"/>
      <c r="MSM78" s="209"/>
      <c r="MSN78" s="209"/>
      <c r="MSO78" s="209"/>
      <c r="MSP78" s="209"/>
      <c r="MSQ78" s="209"/>
      <c r="MSR78" s="209"/>
      <c r="MSS78" s="209"/>
      <c r="MST78" s="209"/>
      <c r="MSU78" s="209"/>
      <c r="MSV78" s="209"/>
      <c r="MSW78" s="209"/>
      <c r="MSX78" s="209"/>
      <c r="MSY78" s="209"/>
      <c r="MSZ78" s="209"/>
      <c r="MTA78" s="209"/>
      <c r="MTB78" s="209"/>
      <c r="MTC78" s="209"/>
      <c r="MTD78" s="209"/>
      <c r="MTE78" s="209"/>
      <c r="MTF78" s="209"/>
      <c r="MTG78" s="209"/>
      <c r="MTH78" s="209"/>
      <c r="MTI78" s="209"/>
      <c r="MTJ78" s="209"/>
      <c r="MTK78" s="209"/>
      <c r="MTL78" s="209"/>
      <c r="MTM78" s="209"/>
      <c r="MTN78" s="209"/>
      <c r="MTO78" s="209"/>
      <c r="MTP78" s="209"/>
      <c r="MTQ78" s="209"/>
      <c r="MTR78" s="209"/>
      <c r="MTS78" s="209"/>
      <c r="MTT78" s="209"/>
      <c r="MTU78" s="209"/>
      <c r="MTV78" s="209"/>
      <c r="MTW78" s="209"/>
      <c r="MTX78" s="209"/>
      <c r="MTY78" s="209"/>
      <c r="MTZ78" s="209"/>
      <c r="MUA78" s="209"/>
      <c r="MUB78" s="209"/>
      <c r="MUC78" s="209"/>
      <c r="MUD78" s="209"/>
      <c r="MUE78" s="209"/>
      <c r="MUF78" s="209"/>
      <c r="MUG78" s="209"/>
      <c r="MUH78" s="209"/>
      <c r="MUI78" s="209"/>
      <c r="MUJ78" s="209"/>
      <c r="MUK78" s="209"/>
      <c r="MUL78" s="209"/>
      <c r="MUM78" s="209"/>
      <c r="MUN78" s="209"/>
      <c r="MUO78" s="209"/>
      <c r="MUP78" s="209"/>
      <c r="MUQ78" s="209"/>
      <c r="MUR78" s="209"/>
      <c r="MUS78" s="209"/>
      <c r="MUT78" s="209"/>
      <c r="MUU78" s="209"/>
      <c r="MUV78" s="209"/>
      <c r="MUW78" s="209"/>
      <c r="MUX78" s="209"/>
      <c r="MUY78" s="209"/>
      <c r="MUZ78" s="209"/>
      <c r="MVA78" s="209"/>
      <c r="MVB78" s="209"/>
      <c r="MVC78" s="209"/>
      <c r="MVD78" s="209"/>
      <c r="MVE78" s="209"/>
      <c r="MVF78" s="209"/>
      <c r="MVG78" s="209"/>
      <c r="MVH78" s="209"/>
      <c r="MVI78" s="209"/>
      <c r="MVJ78" s="209"/>
      <c r="MVK78" s="209"/>
      <c r="MVL78" s="209"/>
      <c r="MVM78" s="209"/>
      <c r="MVN78" s="209"/>
      <c r="MVO78" s="209"/>
      <c r="MVP78" s="209"/>
      <c r="MVQ78" s="209"/>
      <c r="MVR78" s="209"/>
      <c r="MVS78" s="209"/>
      <c r="MVT78" s="209"/>
      <c r="MVU78" s="209"/>
      <c r="MVV78" s="209"/>
      <c r="MVW78" s="209"/>
      <c r="MVX78" s="209"/>
      <c r="MVY78" s="209"/>
      <c r="MVZ78" s="209"/>
      <c r="MWA78" s="209"/>
      <c r="MWB78" s="209"/>
      <c r="MWC78" s="209"/>
      <c r="MWD78" s="209"/>
      <c r="MWE78" s="209"/>
      <c r="MWF78" s="209"/>
      <c r="MWG78" s="209"/>
      <c r="MWH78" s="209"/>
      <c r="MWI78" s="209"/>
      <c r="MWJ78" s="209"/>
      <c r="MWK78" s="209"/>
      <c r="MWL78" s="209"/>
      <c r="MWM78" s="209"/>
      <c r="MWN78" s="209"/>
      <c r="MWO78" s="209"/>
      <c r="MWP78" s="209"/>
      <c r="MWQ78" s="209"/>
      <c r="MWR78" s="209"/>
      <c r="MWS78" s="209"/>
      <c r="MWT78" s="209"/>
      <c r="MWU78" s="209"/>
      <c r="MWV78" s="209"/>
      <c r="MWW78" s="209"/>
      <c r="MWX78" s="209"/>
      <c r="MWY78" s="209"/>
      <c r="MWZ78" s="209"/>
      <c r="MXA78" s="209"/>
      <c r="MXB78" s="209"/>
      <c r="MXC78" s="209"/>
      <c r="MXD78" s="209"/>
      <c r="MXE78" s="209"/>
      <c r="MXF78" s="209"/>
      <c r="MXG78" s="209"/>
      <c r="MXH78" s="209"/>
      <c r="MXI78" s="209"/>
      <c r="MXJ78" s="209"/>
      <c r="MXK78" s="209"/>
      <c r="MXL78" s="209"/>
      <c r="MXM78" s="209"/>
      <c r="MXN78" s="209"/>
      <c r="MXO78" s="209"/>
      <c r="MXP78" s="209"/>
      <c r="MXQ78" s="209"/>
      <c r="MXR78" s="209"/>
      <c r="MXS78" s="209"/>
      <c r="MXT78" s="209"/>
      <c r="MXU78" s="209"/>
      <c r="MXV78" s="209"/>
      <c r="MXW78" s="209"/>
      <c r="MXX78" s="209"/>
      <c r="MXY78" s="209"/>
      <c r="MXZ78" s="209"/>
      <c r="MYA78" s="209"/>
      <c r="MYB78" s="209"/>
      <c r="MYC78" s="209"/>
      <c r="MYD78" s="209"/>
      <c r="MYE78" s="209"/>
      <c r="MYF78" s="209"/>
      <c r="MYG78" s="209"/>
      <c r="MYH78" s="209"/>
      <c r="MYI78" s="209"/>
      <c r="MYJ78" s="209"/>
      <c r="MYK78" s="209"/>
      <c r="MYL78" s="209"/>
      <c r="MYM78" s="209"/>
      <c r="MYN78" s="209"/>
      <c r="MYO78" s="209"/>
      <c r="MYP78" s="209"/>
      <c r="MYQ78" s="209"/>
      <c r="MYR78" s="209"/>
      <c r="MYS78" s="209"/>
      <c r="MYT78" s="209"/>
      <c r="MYU78" s="209"/>
      <c r="MYV78" s="209"/>
      <c r="MYW78" s="209"/>
      <c r="MYX78" s="209"/>
      <c r="MYY78" s="209"/>
      <c r="MYZ78" s="209"/>
      <c r="MZA78" s="209"/>
      <c r="MZB78" s="209"/>
      <c r="MZC78" s="209"/>
      <c r="MZD78" s="209"/>
      <c r="MZE78" s="209"/>
      <c r="MZF78" s="209"/>
      <c r="MZG78" s="209"/>
      <c r="MZH78" s="209"/>
      <c r="MZI78" s="209"/>
      <c r="MZJ78" s="209"/>
      <c r="MZK78" s="209"/>
      <c r="MZL78" s="209"/>
      <c r="MZM78" s="209"/>
      <c r="MZN78" s="209"/>
      <c r="MZO78" s="209"/>
      <c r="MZP78" s="209"/>
      <c r="MZQ78" s="209"/>
      <c r="MZR78" s="209"/>
      <c r="MZS78" s="209"/>
      <c r="MZT78" s="209"/>
      <c r="MZU78" s="209"/>
      <c r="MZV78" s="209"/>
      <c r="MZW78" s="209"/>
      <c r="MZX78" s="209"/>
      <c r="MZY78" s="209"/>
      <c r="MZZ78" s="209"/>
      <c r="NAA78" s="209"/>
      <c r="NAB78" s="209"/>
      <c r="NAC78" s="209"/>
      <c r="NAD78" s="209"/>
      <c r="NAE78" s="209"/>
      <c r="NAF78" s="209"/>
      <c r="NAG78" s="209"/>
      <c r="NAH78" s="209"/>
      <c r="NAI78" s="209"/>
      <c r="NAJ78" s="209"/>
      <c r="NAK78" s="209"/>
      <c r="NAL78" s="209"/>
      <c r="NAM78" s="209"/>
      <c r="NAN78" s="209"/>
      <c r="NAO78" s="209"/>
      <c r="NAP78" s="209"/>
      <c r="NAQ78" s="209"/>
      <c r="NAR78" s="209"/>
      <c r="NAS78" s="209"/>
      <c r="NAT78" s="209"/>
      <c r="NAU78" s="209"/>
      <c r="NAV78" s="209"/>
      <c r="NAW78" s="209"/>
      <c r="NAX78" s="209"/>
      <c r="NAY78" s="209"/>
      <c r="NAZ78" s="209"/>
      <c r="NBA78" s="209"/>
      <c r="NBB78" s="209"/>
      <c r="NBC78" s="209"/>
      <c r="NBD78" s="209"/>
      <c r="NBE78" s="209"/>
      <c r="NBF78" s="209"/>
      <c r="NBG78" s="209"/>
      <c r="NBH78" s="209"/>
      <c r="NBI78" s="209"/>
      <c r="NBJ78" s="209"/>
      <c r="NBK78" s="209"/>
      <c r="NBL78" s="209"/>
      <c r="NBM78" s="209"/>
      <c r="NBN78" s="209"/>
      <c r="NBO78" s="209"/>
      <c r="NBP78" s="209"/>
      <c r="NBQ78" s="209"/>
      <c r="NBR78" s="209"/>
      <c r="NBS78" s="209"/>
      <c r="NBT78" s="209"/>
      <c r="NBU78" s="209"/>
      <c r="NBV78" s="209"/>
      <c r="NBW78" s="209"/>
      <c r="NBX78" s="209"/>
      <c r="NBY78" s="209"/>
      <c r="NBZ78" s="209"/>
      <c r="NCA78" s="209"/>
      <c r="NCB78" s="209"/>
      <c r="NCC78" s="209"/>
      <c r="NCD78" s="209"/>
      <c r="NCE78" s="209"/>
      <c r="NCF78" s="209"/>
      <c r="NCG78" s="209"/>
      <c r="NCH78" s="209"/>
      <c r="NCI78" s="209"/>
      <c r="NCJ78" s="209"/>
      <c r="NCK78" s="209"/>
      <c r="NCL78" s="209"/>
      <c r="NCM78" s="209"/>
      <c r="NCN78" s="209"/>
      <c r="NCO78" s="209"/>
      <c r="NCP78" s="209"/>
      <c r="NCQ78" s="209"/>
      <c r="NCR78" s="209"/>
      <c r="NCS78" s="209"/>
      <c r="NCT78" s="209"/>
      <c r="NCU78" s="209"/>
      <c r="NCV78" s="209"/>
      <c r="NCW78" s="209"/>
      <c r="NCX78" s="209"/>
      <c r="NCY78" s="209"/>
      <c r="NCZ78" s="209"/>
      <c r="NDA78" s="209"/>
      <c r="NDB78" s="209"/>
      <c r="NDC78" s="209"/>
      <c r="NDD78" s="209"/>
      <c r="NDE78" s="209"/>
      <c r="NDF78" s="209"/>
      <c r="NDG78" s="209"/>
      <c r="NDH78" s="209"/>
      <c r="NDI78" s="209"/>
      <c r="NDJ78" s="209"/>
      <c r="NDK78" s="209"/>
      <c r="NDL78" s="209"/>
      <c r="NDM78" s="209"/>
      <c r="NDN78" s="209"/>
      <c r="NDO78" s="209"/>
      <c r="NDP78" s="209"/>
      <c r="NDQ78" s="209"/>
      <c r="NDR78" s="209"/>
      <c r="NDS78" s="209"/>
      <c r="NDT78" s="209"/>
      <c r="NDU78" s="209"/>
      <c r="NDV78" s="209"/>
      <c r="NDW78" s="209"/>
      <c r="NDX78" s="209"/>
      <c r="NDY78" s="209"/>
      <c r="NDZ78" s="209"/>
      <c r="NEA78" s="209"/>
      <c r="NEB78" s="209"/>
      <c r="NEC78" s="209"/>
      <c r="NED78" s="209"/>
      <c r="NEE78" s="209"/>
      <c r="NEF78" s="209"/>
      <c r="NEG78" s="209"/>
      <c r="NEH78" s="209"/>
      <c r="NEI78" s="209"/>
      <c r="NEJ78" s="209"/>
      <c r="NEK78" s="209"/>
      <c r="NEL78" s="209"/>
      <c r="NEM78" s="209"/>
      <c r="NEN78" s="209"/>
      <c r="NEO78" s="209"/>
      <c r="NEP78" s="209"/>
      <c r="NEQ78" s="209"/>
      <c r="NER78" s="209"/>
      <c r="NES78" s="209"/>
      <c r="NET78" s="209"/>
      <c r="NEU78" s="209"/>
      <c r="NEV78" s="209"/>
      <c r="NEW78" s="209"/>
      <c r="NEX78" s="209"/>
      <c r="NEY78" s="209"/>
      <c r="NEZ78" s="209"/>
      <c r="NFA78" s="209"/>
      <c r="NFB78" s="209"/>
      <c r="NFC78" s="209"/>
      <c r="NFD78" s="209"/>
      <c r="NFE78" s="209"/>
      <c r="NFF78" s="209"/>
      <c r="NFG78" s="209"/>
      <c r="NFH78" s="209"/>
      <c r="NFI78" s="209"/>
      <c r="NFJ78" s="209"/>
      <c r="NFK78" s="209"/>
      <c r="NFL78" s="209"/>
      <c r="NFM78" s="209"/>
      <c r="NFN78" s="209"/>
      <c r="NFO78" s="209"/>
      <c r="NFP78" s="209"/>
      <c r="NFQ78" s="209"/>
      <c r="NFR78" s="209"/>
      <c r="NFS78" s="209"/>
      <c r="NFT78" s="209"/>
      <c r="NFU78" s="209"/>
      <c r="NFV78" s="209"/>
      <c r="NFW78" s="209"/>
      <c r="NFX78" s="209"/>
      <c r="NFY78" s="209"/>
      <c r="NFZ78" s="209"/>
      <c r="NGA78" s="209"/>
      <c r="NGB78" s="209"/>
      <c r="NGC78" s="209"/>
      <c r="NGD78" s="209"/>
      <c r="NGE78" s="209"/>
      <c r="NGF78" s="209"/>
      <c r="NGG78" s="209"/>
      <c r="NGH78" s="209"/>
      <c r="NGI78" s="209"/>
      <c r="NGJ78" s="209"/>
      <c r="NGK78" s="209"/>
      <c r="NGL78" s="209"/>
      <c r="NGM78" s="209"/>
      <c r="NGN78" s="209"/>
      <c r="NGO78" s="209"/>
      <c r="NGP78" s="209"/>
      <c r="NGQ78" s="209"/>
      <c r="NGR78" s="209"/>
      <c r="NGS78" s="209"/>
      <c r="NGT78" s="209"/>
      <c r="NGU78" s="209"/>
      <c r="NGV78" s="209"/>
      <c r="NGW78" s="209"/>
      <c r="NGX78" s="209"/>
      <c r="NGY78" s="209"/>
      <c r="NGZ78" s="209"/>
      <c r="NHA78" s="209"/>
      <c r="NHB78" s="209"/>
      <c r="NHC78" s="209"/>
      <c r="NHD78" s="209"/>
      <c r="NHE78" s="209"/>
      <c r="NHF78" s="209"/>
      <c r="NHG78" s="209"/>
      <c r="NHH78" s="209"/>
      <c r="NHI78" s="209"/>
      <c r="NHJ78" s="209"/>
      <c r="NHK78" s="209"/>
      <c r="NHL78" s="209"/>
      <c r="NHM78" s="209"/>
      <c r="NHN78" s="209"/>
      <c r="NHO78" s="209"/>
      <c r="NHP78" s="209"/>
      <c r="NHQ78" s="209"/>
      <c r="NHR78" s="209"/>
      <c r="NHS78" s="209"/>
      <c r="NHT78" s="209"/>
      <c r="NHU78" s="209"/>
      <c r="NHV78" s="209"/>
      <c r="NHW78" s="209"/>
      <c r="NHX78" s="209"/>
      <c r="NHY78" s="209"/>
      <c r="NHZ78" s="209"/>
      <c r="NIA78" s="209"/>
      <c r="NIB78" s="209"/>
      <c r="NIC78" s="209"/>
      <c r="NID78" s="209"/>
      <c r="NIE78" s="209"/>
      <c r="NIF78" s="209"/>
      <c r="NIG78" s="209"/>
      <c r="NIH78" s="209"/>
      <c r="NII78" s="209"/>
      <c r="NIJ78" s="209"/>
      <c r="NIK78" s="209"/>
      <c r="NIL78" s="209"/>
      <c r="NIM78" s="209"/>
      <c r="NIN78" s="209"/>
      <c r="NIO78" s="209"/>
      <c r="NIP78" s="209"/>
      <c r="NIQ78" s="209"/>
      <c r="NIR78" s="209"/>
      <c r="NIS78" s="209"/>
      <c r="NIT78" s="209"/>
      <c r="NIU78" s="209"/>
      <c r="NIV78" s="209"/>
      <c r="NIW78" s="209"/>
      <c r="NIX78" s="209"/>
      <c r="NIY78" s="209"/>
      <c r="NIZ78" s="209"/>
      <c r="NJA78" s="209"/>
      <c r="NJB78" s="209"/>
      <c r="NJC78" s="209"/>
      <c r="NJD78" s="209"/>
      <c r="NJE78" s="209"/>
      <c r="NJF78" s="209"/>
      <c r="NJG78" s="209"/>
      <c r="NJH78" s="209"/>
      <c r="NJI78" s="209"/>
      <c r="NJJ78" s="209"/>
      <c r="NJK78" s="209"/>
      <c r="NJL78" s="209"/>
      <c r="NJM78" s="209"/>
      <c r="NJN78" s="209"/>
      <c r="NJO78" s="209"/>
      <c r="NJP78" s="209"/>
      <c r="NJQ78" s="209"/>
      <c r="NJR78" s="209"/>
      <c r="NJS78" s="209"/>
      <c r="NJT78" s="209"/>
      <c r="NJU78" s="209"/>
      <c r="NJV78" s="209"/>
      <c r="NJW78" s="209"/>
      <c r="NJX78" s="209"/>
      <c r="NJY78" s="209"/>
      <c r="NJZ78" s="209"/>
      <c r="NKA78" s="209"/>
      <c r="NKB78" s="209"/>
      <c r="NKC78" s="209"/>
      <c r="NKD78" s="209"/>
      <c r="NKE78" s="209"/>
      <c r="NKF78" s="209"/>
      <c r="NKG78" s="209"/>
      <c r="NKH78" s="209"/>
      <c r="NKI78" s="209"/>
      <c r="NKJ78" s="209"/>
      <c r="NKK78" s="209"/>
      <c r="NKL78" s="209"/>
      <c r="NKM78" s="209"/>
      <c r="NKN78" s="209"/>
      <c r="NKO78" s="209"/>
      <c r="NKP78" s="209"/>
      <c r="NKQ78" s="209"/>
      <c r="NKR78" s="209"/>
      <c r="NKS78" s="209"/>
      <c r="NKT78" s="209"/>
      <c r="NKU78" s="209"/>
      <c r="NKV78" s="209"/>
      <c r="NKW78" s="209"/>
      <c r="NKX78" s="209"/>
      <c r="NKY78" s="209"/>
      <c r="NKZ78" s="209"/>
      <c r="NLA78" s="209"/>
      <c r="NLB78" s="209"/>
      <c r="NLC78" s="209"/>
      <c r="NLD78" s="209"/>
      <c r="NLE78" s="209"/>
      <c r="NLF78" s="209"/>
      <c r="NLG78" s="209"/>
      <c r="NLH78" s="209"/>
      <c r="NLI78" s="209"/>
      <c r="NLJ78" s="209"/>
      <c r="NLK78" s="209"/>
      <c r="NLL78" s="209"/>
      <c r="NLM78" s="209"/>
      <c r="NLN78" s="209"/>
      <c r="NLO78" s="209"/>
      <c r="NLP78" s="209"/>
      <c r="NLQ78" s="209"/>
      <c r="NLR78" s="209"/>
      <c r="NLS78" s="209"/>
      <c r="NLT78" s="209"/>
      <c r="NLU78" s="209"/>
      <c r="NLV78" s="209"/>
      <c r="NLW78" s="209"/>
      <c r="NLX78" s="209"/>
      <c r="NLY78" s="209"/>
      <c r="NLZ78" s="209"/>
      <c r="NMA78" s="209"/>
      <c r="NMB78" s="209"/>
      <c r="NMC78" s="209"/>
      <c r="NMD78" s="209"/>
      <c r="NME78" s="209"/>
      <c r="NMF78" s="209"/>
      <c r="NMG78" s="209"/>
      <c r="NMH78" s="209"/>
      <c r="NMI78" s="209"/>
      <c r="NMJ78" s="209"/>
      <c r="NMK78" s="209"/>
      <c r="NML78" s="209"/>
      <c r="NMM78" s="209"/>
      <c r="NMN78" s="209"/>
      <c r="NMO78" s="209"/>
      <c r="NMP78" s="209"/>
      <c r="NMQ78" s="209"/>
      <c r="NMR78" s="209"/>
      <c r="NMS78" s="209"/>
      <c r="NMT78" s="209"/>
      <c r="NMU78" s="209"/>
      <c r="NMV78" s="209"/>
      <c r="NMW78" s="209"/>
      <c r="NMX78" s="209"/>
      <c r="NMY78" s="209"/>
      <c r="NMZ78" s="209"/>
      <c r="NNA78" s="209"/>
      <c r="NNB78" s="209"/>
      <c r="NNC78" s="209"/>
      <c r="NND78" s="209"/>
      <c r="NNE78" s="209"/>
      <c r="NNF78" s="209"/>
      <c r="NNG78" s="209"/>
      <c r="NNH78" s="209"/>
      <c r="NNI78" s="209"/>
      <c r="NNJ78" s="209"/>
      <c r="NNK78" s="209"/>
      <c r="NNL78" s="209"/>
      <c r="NNM78" s="209"/>
      <c r="NNN78" s="209"/>
      <c r="NNO78" s="209"/>
      <c r="NNP78" s="209"/>
      <c r="NNQ78" s="209"/>
      <c r="NNR78" s="209"/>
      <c r="NNS78" s="209"/>
      <c r="NNT78" s="209"/>
      <c r="NNU78" s="209"/>
      <c r="NNV78" s="209"/>
      <c r="NNW78" s="209"/>
      <c r="NNX78" s="209"/>
      <c r="NNY78" s="209"/>
      <c r="NNZ78" s="209"/>
      <c r="NOA78" s="209"/>
      <c r="NOB78" s="209"/>
      <c r="NOC78" s="209"/>
      <c r="NOD78" s="209"/>
      <c r="NOE78" s="209"/>
      <c r="NOF78" s="209"/>
      <c r="NOG78" s="209"/>
      <c r="NOH78" s="209"/>
      <c r="NOI78" s="209"/>
      <c r="NOJ78" s="209"/>
      <c r="NOK78" s="209"/>
      <c r="NOL78" s="209"/>
      <c r="NOM78" s="209"/>
      <c r="NON78" s="209"/>
      <c r="NOO78" s="209"/>
      <c r="NOP78" s="209"/>
      <c r="NOQ78" s="209"/>
      <c r="NOR78" s="209"/>
      <c r="NOS78" s="209"/>
      <c r="NOT78" s="209"/>
      <c r="NOU78" s="209"/>
      <c r="NOV78" s="209"/>
      <c r="NOW78" s="209"/>
      <c r="NOX78" s="209"/>
      <c r="NOY78" s="209"/>
      <c r="NOZ78" s="209"/>
      <c r="NPA78" s="209"/>
      <c r="NPB78" s="209"/>
      <c r="NPC78" s="209"/>
      <c r="NPD78" s="209"/>
      <c r="NPE78" s="209"/>
      <c r="NPF78" s="209"/>
      <c r="NPG78" s="209"/>
      <c r="NPH78" s="209"/>
      <c r="NPI78" s="209"/>
      <c r="NPJ78" s="209"/>
      <c r="NPK78" s="209"/>
      <c r="NPL78" s="209"/>
      <c r="NPM78" s="209"/>
      <c r="NPN78" s="209"/>
      <c r="NPO78" s="209"/>
      <c r="NPP78" s="209"/>
      <c r="NPQ78" s="209"/>
      <c r="NPR78" s="209"/>
      <c r="NPS78" s="209"/>
      <c r="NPT78" s="209"/>
      <c r="NPU78" s="209"/>
      <c r="NPV78" s="209"/>
      <c r="NPW78" s="209"/>
      <c r="NPX78" s="209"/>
      <c r="NPY78" s="209"/>
      <c r="NPZ78" s="209"/>
      <c r="NQA78" s="209"/>
      <c r="NQB78" s="209"/>
      <c r="NQC78" s="209"/>
      <c r="NQD78" s="209"/>
      <c r="NQE78" s="209"/>
      <c r="NQF78" s="209"/>
      <c r="NQG78" s="209"/>
      <c r="NQH78" s="209"/>
      <c r="NQI78" s="209"/>
      <c r="NQJ78" s="209"/>
      <c r="NQK78" s="209"/>
      <c r="NQL78" s="209"/>
      <c r="NQM78" s="209"/>
      <c r="NQN78" s="209"/>
      <c r="NQO78" s="209"/>
      <c r="NQP78" s="209"/>
      <c r="NQQ78" s="209"/>
      <c r="NQR78" s="209"/>
      <c r="NQS78" s="209"/>
      <c r="NQT78" s="209"/>
      <c r="NQU78" s="209"/>
      <c r="NQV78" s="209"/>
      <c r="NQW78" s="209"/>
      <c r="NQX78" s="209"/>
      <c r="NQY78" s="209"/>
      <c r="NQZ78" s="209"/>
      <c r="NRA78" s="209"/>
      <c r="NRB78" s="209"/>
      <c r="NRC78" s="209"/>
      <c r="NRD78" s="209"/>
      <c r="NRE78" s="209"/>
      <c r="NRF78" s="209"/>
      <c r="NRG78" s="209"/>
      <c r="NRH78" s="209"/>
      <c r="NRI78" s="209"/>
      <c r="NRJ78" s="209"/>
      <c r="NRK78" s="209"/>
      <c r="NRL78" s="209"/>
      <c r="NRM78" s="209"/>
      <c r="NRN78" s="209"/>
      <c r="NRO78" s="209"/>
      <c r="NRP78" s="209"/>
      <c r="NRQ78" s="209"/>
      <c r="NRR78" s="209"/>
      <c r="NRS78" s="209"/>
      <c r="NRT78" s="209"/>
      <c r="NRU78" s="209"/>
      <c r="NRV78" s="209"/>
      <c r="NRW78" s="209"/>
      <c r="NRX78" s="209"/>
      <c r="NRY78" s="209"/>
      <c r="NRZ78" s="209"/>
      <c r="NSA78" s="209"/>
      <c r="NSB78" s="209"/>
      <c r="NSC78" s="209"/>
      <c r="NSD78" s="209"/>
      <c r="NSE78" s="209"/>
      <c r="NSF78" s="209"/>
      <c r="NSG78" s="209"/>
      <c r="NSH78" s="209"/>
      <c r="NSI78" s="209"/>
      <c r="NSJ78" s="209"/>
      <c r="NSK78" s="209"/>
      <c r="NSL78" s="209"/>
      <c r="NSM78" s="209"/>
      <c r="NSN78" s="209"/>
      <c r="NSO78" s="209"/>
      <c r="NSP78" s="209"/>
      <c r="NSQ78" s="209"/>
      <c r="NSR78" s="209"/>
      <c r="NSS78" s="209"/>
      <c r="NST78" s="209"/>
      <c r="NSU78" s="209"/>
      <c r="NSV78" s="209"/>
      <c r="NSW78" s="209"/>
      <c r="NSX78" s="209"/>
      <c r="NSY78" s="209"/>
      <c r="NSZ78" s="209"/>
      <c r="NTA78" s="209"/>
      <c r="NTB78" s="209"/>
      <c r="NTC78" s="209"/>
      <c r="NTD78" s="209"/>
      <c r="NTE78" s="209"/>
      <c r="NTF78" s="209"/>
      <c r="NTG78" s="209"/>
      <c r="NTH78" s="209"/>
      <c r="NTI78" s="209"/>
      <c r="NTJ78" s="209"/>
      <c r="NTK78" s="209"/>
      <c r="NTL78" s="209"/>
      <c r="NTM78" s="209"/>
      <c r="NTN78" s="209"/>
      <c r="NTO78" s="209"/>
      <c r="NTP78" s="209"/>
      <c r="NTQ78" s="209"/>
      <c r="NTR78" s="209"/>
      <c r="NTS78" s="209"/>
      <c r="NTT78" s="209"/>
      <c r="NTU78" s="209"/>
      <c r="NTV78" s="209"/>
      <c r="NTW78" s="209"/>
      <c r="NTX78" s="209"/>
      <c r="NTY78" s="209"/>
      <c r="NTZ78" s="209"/>
      <c r="NUA78" s="209"/>
      <c r="NUB78" s="209"/>
      <c r="NUC78" s="209"/>
      <c r="NUD78" s="209"/>
      <c r="NUE78" s="209"/>
      <c r="NUF78" s="209"/>
      <c r="NUG78" s="209"/>
      <c r="NUH78" s="209"/>
      <c r="NUI78" s="209"/>
      <c r="NUJ78" s="209"/>
      <c r="NUK78" s="209"/>
      <c r="NUL78" s="209"/>
      <c r="NUM78" s="209"/>
      <c r="NUN78" s="209"/>
      <c r="NUO78" s="209"/>
      <c r="NUP78" s="209"/>
      <c r="NUQ78" s="209"/>
      <c r="NUR78" s="209"/>
      <c r="NUS78" s="209"/>
      <c r="NUT78" s="209"/>
      <c r="NUU78" s="209"/>
      <c r="NUV78" s="209"/>
      <c r="NUW78" s="209"/>
      <c r="NUX78" s="209"/>
      <c r="NUY78" s="209"/>
      <c r="NUZ78" s="209"/>
      <c r="NVA78" s="209"/>
      <c r="NVB78" s="209"/>
      <c r="NVC78" s="209"/>
      <c r="NVD78" s="209"/>
      <c r="NVE78" s="209"/>
      <c r="NVF78" s="209"/>
      <c r="NVG78" s="209"/>
      <c r="NVH78" s="209"/>
      <c r="NVI78" s="209"/>
      <c r="NVJ78" s="209"/>
      <c r="NVK78" s="209"/>
      <c r="NVL78" s="209"/>
      <c r="NVM78" s="209"/>
      <c r="NVN78" s="209"/>
      <c r="NVO78" s="209"/>
      <c r="NVP78" s="209"/>
      <c r="NVQ78" s="209"/>
      <c r="NVR78" s="209"/>
      <c r="NVS78" s="209"/>
      <c r="NVT78" s="209"/>
      <c r="NVU78" s="209"/>
      <c r="NVV78" s="209"/>
      <c r="NVW78" s="209"/>
      <c r="NVX78" s="209"/>
      <c r="NVY78" s="209"/>
      <c r="NVZ78" s="209"/>
      <c r="NWA78" s="209"/>
      <c r="NWB78" s="209"/>
      <c r="NWC78" s="209"/>
      <c r="NWD78" s="209"/>
      <c r="NWE78" s="209"/>
      <c r="NWF78" s="209"/>
      <c r="NWG78" s="209"/>
      <c r="NWH78" s="209"/>
      <c r="NWI78" s="209"/>
      <c r="NWJ78" s="209"/>
      <c r="NWK78" s="209"/>
      <c r="NWL78" s="209"/>
      <c r="NWM78" s="209"/>
      <c r="NWN78" s="209"/>
      <c r="NWO78" s="209"/>
      <c r="NWP78" s="209"/>
      <c r="NWQ78" s="209"/>
      <c r="NWR78" s="209"/>
      <c r="NWS78" s="209"/>
      <c r="NWT78" s="209"/>
      <c r="NWU78" s="209"/>
      <c r="NWV78" s="209"/>
      <c r="NWW78" s="209"/>
      <c r="NWX78" s="209"/>
      <c r="NWY78" s="209"/>
      <c r="NWZ78" s="209"/>
      <c r="NXA78" s="209"/>
      <c r="NXB78" s="209"/>
      <c r="NXC78" s="209"/>
      <c r="NXD78" s="209"/>
      <c r="NXE78" s="209"/>
      <c r="NXF78" s="209"/>
      <c r="NXG78" s="209"/>
      <c r="NXH78" s="209"/>
      <c r="NXI78" s="209"/>
      <c r="NXJ78" s="209"/>
      <c r="NXK78" s="209"/>
      <c r="NXL78" s="209"/>
      <c r="NXM78" s="209"/>
      <c r="NXN78" s="209"/>
      <c r="NXO78" s="209"/>
      <c r="NXP78" s="209"/>
      <c r="NXQ78" s="209"/>
      <c r="NXR78" s="209"/>
      <c r="NXS78" s="209"/>
      <c r="NXT78" s="209"/>
      <c r="NXU78" s="209"/>
      <c r="NXV78" s="209"/>
      <c r="NXW78" s="209"/>
      <c r="NXX78" s="209"/>
      <c r="NXY78" s="209"/>
      <c r="NXZ78" s="209"/>
      <c r="NYA78" s="209"/>
      <c r="NYB78" s="209"/>
      <c r="NYC78" s="209"/>
      <c r="NYD78" s="209"/>
      <c r="NYE78" s="209"/>
      <c r="NYF78" s="209"/>
      <c r="NYG78" s="209"/>
      <c r="NYH78" s="209"/>
      <c r="NYI78" s="209"/>
      <c r="NYJ78" s="209"/>
      <c r="NYK78" s="209"/>
      <c r="NYL78" s="209"/>
      <c r="NYM78" s="209"/>
      <c r="NYN78" s="209"/>
      <c r="NYO78" s="209"/>
      <c r="NYP78" s="209"/>
      <c r="NYQ78" s="209"/>
      <c r="NYR78" s="209"/>
      <c r="NYS78" s="209"/>
      <c r="NYT78" s="209"/>
      <c r="NYU78" s="209"/>
      <c r="NYV78" s="209"/>
      <c r="NYW78" s="209"/>
      <c r="NYX78" s="209"/>
      <c r="NYY78" s="209"/>
      <c r="NYZ78" s="209"/>
      <c r="NZA78" s="209"/>
      <c r="NZB78" s="209"/>
      <c r="NZC78" s="209"/>
      <c r="NZD78" s="209"/>
      <c r="NZE78" s="209"/>
      <c r="NZF78" s="209"/>
      <c r="NZG78" s="209"/>
      <c r="NZH78" s="209"/>
      <c r="NZI78" s="209"/>
      <c r="NZJ78" s="209"/>
      <c r="NZK78" s="209"/>
      <c r="NZL78" s="209"/>
      <c r="NZM78" s="209"/>
      <c r="NZN78" s="209"/>
      <c r="NZO78" s="209"/>
      <c r="NZP78" s="209"/>
      <c r="NZQ78" s="209"/>
      <c r="NZR78" s="209"/>
      <c r="NZS78" s="209"/>
      <c r="NZT78" s="209"/>
      <c r="NZU78" s="209"/>
      <c r="NZV78" s="209"/>
      <c r="NZW78" s="209"/>
      <c r="NZX78" s="209"/>
      <c r="NZY78" s="209"/>
      <c r="NZZ78" s="209"/>
      <c r="OAA78" s="209"/>
      <c r="OAB78" s="209"/>
      <c r="OAC78" s="209"/>
      <c r="OAD78" s="209"/>
      <c r="OAE78" s="209"/>
      <c r="OAF78" s="209"/>
      <c r="OAG78" s="209"/>
      <c r="OAH78" s="209"/>
      <c r="OAI78" s="209"/>
      <c r="OAJ78" s="209"/>
      <c r="OAK78" s="209"/>
      <c r="OAL78" s="209"/>
      <c r="OAM78" s="209"/>
      <c r="OAN78" s="209"/>
      <c r="OAO78" s="209"/>
      <c r="OAP78" s="209"/>
      <c r="OAQ78" s="209"/>
      <c r="OAR78" s="209"/>
      <c r="OAS78" s="209"/>
      <c r="OAT78" s="209"/>
      <c r="OAU78" s="209"/>
      <c r="OAV78" s="209"/>
      <c r="OAW78" s="209"/>
      <c r="OAX78" s="209"/>
      <c r="OAY78" s="209"/>
      <c r="OAZ78" s="209"/>
      <c r="OBA78" s="209"/>
      <c r="OBB78" s="209"/>
      <c r="OBC78" s="209"/>
      <c r="OBD78" s="209"/>
      <c r="OBE78" s="209"/>
      <c r="OBF78" s="209"/>
      <c r="OBG78" s="209"/>
      <c r="OBH78" s="209"/>
      <c r="OBI78" s="209"/>
      <c r="OBJ78" s="209"/>
      <c r="OBK78" s="209"/>
      <c r="OBL78" s="209"/>
      <c r="OBM78" s="209"/>
      <c r="OBN78" s="209"/>
      <c r="OBO78" s="209"/>
      <c r="OBP78" s="209"/>
      <c r="OBQ78" s="209"/>
      <c r="OBR78" s="209"/>
      <c r="OBS78" s="209"/>
      <c r="OBT78" s="209"/>
      <c r="OBU78" s="209"/>
      <c r="OBV78" s="209"/>
      <c r="OBW78" s="209"/>
      <c r="OBX78" s="209"/>
      <c r="OBY78" s="209"/>
      <c r="OBZ78" s="209"/>
      <c r="OCA78" s="209"/>
      <c r="OCB78" s="209"/>
      <c r="OCC78" s="209"/>
      <c r="OCD78" s="209"/>
      <c r="OCE78" s="209"/>
      <c r="OCF78" s="209"/>
      <c r="OCG78" s="209"/>
      <c r="OCH78" s="209"/>
      <c r="OCI78" s="209"/>
      <c r="OCJ78" s="209"/>
      <c r="OCK78" s="209"/>
      <c r="OCL78" s="209"/>
      <c r="OCM78" s="209"/>
      <c r="OCN78" s="209"/>
      <c r="OCO78" s="209"/>
      <c r="OCP78" s="209"/>
      <c r="OCQ78" s="209"/>
      <c r="OCR78" s="209"/>
      <c r="OCS78" s="209"/>
      <c r="OCT78" s="209"/>
      <c r="OCU78" s="209"/>
      <c r="OCV78" s="209"/>
      <c r="OCW78" s="209"/>
      <c r="OCX78" s="209"/>
      <c r="OCY78" s="209"/>
      <c r="OCZ78" s="209"/>
      <c r="ODA78" s="209"/>
      <c r="ODB78" s="209"/>
      <c r="ODC78" s="209"/>
      <c r="ODD78" s="209"/>
      <c r="ODE78" s="209"/>
      <c r="ODF78" s="209"/>
      <c r="ODG78" s="209"/>
      <c r="ODH78" s="209"/>
      <c r="ODI78" s="209"/>
      <c r="ODJ78" s="209"/>
      <c r="ODK78" s="209"/>
      <c r="ODL78" s="209"/>
      <c r="ODM78" s="209"/>
      <c r="ODN78" s="209"/>
      <c r="ODO78" s="209"/>
      <c r="ODP78" s="209"/>
      <c r="ODQ78" s="209"/>
      <c r="ODR78" s="209"/>
      <c r="ODS78" s="209"/>
      <c r="ODT78" s="209"/>
      <c r="ODU78" s="209"/>
      <c r="ODV78" s="209"/>
      <c r="ODW78" s="209"/>
      <c r="ODX78" s="209"/>
      <c r="ODY78" s="209"/>
      <c r="ODZ78" s="209"/>
      <c r="OEA78" s="209"/>
      <c r="OEB78" s="209"/>
      <c r="OEC78" s="209"/>
      <c r="OED78" s="209"/>
      <c r="OEE78" s="209"/>
      <c r="OEF78" s="209"/>
      <c r="OEG78" s="209"/>
      <c r="OEH78" s="209"/>
      <c r="OEI78" s="209"/>
      <c r="OEJ78" s="209"/>
      <c r="OEK78" s="209"/>
      <c r="OEL78" s="209"/>
      <c r="OEM78" s="209"/>
      <c r="OEN78" s="209"/>
      <c r="OEO78" s="209"/>
      <c r="OEP78" s="209"/>
      <c r="OEQ78" s="209"/>
      <c r="OER78" s="209"/>
      <c r="OES78" s="209"/>
      <c r="OET78" s="209"/>
      <c r="OEU78" s="209"/>
      <c r="OEV78" s="209"/>
      <c r="OEW78" s="209"/>
      <c r="OEX78" s="209"/>
      <c r="OEY78" s="209"/>
      <c r="OEZ78" s="209"/>
      <c r="OFA78" s="209"/>
      <c r="OFB78" s="209"/>
      <c r="OFC78" s="209"/>
      <c r="OFD78" s="209"/>
      <c r="OFE78" s="209"/>
      <c r="OFF78" s="209"/>
      <c r="OFG78" s="209"/>
      <c r="OFH78" s="209"/>
      <c r="OFI78" s="209"/>
      <c r="OFJ78" s="209"/>
      <c r="OFK78" s="209"/>
      <c r="OFL78" s="209"/>
      <c r="OFM78" s="209"/>
      <c r="OFN78" s="209"/>
      <c r="OFO78" s="209"/>
      <c r="OFP78" s="209"/>
      <c r="OFQ78" s="209"/>
      <c r="OFR78" s="209"/>
      <c r="OFS78" s="209"/>
      <c r="OFT78" s="209"/>
      <c r="OFU78" s="209"/>
      <c r="OFV78" s="209"/>
      <c r="OFW78" s="209"/>
      <c r="OFX78" s="209"/>
      <c r="OFY78" s="209"/>
      <c r="OFZ78" s="209"/>
      <c r="OGA78" s="209"/>
      <c r="OGB78" s="209"/>
      <c r="OGC78" s="209"/>
      <c r="OGD78" s="209"/>
      <c r="OGE78" s="209"/>
      <c r="OGF78" s="209"/>
      <c r="OGG78" s="209"/>
      <c r="OGH78" s="209"/>
      <c r="OGI78" s="209"/>
      <c r="OGJ78" s="209"/>
      <c r="OGK78" s="209"/>
      <c r="OGL78" s="209"/>
      <c r="OGM78" s="209"/>
      <c r="OGN78" s="209"/>
      <c r="OGO78" s="209"/>
      <c r="OGP78" s="209"/>
      <c r="OGQ78" s="209"/>
      <c r="OGR78" s="209"/>
      <c r="OGS78" s="209"/>
      <c r="OGT78" s="209"/>
      <c r="OGU78" s="209"/>
      <c r="OGV78" s="209"/>
      <c r="OGW78" s="209"/>
      <c r="OGX78" s="209"/>
      <c r="OGY78" s="209"/>
      <c r="OGZ78" s="209"/>
      <c r="OHA78" s="209"/>
      <c r="OHB78" s="209"/>
      <c r="OHC78" s="209"/>
      <c r="OHD78" s="209"/>
      <c r="OHE78" s="209"/>
      <c r="OHF78" s="209"/>
      <c r="OHG78" s="209"/>
      <c r="OHH78" s="209"/>
      <c r="OHI78" s="209"/>
      <c r="OHJ78" s="209"/>
      <c r="OHK78" s="209"/>
      <c r="OHL78" s="209"/>
      <c r="OHM78" s="209"/>
      <c r="OHN78" s="209"/>
      <c r="OHO78" s="209"/>
      <c r="OHP78" s="209"/>
      <c r="OHQ78" s="209"/>
      <c r="OHR78" s="209"/>
      <c r="OHS78" s="209"/>
      <c r="OHT78" s="209"/>
      <c r="OHU78" s="209"/>
      <c r="OHV78" s="209"/>
      <c r="OHW78" s="209"/>
      <c r="OHX78" s="209"/>
      <c r="OHY78" s="209"/>
      <c r="OHZ78" s="209"/>
      <c r="OIA78" s="209"/>
      <c r="OIB78" s="209"/>
      <c r="OIC78" s="209"/>
      <c r="OID78" s="209"/>
      <c r="OIE78" s="209"/>
      <c r="OIF78" s="209"/>
      <c r="OIG78" s="209"/>
      <c r="OIH78" s="209"/>
      <c r="OII78" s="209"/>
      <c r="OIJ78" s="209"/>
      <c r="OIK78" s="209"/>
      <c r="OIL78" s="209"/>
      <c r="OIM78" s="209"/>
      <c r="OIN78" s="209"/>
      <c r="OIO78" s="209"/>
      <c r="OIP78" s="209"/>
      <c r="OIQ78" s="209"/>
      <c r="OIR78" s="209"/>
      <c r="OIS78" s="209"/>
      <c r="OIT78" s="209"/>
      <c r="OIU78" s="209"/>
      <c r="OIV78" s="209"/>
      <c r="OIW78" s="209"/>
      <c r="OIX78" s="209"/>
      <c r="OIY78" s="209"/>
      <c r="OIZ78" s="209"/>
      <c r="OJA78" s="209"/>
      <c r="OJB78" s="209"/>
      <c r="OJC78" s="209"/>
      <c r="OJD78" s="209"/>
      <c r="OJE78" s="209"/>
      <c r="OJF78" s="209"/>
      <c r="OJG78" s="209"/>
      <c r="OJH78" s="209"/>
      <c r="OJI78" s="209"/>
      <c r="OJJ78" s="209"/>
      <c r="OJK78" s="209"/>
      <c r="OJL78" s="209"/>
      <c r="OJM78" s="209"/>
      <c r="OJN78" s="209"/>
      <c r="OJO78" s="209"/>
      <c r="OJP78" s="209"/>
      <c r="OJQ78" s="209"/>
      <c r="OJR78" s="209"/>
      <c r="OJS78" s="209"/>
      <c r="OJT78" s="209"/>
      <c r="OJU78" s="209"/>
      <c r="OJV78" s="209"/>
      <c r="OJW78" s="209"/>
      <c r="OJX78" s="209"/>
      <c r="OJY78" s="209"/>
      <c r="OJZ78" s="209"/>
      <c r="OKA78" s="209"/>
      <c r="OKB78" s="209"/>
      <c r="OKC78" s="209"/>
      <c r="OKD78" s="209"/>
      <c r="OKE78" s="209"/>
      <c r="OKF78" s="209"/>
      <c r="OKG78" s="209"/>
      <c r="OKH78" s="209"/>
      <c r="OKI78" s="209"/>
      <c r="OKJ78" s="209"/>
      <c r="OKK78" s="209"/>
      <c r="OKL78" s="209"/>
      <c r="OKM78" s="209"/>
      <c r="OKN78" s="209"/>
      <c r="OKO78" s="209"/>
      <c r="OKP78" s="209"/>
      <c r="OKQ78" s="209"/>
      <c r="OKR78" s="209"/>
      <c r="OKS78" s="209"/>
      <c r="OKT78" s="209"/>
      <c r="OKU78" s="209"/>
      <c r="OKV78" s="209"/>
      <c r="OKW78" s="209"/>
      <c r="OKX78" s="209"/>
      <c r="OKY78" s="209"/>
      <c r="OKZ78" s="209"/>
      <c r="OLA78" s="209"/>
      <c r="OLB78" s="209"/>
      <c r="OLC78" s="209"/>
      <c r="OLD78" s="209"/>
      <c r="OLE78" s="209"/>
      <c r="OLF78" s="209"/>
      <c r="OLG78" s="209"/>
      <c r="OLH78" s="209"/>
      <c r="OLI78" s="209"/>
      <c r="OLJ78" s="209"/>
      <c r="OLK78" s="209"/>
      <c r="OLL78" s="209"/>
      <c r="OLM78" s="209"/>
      <c r="OLN78" s="209"/>
      <c r="OLO78" s="209"/>
      <c r="OLP78" s="209"/>
      <c r="OLQ78" s="209"/>
      <c r="OLR78" s="209"/>
      <c r="OLS78" s="209"/>
      <c r="OLT78" s="209"/>
      <c r="OLU78" s="209"/>
      <c r="OLV78" s="209"/>
      <c r="OLW78" s="209"/>
      <c r="OLX78" s="209"/>
      <c r="OLY78" s="209"/>
      <c r="OLZ78" s="209"/>
      <c r="OMA78" s="209"/>
      <c r="OMB78" s="209"/>
      <c r="OMC78" s="209"/>
      <c r="OMD78" s="209"/>
      <c r="OME78" s="209"/>
      <c r="OMF78" s="209"/>
      <c r="OMG78" s="209"/>
      <c r="OMH78" s="209"/>
      <c r="OMI78" s="209"/>
      <c r="OMJ78" s="209"/>
      <c r="OMK78" s="209"/>
      <c r="OML78" s="209"/>
      <c r="OMM78" s="209"/>
      <c r="OMN78" s="209"/>
      <c r="OMO78" s="209"/>
      <c r="OMP78" s="209"/>
      <c r="OMQ78" s="209"/>
      <c r="OMR78" s="209"/>
      <c r="OMS78" s="209"/>
      <c r="OMT78" s="209"/>
      <c r="OMU78" s="209"/>
      <c r="OMV78" s="209"/>
      <c r="OMW78" s="209"/>
      <c r="OMX78" s="209"/>
      <c r="OMY78" s="209"/>
      <c r="OMZ78" s="209"/>
      <c r="ONA78" s="209"/>
      <c r="ONB78" s="209"/>
      <c r="ONC78" s="209"/>
      <c r="OND78" s="209"/>
      <c r="ONE78" s="209"/>
      <c r="ONF78" s="209"/>
      <c r="ONG78" s="209"/>
      <c r="ONH78" s="209"/>
      <c r="ONI78" s="209"/>
      <c r="ONJ78" s="209"/>
      <c r="ONK78" s="209"/>
      <c r="ONL78" s="209"/>
      <c r="ONM78" s="209"/>
      <c r="ONN78" s="209"/>
      <c r="ONO78" s="209"/>
      <c r="ONP78" s="209"/>
      <c r="ONQ78" s="209"/>
      <c r="ONR78" s="209"/>
      <c r="ONS78" s="209"/>
      <c r="ONT78" s="209"/>
      <c r="ONU78" s="209"/>
      <c r="ONV78" s="209"/>
      <c r="ONW78" s="209"/>
      <c r="ONX78" s="209"/>
      <c r="ONY78" s="209"/>
      <c r="ONZ78" s="209"/>
      <c r="OOA78" s="209"/>
      <c r="OOB78" s="209"/>
      <c r="OOC78" s="209"/>
      <c r="OOD78" s="209"/>
      <c r="OOE78" s="209"/>
      <c r="OOF78" s="209"/>
      <c r="OOG78" s="209"/>
      <c r="OOH78" s="209"/>
      <c r="OOI78" s="209"/>
      <c r="OOJ78" s="209"/>
      <c r="OOK78" s="209"/>
      <c r="OOL78" s="209"/>
      <c r="OOM78" s="209"/>
      <c r="OON78" s="209"/>
      <c r="OOO78" s="209"/>
      <c r="OOP78" s="209"/>
      <c r="OOQ78" s="209"/>
      <c r="OOR78" s="209"/>
      <c r="OOS78" s="209"/>
      <c r="OOT78" s="209"/>
      <c r="OOU78" s="209"/>
      <c r="OOV78" s="209"/>
      <c r="OOW78" s="209"/>
      <c r="OOX78" s="209"/>
      <c r="OOY78" s="209"/>
      <c r="OOZ78" s="209"/>
      <c r="OPA78" s="209"/>
      <c r="OPB78" s="209"/>
      <c r="OPC78" s="209"/>
      <c r="OPD78" s="209"/>
      <c r="OPE78" s="209"/>
      <c r="OPF78" s="209"/>
      <c r="OPG78" s="209"/>
      <c r="OPH78" s="209"/>
      <c r="OPI78" s="209"/>
      <c r="OPJ78" s="209"/>
      <c r="OPK78" s="209"/>
      <c r="OPL78" s="209"/>
      <c r="OPM78" s="209"/>
      <c r="OPN78" s="209"/>
      <c r="OPO78" s="209"/>
      <c r="OPP78" s="209"/>
      <c r="OPQ78" s="209"/>
      <c r="OPR78" s="209"/>
      <c r="OPS78" s="209"/>
      <c r="OPT78" s="209"/>
      <c r="OPU78" s="209"/>
      <c r="OPV78" s="209"/>
      <c r="OPW78" s="209"/>
      <c r="OPX78" s="209"/>
      <c r="OPY78" s="209"/>
      <c r="OPZ78" s="209"/>
      <c r="OQA78" s="209"/>
      <c r="OQB78" s="209"/>
      <c r="OQC78" s="209"/>
      <c r="OQD78" s="209"/>
      <c r="OQE78" s="209"/>
      <c r="OQF78" s="209"/>
      <c r="OQG78" s="209"/>
      <c r="OQH78" s="209"/>
      <c r="OQI78" s="209"/>
      <c r="OQJ78" s="209"/>
      <c r="OQK78" s="209"/>
      <c r="OQL78" s="209"/>
      <c r="OQM78" s="209"/>
      <c r="OQN78" s="209"/>
      <c r="OQO78" s="209"/>
      <c r="OQP78" s="209"/>
      <c r="OQQ78" s="209"/>
      <c r="OQR78" s="209"/>
      <c r="OQS78" s="209"/>
      <c r="OQT78" s="209"/>
      <c r="OQU78" s="209"/>
      <c r="OQV78" s="209"/>
      <c r="OQW78" s="209"/>
      <c r="OQX78" s="209"/>
      <c r="OQY78" s="209"/>
      <c r="OQZ78" s="209"/>
      <c r="ORA78" s="209"/>
      <c r="ORB78" s="209"/>
      <c r="ORC78" s="209"/>
      <c r="ORD78" s="209"/>
      <c r="ORE78" s="209"/>
      <c r="ORF78" s="209"/>
      <c r="ORG78" s="209"/>
      <c r="ORH78" s="209"/>
      <c r="ORI78" s="209"/>
      <c r="ORJ78" s="209"/>
      <c r="ORK78" s="209"/>
      <c r="ORL78" s="209"/>
      <c r="ORM78" s="209"/>
      <c r="ORN78" s="209"/>
      <c r="ORO78" s="209"/>
      <c r="ORP78" s="209"/>
      <c r="ORQ78" s="209"/>
      <c r="ORR78" s="209"/>
      <c r="ORS78" s="209"/>
      <c r="ORT78" s="209"/>
      <c r="ORU78" s="209"/>
      <c r="ORV78" s="209"/>
      <c r="ORW78" s="209"/>
      <c r="ORX78" s="209"/>
      <c r="ORY78" s="209"/>
      <c r="ORZ78" s="209"/>
      <c r="OSA78" s="209"/>
      <c r="OSB78" s="209"/>
      <c r="OSC78" s="209"/>
      <c r="OSD78" s="209"/>
      <c r="OSE78" s="209"/>
      <c r="OSF78" s="209"/>
      <c r="OSG78" s="209"/>
      <c r="OSH78" s="209"/>
      <c r="OSI78" s="209"/>
      <c r="OSJ78" s="209"/>
      <c r="OSK78" s="209"/>
      <c r="OSL78" s="209"/>
      <c r="OSM78" s="209"/>
      <c r="OSN78" s="209"/>
      <c r="OSO78" s="209"/>
      <c r="OSP78" s="209"/>
      <c r="OSQ78" s="209"/>
      <c r="OSR78" s="209"/>
      <c r="OSS78" s="209"/>
      <c r="OST78" s="209"/>
      <c r="OSU78" s="209"/>
      <c r="OSV78" s="209"/>
      <c r="OSW78" s="209"/>
      <c r="OSX78" s="209"/>
      <c r="OSY78" s="209"/>
      <c r="OSZ78" s="209"/>
      <c r="OTA78" s="209"/>
      <c r="OTB78" s="209"/>
      <c r="OTC78" s="209"/>
      <c r="OTD78" s="209"/>
      <c r="OTE78" s="209"/>
      <c r="OTF78" s="209"/>
      <c r="OTG78" s="209"/>
      <c r="OTH78" s="209"/>
      <c r="OTI78" s="209"/>
      <c r="OTJ78" s="209"/>
      <c r="OTK78" s="209"/>
      <c r="OTL78" s="209"/>
      <c r="OTM78" s="209"/>
      <c r="OTN78" s="209"/>
      <c r="OTO78" s="209"/>
      <c r="OTP78" s="209"/>
      <c r="OTQ78" s="209"/>
      <c r="OTR78" s="209"/>
      <c r="OTS78" s="209"/>
      <c r="OTT78" s="209"/>
      <c r="OTU78" s="209"/>
      <c r="OTV78" s="209"/>
      <c r="OTW78" s="209"/>
      <c r="OTX78" s="209"/>
      <c r="OTY78" s="209"/>
      <c r="OTZ78" s="209"/>
      <c r="OUA78" s="209"/>
      <c r="OUB78" s="209"/>
      <c r="OUC78" s="209"/>
      <c r="OUD78" s="209"/>
      <c r="OUE78" s="209"/>
      <c r="OUF78" s="209"/>
      <c r="OUG78" s="209"/>
      <c r="OUH78" s="209"/>
      <c r="OUI78" s="209"/>
      <c r="OUJ78" s="209"/>
      <c r="OUK78" s="209"/>
      <c r="OUL78" s="209"/>
      <c r="OUM78" s="209"/>
      <c r="OUN78" s="209"/>
      <c r="OUO78" s="209"/>
      <c r="OUP78" s="209"/>
      <c r="OUQ78" s="209"/>
      <c r="OUR78" s="209"/>
      <c r="OUS78" s="209"/>
      <c r="OUT78" s="209"/>
      <c r="OUU78" s="209"/>
      <c r="OUV78" s="209"/>
      <c r="OUW78" s="209"/>
      <c r="OUX78" s="209"/>
      <c r="OUY78" s="209"/>
      <c r="OUZ78" s="209"/>
      <c r="OVA78" s="209"/>
      <c r="OVB78" s="209"/>
      <c r="OVC78" s="209"/>
      <c r="OVD78" s="209"/>
      <c r="OVE78" s="209"/>
      <c r="OVF78" s="209"/>
      <c r="OVG78" s="209"/>
      <c r="OVH78" s="209"/>
      <c r="OVI78" s="209"/>
      <c r="OVJ78" s="209"/>
      <c r="OVK78" s="209"/>
      <c r="OVL78" s="209"/>
      <c r="OVM78" s="209"/>
      <c r="OVN78" s="209"/>
      <c r="OVO78" s="209"/>
      <c r="OVP78" s="209"/>
      <c r="OVQ78" s="209"/>
      <c r="OVR78" s="209"/>
      <c r="OVS78" s="209"/>
      <c r="OVT78" s="209"/>
      <c r="OVU78" s="209"/>
      <c r="OVV78" s="209"/>
      <c r="OVW78" s="209"/>
      <c r="OVX78" s="209"/>
      <c r="OVY78" s="209"/>
      <c r="OVZ78" s="209"/>
      <c r="OWA78" s="209"/>
      <c r="OWB78" s="209"/>
      <c r="OWC78" s="209"/>
      <c r="OWD78" s="209"/>
      <c r="OWE78" s="209"/>
      <c r="OWF78" s="209"/>
      <c r="OWG78" s="209"/>
      <c r="OWH78" s="209"/>
      <c r="OWI78" s="209"/>
      <c r="OWJ78" s="209"/>
      <c r="OWK78" s="209"/>
      <c r="OWL78" s="209"/>
      <c r="OWM78" s="209"/>
      <c r="OWN78" s="209"/>
      <c r="OWO78" s="209"/>
      <c r="OWP78" s="209"/>
      <c r="OWQ78" s="209"/>
      <c r="OWR78" s="209"/>
      <c r="OWS78" s="209"/>
      <c r="OWT78" s="209"/>
      <c r="OWU78" s="209"/>
      <c r="OWV78" s="209"/>
      <c r="OWW78" s="209"/>
      <c r="OWX78" s="209"/>
      <c r="OWY78" s="209"/>
      <c r="OWZ78" s="209"/>
      <c r="OXA78" s="209"/>
      <c r="OXB78" s="209"/>
      <c r="OXC78" s="209"/>
      <c r="OXD78" s="209"/>
      <c r="OXE78" s="209"/>
      <c r="OXF78" s="209"/>
      <c r="OXG78" s="209"/>
      <c r="OXH78" s="209"/>
      <c r="OXI78" s="209"/>
      <c r="OXJ78" s="209"/>
      <c r="OXK78" s="209"/>
      <c r="OXL78" s="209"/>
      <c r="OXM78" s="209"/>
      <c r="OXN78" s="209"/>
      <c r="OXO78" s="209"/>
      <c r="OXP78" s="209"/>
      <c r="OXQ78" s="209"/>
      <c r="OXR78" s="209"/>
      <c r="OXS78" s="209"/>
      <c r="OXT78" s="209"/>
      <c r="OXU78" s="209"/>
      <c r="OXV78" s="209"/>
      <c r="OXW78" s="209"/>
      <c r="OXX78" s="209"/>
      <c r="OXY78" s="209"/>
      <c r="OXZ78" s="209"/>
      <c r="OYA78" s="209"/>
      <c r="OYB78" s="209"/>
      <c r="OYC78" s="209"/>
      <c r="OYD78" s="209"/>
      <c r="OYE78" s="209"/>
      <c r="OYF78" s="209"/>
      <c r="OYG78" s="209"/>
      <c r="OYH78" s="209"/>
      <c r="OYI78" s="209"/>
      <c r="OYJ78" s="209"/>
      <c r="OYK78" s="209"/>
      <c r="OYL78" s="209"/>
      <c r="OYM78" s="209"/>
      <c r="OYN78" s="209"/>
      <c r="OYO78" s="209"/>
      <c r="OYP78" s="209"/>
      <c r="OYQ78" s="209"/>
      <c r="OYR78" s="209"/>
      <c r="OYS78" s="209"/>
      <c r="OYT78" s="209"/>
      <c r="OYU78" s="209"/>
      <c r="OYV78" s="209"/>
      <c r="OYW78" s="209"/>
      <c r="OYX78" s="209"/>
      <c r="OYY78" s="209"/>
      <c r="OYZ78" s="209"/>
      <c r="OZA78" s="209"/>
      <c r="OZB78" s="209"/>
      <c r="OZC78" s="209"/>
      <c r="OZD78" s="209"/>
      <c r="OZE78" s="209"/>
      <c r="OZF78" s="209"/>
      <c r="OZG78" s="209"/>
      <c r="OZH78" s="209"/>
      <c r="OZI78" s="209"/>
      <c r="OZJ78" s="209"/>
      <c r="OZK78" s="209"/>
      <c r="OZL78" s="209"/>
      <c r="OZM78" s="209"/>
      <c r="OZN78" s="209"/>
      <c r="OZO78" s="209"/>
      <c r="OZP78" s="209"/>
      <c r="OZQ78" s="209"/>
      <c r="OZR78" s="209"/>
      <c r="OZS78" s="209"/>
      <c r="OZT78" s="209"/>
      <c r="OZU78" s="209"/>
      <c r="OZV78" s="209"/>
      <c r="OZW78" s="209"/>
      <c r="OZX78" s="209"/>
      <c r="OZY78" s="209"/>
      <c r="OZZ78" s="209"/>
      <c r="PAA78" s="209"/>
      <c r="PAB78" s="209"/>
      <c r="PAC78" s="209"/>
      <c r="PAD78" s="209"/>
      <c r="PAE78" s="209"/>
      <c r="PAF78" s="209"/>
      <c r="PAG78" s="209"/>
      <c r="PAH78" s="209"/>
      <c r="PAI78" s="209"/>
      <c r="PAJ78" s="209"/>
      <c r="PAK78" s="209"/>
      <c r="PAL78" s="209"/>
      <c r="PAM78" s="209"/>
      <c r="PAN78" s="209"/>
      <c r="PAO78" s="209"/>
      <c r="PAP78" s="209"/>
      <c r="PAQ78" s="209"/>
      <c r="PAR78" s="209"/>
      <c r="PAS78" s="209"/>
      <c r="PAT78" s="209"/>
      <c r="PAU78" s="209"/>
      <c r="PAV78" s="209"/>
      <c r="PAW78" s="209"/>
      <c r="PAX78" s="209"/>
      <c r="PAY78" s="209"/>
      <c r="PAZ78" s="209"/>
      <c r="PBA78" s="209"/>
      <c r="PBB78" s="209"/>
      <c r="PBC78" s="209"/>
      <c r="PBD78" s="209"/>
      <c r="PBE78" s="209"/>
      <c r="PBF78" s="209"/>
      <c r="PBG78" s="209"/>
      <c r="PBH78" s="209"/>
      <c r="PBI78" s="209"/>
      <c r="PBJ78" s="209"/>
      <c r="PBK78" s="209"/>
      <c r="PBL78" s="209"/>
      <c r="PBM78" s="209"/>
      <c r="PBN78" s="209"/>
      <c r="PBO78" s="209"/>
      <c r="PBP78" s="209"/>
      <c r="PBQ78" s="209"/>
      <c r="PBR78" s="209"/>
      <c r="PBS78" s="209"/>
      <c r="PBT78" s="209"/>
      <c r="PBU78" s="209"/>
      <c r="PBV78" s="209"/>
      <c r="PBW78" s="209"/>
      <c r="PBX78" s="209"/>
      <c r="PBY78" s="209"/>
      <c r="PBZ78" s="209"/>
      <c r="PCA78" s="209"/>
      <c r="PCB78" s="209"/>
      <c r="PCC78" s="209"/>
      <c r="PCD78" s="209"/>
      <c r="PCE78" s="209"/>
      <c r="PCF78" s="209"/>
      <c r="PCG78" s="209"/>
      <c r="PCH78" s="209"/>
      <c r="PCI78" s="209"/>
      <c r="PCJ78" s="209"/>
      <c r="PCK78" s="209"/>
      <c r="PCL78" s="209"/>
      <c r="PCM78" s="209"/>
      <c r="PCN78" s="209"/>
      <c r="PCO78" s="209"/>
      <c r="PCP78" s="209"/>
      <c r="PCQ78" s="209"/>
      <c r="PCR78" s="209"/>
      <c r="PCS78" s="209"/>
      <c r="PCT78" s="209"/>
      <c r="PCU78" s="209"/>
      <c r="PCV78" s="209"/>
      <c r="PCW78" s="209"/>
      <c r="PCX78" s="209"/>
      <c r="PCY78" s="209"/>
      <c r="PCZ78" s="209"/>
      <c r="PDA78" s="209"/>
      <c r="PDB78" s="209"/>
      <c r="PDC78" s="209"/>
      <c r="PDD78" s="209"/>
      <c r="PDE78" s="209"/>
      <c r="PDF78" s="209"/>
      <c r="PDG78" s="209"/>
      <c r="PDH78" s="209"/>
      <c r="PDI78" s="209"/>
      <c r="PDJ78" s="209"/>
      <c r="PDK78" s="209"/>
      <c r="PDL78" s="209"/>
      <c r="PDM78" s="209"/>
      <c r="PDN78" s="209"/>
      <c r="PDO78" s="209"/>
      <c r="PDP78" s="209"/>
      <c r="PDQ78" s="209"/>
      <c r="PDR78" s="209"/>
      <c r="PDS78" s="209"/>
      <c r="PDT78" s="209"/>
      <c r="PDU78" s="209"/>
      <c r="PDV78" s="209"/>
      <c r="PDW78" s="209"/>
      <c r="PDX78" s="209"/>
      <c r="PDY78" s="209"/>
      <c r="PDZ78" s="209"/>
      <c r="PEA78" s="209"/>
      <c r="PEB78" s="209"/>
      <c r="PEC78" s="209"/>
      <c r="PED78" s="209"/>
      <c r="PEE78" s="209"/>
      <c r="PEF78" s="209"/>
      <c r="PEG78" s="209"/>
      <c r="PEH78" s="209"/>
      <c r="PEI78" s="209"/>
      <c r="PEJ78" s="209"/>
      <c r="PEK78" s="209"/>
      <c r="PEL78" s="209"/>
      <c r="PEM78" s="209"/>
      <c r="PEN78" s="209"/>
      <c r="PEO78" s="209"/>
      <c r="PEP78" s="209"/>
      <c r="PEQ78" s="209"/>
      <c r="PER78" s="209"/>
      <c r="PES78" s="209"/>
      <c r="PET78" s="209"/>
      <c r="PEU78" s="209"/>
      <c r="PEV78" s="209"/>
      <c r="PEW78" s="209"/>
      <c r="PEX78" s="209"/>
      <c r="PEY78" s="209"/>
      <c r="PEZ78" s="209"/>
      <c r="PFA78" s="209"/>
      <c r="PFB78" s="209"/>
      <c r="PFC78" s="209"/>
      <c r="PFD78" s="209"/>
      <c r="PFE78" s="209"/>
      <c r="PFF78" s="209"/>
      <c r="PFG78" s="209"/>
      <c r="PFH78" s="209"/>
      <c r="PFI78" s="209"/>
      <c r="PFJ78" s="209"/>
      <c r="PFK78" s="209"/>
      <c r="PFL78" s="209"/>
      <c r="PFM78" s="209"/>
      <c r="PFN78" s="209"/>
      <c r="PFO78" s="209"/>
      <c r="PFP78" s="209"/>
      <c r="PFQ78" s="209"/>
      <c r="PFR78" s="209"/>
      <c r="PFS78" s="209"/>
      <c r="PFT78" s="209"/>
      <c r="PFU78" s="209"/>
      <c r="PFV78" s="209"/>
      <c r="PFW78" s="209"/>
      <c r="PFX78" s="209"/>
      <c r="PFY78" s="209"/>
      <c r="PFZ78" s="209"/>
      <c r="PGA78" s="209"/>
      <c r="PGB78" s="209"/>
      <c r="PGC78" s="209"/>
      <c r="PGD78" s="209"/>
      <c r="PGE78" s="209"/>
      <c r="PGF78" s="209"/>
      <c r="PGG78" s="209"/>
      <c r="PGH78" s="209"/>
      <c r="PGI78" s="209"/>
      <c r="PGJ78" s="209"/>
      <c r="PGK78" s="209"/>
      <c r="PGL78" s="209"/>
      <c r="PGM78" s="209"/>
      <c r="PGN78" s="209"/>
      <c r="PGO78" s="209"/>
      <c r="PGP78" s="209"/>
      <c r="PGQ78" s="209"/>
      <c r="PGR78" s="209"/>
      <c r="PGS78" s="209"/>
      <c r="PGT78" s="209"/>
      <c r="PGU78" s="209"/>
      <c r="PGV78" s="209"/>
      <c r="PGW78" s="209"/>
      <c r="PGX78" s="209"/>
      <c r="PGY78" s="209"/>
      <c r="PGZ78" s="209"/>
      <c r="PHA78" s="209"/>
      <c r="PHB78" s="209"/>
      <c r="PHC78" s="209"/>
      <c r="PHD78" s="209"/>
      <c r="PHE78" s="209"/>
      <c r="PHF78" s="209"/>
      <c r="PHG78" s="209"/>
      <c r="PHH78" s="209"/>
      <c r="PHI78" s="209"/>
      <c r="PHJ78" s="209"/>
      <c r="PHK78" s="209"/>
      <c r="PHL78" s="209"/>
      <c r="PHM78" s="209"/>
      <c r="PHN78" s="209"/>
      <c r="PHO78" s="209"/>
      <c r="PHP78" s="209"/>
      <c r="PHQ78" s="209"/>
      <c r="PHR78" s="209"/>
      <c r="PHS78" s="209"/>
      <c r="PHT78" s="209"/>
      <c r="PHU78" s="209"/>
      <c r="PHV78" s="209"/>
      <c r="PHW78" s="209"/>
      <c r="PHX78" s="209"/>
      <c r="PHY78" s="209"/>
      <c r="PHZ78" s="209"/>
      <c r="PIA78" s="209"/>
      <c r="PIB78" s="209"/>
      <c r="PIC78" s="209"/>
      <c r="PID78" s="209"/>
      <c r="PIE78" s="209"/>
      <c r="PIF78" s="209"/>
      <c r="PIG78" s="209"/>
      <c r="PIH78" s="209"/>
      <c r="PII78" s="209"/>
      <c r="PIJ78" s="209"/>
      <c r="PIK78" s="209"/>
      <c r="PIL78" s="209"/>
      <c r="PIM78" s="209"/>
      <c r="PIN78" s="209"/>
      <c r="PIO78" s="209"/>
      <c r="PIP78" s="209"/>
      <c r="PIQ78" s="209"/>
      <c r="PIR78" s="209"/>
      <c r="PIS78" s="209"/>
      <c r="PIT78" s="209"/>
      <c r="PIU78" s="209"/>
      <c r="PIV78" s="209"/>
      <c r="PIW78" s="209"/>
      <c r="PIX78" s="209"/>
      <c r="PIY78" s="209"/>
      <c r="PIZ78" s="209"/>
      <c r="PJA78" s="209"/>
      <c r="PJB78" s="209"/>
      <c r="PJC78" s="209"/>
      <c r="PJD78" s="209"/>
      <c r="PJE78" s="209"/>
      <c r="PJF78" s="209"/>
      <c r="PJG78" s="209"/>
      <c r="PJH78" s="209"/>
      <c r="PJI78" s="209"/>
      <c r="PJJ78" s="209"/>
      <c r="PJK78" s="209"/>
      <c r="PJL78" s="209"/>
      <c r="PJM78" s="209"/>
      <c r="PJN78" s="209"/>
      <c r="PJO78" s="209"/>
      <c r="PJP78" s="209"/>
      <c r="PJQ78" s="209"/>
      <c r="PJR78" s="209"/>
      <c r="PJS78" s="209"/>
      <c r="PJT78" s="209"/>
      <c r="PJU78" s="209"/>
      <c r="PJV78" s="209"/>
      <c r="PJW78" s="209"/>
      <c r="PJX78" s="209"/>
      <c r="PJY78" s="209"/>
      <c r="PJZ78" s="209"/>
      <c r="PKA78" s="209"/>
      <c r="PKB78" s="209"/>
      <c r="PKC78" s="209"/>
      <c r="PKD78" s="209"/>
      <c r="PKE78" s="209"/>
      <c r="PKF78" s="209"/>
      <c r="PKG78" s="209"/>
      <c r="PKH78" s="209"/>
      <c r="PKI78" s="209"/>
      <c r="PKJ78" s="209"/>
      <c r="PKK78" s="209"/>
      <c r="PKL78" s="209"/>
      <c r="PKM78" s="209"/>
      <c r="PKN78" s="209"/>
      <c r="PKO78" s="209"/>
      <c r="PKP78" s="209"/>
      <c r="PKQ78" s="209"/>
      <c r="PKR78" s="209"/>
      <c r="PKS78" s="209"/>
      <c r="PKT78" s="209"/>
      <c r="PKU78" s="209"/>
      <c r="PKV78" s="209"/>
      <c r="PKW78" s="209"/>
      <c r="PKX78" s="209"/>
      <c r="PKY78" s="209"/>
      <c r="PKZ78" s="209"/>
      <c r="PLA78" s="209"/>
      <c r="PLB78" s="209"/>
      <c r="PLC78" s="209"/>
      <c r="PLD78" s="209"/>
      <c r="PLE78" s="209"/>
      <c r="PLF78" s="209"/>
      <c r="PLG78" s="209"/>
      <c r="PLH78" s="209"/>
      <c r="PLI78" s="209"/>
      <c r="PLJ78" s="209"/>
      <c r="PLK78" s="209"/>
      <c r="PLL78" s="209"/>
      <c r="PLM78" s="209"/>
      <c r="PLN78" s="209"/>
      <c r="PLO78" s="209"/>
      <c r="PLP78" s="209"/>
      <c r="PLQ78" s="209"/>
      <c r="PLR78" s="209"/>
      <c r="PLS78" s="209"/>
      <c r="PLT78" s="209"/>
      <c r="PLU78" s="209"/>
      <c r="PLV78" s="209"/>
      <c r="PLW78" s="209"/>
      <c r="PLX78" s="209"/>
      <c r="PLY78" s="209"/>
      <c r="PLZ78" s="209"/>
      <c r="PMA78" s="209"/>
      <c r="PMB78" s="209"/>
      <c r="PMC78" s="209"/>
      <c r="PMD78" s="209"/>
      <c r="PME78" s="209"/>
      <c r="PMF78" s="209"/>
      <c r="PMG78" s="209"/>
      <c r="PMH78" s="209"/>
      <c r="PMI78" s="209"/>
      <c r="PMJ78" s="209"/>
      <c r="PMK78" s="209"/>
      <c r="PML78" s="209"/>
      <c r="PMM78" s="209"/>
      <c r="PMN78" s="209"/>
      <c r="PMO78" s="209"/>
      <c r="PMP78" s="209"/>
      <c r="PMQ78" s="209"/>
      <c r="PMR78" s="209"/>
      <c r="PMS78" s="209"/>
      <c r="PMT78" s="209"/>
      <c r="PMU78" s="209"/>
      <c r="PMV78" s="209"/>
      <c r="PMW78" s="209"/>
      <c r="PMX78" s="209"/>
      <c r="PMY78" s="209"/>
      <c r="PMZ78" s="209"/>
      <c r="PNA78" s="209"/>
      <c r="PNB78" s="209"/>
      <c r="PNC78" s="209"/>
      <c r="PND78" s="209"/>
      <c r="PNE78" s="209"/>
      <c r="PNF78" s="209"/>
      <c r="PNG78" s="209"/>
      <c r="PNH78" s="209"/>
      <c r="PNI78" s="209"/>
      <c r="PNJ78" s="209"/>
      <c r="PNK78" s="209"/>
      <c r="PNL78" s="209"/>
      <c r="PNM78" s="209"/>
      <c r="PNN78" s="209"/>
      <c r="PNO78" s="209"/>
      <c r="PNP78" s="209"/>
      <c r="PNQ78" s="209"/>
      <c r="PNR78" s="209"/>
      <c r="PNS78" s="209"/>
      <c r="PNT78" s="209"/>
      <c r="PNU78" s="209"/>
      <c r="PNV78" s="209"/>
      <c r="PNW78" s="209"/>
      <c r="PNX78" s="209"/>
      <c r="PNY78" s="209"/>
      <c r="PNZ78" s="209"/>
      <c r="POA78" s="209"/>
      <c r="POB78" s="209"/>
      <c r="POC78" s="209"/>
      <c r="POD78" s="209"/>
      <c r="POE78" s="209"/>
      <c r="POF78" s="209"/>
      <c r="POG78" s="209"/>
      <c r="POH78" s="209"/>
      <c r="POI78" s="209"/>
      <c r="POJ78" s="209"/>
      <c r="POK78" s="209"/>
      <c r="POL78" s="209"/>
      <c r="POM78" s="209"/>
      <c r="PON78" s="209"/>
      <c r="POO78" s="209"/>
      <c r="POP78" s="209"/>
      <c r="POQ78" s="209"/>
      <c r="POR78" s="209"/>
      <c r="POS78" s="209"/>
      <c r="POT78" s="209"/>
      <c r="POU78" s="209"/>
      <c r="POV78" s="209"/>
      <c r="POW78" s="209"/>
      <c r="POX78" s="209"/>
      <c r="POY78" s="209"/>
      <c r="POZ78" s="209"/>
      <c r="PPA78" s="209"/>
      <c r="PPB78" s="209"/>
      <c r="PPC78" s="209"/>
      <c r="PPD78" s="209"/>
      <c r="PPE78" s="209"/>
      <c r="PPF78" s="209"/>
      <c r="PPG78" s="209"/>
      <c r="PPH78" s="209"/>
      <c r="PPI78" s="209"/>
      <c r="PPJ78" s="209"/>
      <c r="PPK78" s="209"/>
      <c r="PPL78" s="209"/>
      <c r="PPM78" s="209"/>
      <c r="PPN78" s="209"/>
      <c r="PPO78" s="209"/>
      <c r="PPP78" s="209"/>
      <c r="PPQ78" s="209"/>
      <c r="PPR78" s="209"/>
      <c r="PPS78" s="209"/>
      <c r="PPT78" s="209"/>
      <c r="PPU78" s="209"/>
      <c r="PPV78" s="209"/>
      <c r="PPW78" s="209"/>
      <c r="PPX78" s="209"/>
      <c r="PPY78" s="209"/>
      <c r="PPZ78" s="209"/>
      <c r="PQA78" s="209"/>
      <c r="PQB78" s="209"/>
      <c r="PQC78" s="209"/>
      <c r="PQD78" s="209"/>
      <c r="PQE78" s="209"/>
      <c r="PQF78" s="209"/>
      <c r="PQG78" s="209"/>
      <c r="PQH78" s="209"/>
      <c r="PQI78" s="209"/>
      <c r="PQJ78" s="209"/>
      <c r="PQK78" s="209"/>
      <c r="PQL78" s="209"/>
      <c r="PQM78" s="209"/>
      <c r="PQN78" s="209"/>
      <c r="PQO78" s="209"/>
      <c r="PQP78" s="209"/>
      <c r="PQQ78" s="209"/>
      <c r="PQR78" s="209"/>
      <c r="PQS78" s="209"/>
      <c r="PQT78" s="209"/>
      <c r="PQU78" s="209"/>
      <c r="PQV78" s="209"/>
      <c r="PQW78" s="209"/>
      <c r="PQX78" s="209"/>
      <c r="PQY78" s="209"/>
      <c r="PQZ78" s="209"/>
      <c r="PRA78" s="209"/>
      <c r="PRB78" s="209"/>
      <c r="PRC78" s="209"/>
      <c r="PRD78" s="209"/>
      <c r="PRE78" s="209"/>
      <c r="PRF78" s="209"/>
      <c r="PRG78" s="209"/>
      <c r="PRH78" s="209"/>
      <c r="PRI78" s="209"/>
      <c r="PRJ78" s="209"/>
      <c r="PRK78" s="209"/>
      <c r="PRL78" s="209"/>
      <c r="PRM78" s="209"/>
      <c r="PRN78" s="209"/>
      <c r="PRO78" s="209"/>
      <c r="PRP78" s="209"/>
      <c r="PRQ78" s="209"/>
      <c r="PRR78" s="209"/>
      <c r="PRS78" s="209"/>
      <c r="PRT78" s="209"/>
      <c r="PRU78" s="209"/>
      <c r="PRV78" s="209"/>
      <c r="PRW78" s="209"/>
      <c r="PRX78" s="209"/>
      <c r="PRY78" s="209"/>
      <c r="PRZ78" s="209"/>
      <c r="PSA78" s="209"/>
      <c r="PSB78" s="209"/>
      <c r="PSC78" s="209"/>
      <c r="PSD78" s="209"/>
      <c r="PSE78" s="209"/>
      <c r="PSF78" s="209"/>
      <c r="PSG78" s="209"/>
      <c r="PSH78" s="209"/>
      <c r="PSI78" s="209"/>
      <c r="PSJ78" s="209"/>
      <c r="PSK78" s="209"/>
      <c r="PSL78" s="209"/>
      <c r="PSM78" s="209"/>
      <c r="PSN78" s="209"/>
      <c r="PSO78" s="209"/>
      <c r="PSP78" s="209"/>
      <c r="PSQ78" s="209"/>
      <c r="PSR78" s="209"/>
      <c r="PSS78" s="209"/>
      <c r="PST78" s="209"/>
      <c r="PSU78" s="209"/>
      <c r="PSV78" s="209"/>
      <c r="PSW78" s="209"/>
      <c r="PSX78" s="209"/>
      <c r="PSY78" s="209"/>
      <c r="PSZ78" s="209"/>
      <c r="PTA78" s="209"/>
      <c r="PTB78" s="209"/>
      <c r="PTC78" s="209"/>
      <c r="PTD78" s="209"/>
      <c r="PTE78" s="209"/>
      <c r="PTF78" s="209"/>
      <c r="PTG78" s="209"/>
      <c r="PTH78" s="209"/>
      <c r="PTI78" s="209"/>
      <c r="PTJ78" s="209"/>
      <c r="PTK78" s="209"/>
      <c r="PTL78" s="209"/>
      <c r="PTM78" s="209"/>
      <c r="PTN78" s="209"/>
      <c r="PTO78" s="209"/>
      <c r="PTP78" s="209"/>
      <c r="PTQ78" s="209"/>
      <c r="PTR78" s="209"/>
      <c r="PTS78" s="209"/>
      <c r="PTT78" s="209"/>
      <c r="PTU78" s="209"/>
      <c r="PTV78" s="209"/>
      <c r="PTW78" s="209"/>
      <c r="PTX78" s="209"/>
      <c r="PTY78" s="209"/>
      <c r="PTZ78" s="209"/>
      <c r="PUA78" s="209"/>
      <c r="PUB78" s="209"/>
      <c r="PUC78" s="209"/>
      <c r="PUD78" s="209"/>
      <c r="PUE78" s="209"/>
      <c r="PUF78" s="209"/>
      <c r="PUG78" s="209"/>
      <c r="PUH78" s="209"/>
      <c r="PUI78" s="209"/>
      <c r="PUJ78" s="209"/>
      <c r="PUK78" s="209"/>
      <c r="PUL78" s="209"/>
      <c r="PUM78" s="209"/>
      <c r="PUN78" s="209"/>
      <c r="PUO78" s="209"/>
      <c r="PUP78" s="209"/>
      <c r="PUQ78" s="209"/>
      <c r="PUR78" s="209"/>
      <c r="PUS78" s="209"/>
      <c r="PUT78" s="209"/>
      <c r="PUU78" s="209"/>
      <c r="PUV78" s="209"/>
      <c r="PUW78" s="209"/>
      <c r="PUX78" s="209"/>
      <c r="PUY78" s="209"/>
      <c r="PUZ78" s="209"/>
      <c r="PVA78" s="209"/>
      <c r="PVB78" s="209"/>
      <c r="PVC78" s="209"/>
      <c r="PVD78" s="209"/>
      <c r="PVE78" s="209"/>
      <c r="PVF78" s="209"/>
      <c r="PVG78" s="209"/>
      <c r="PVH78" s="209"/>
      <c r="PVI78" s="209"/>
      <c r="PVJ78" s="209"/>
      <c r="PVK78" s="209"/>
      <c r="PVL78" s="209"/>
      <c r="PVM78" s="209"/>
      <c r="PVN78" s="209"/>
      <c r="PVO78" s="209"/>
      <c r="PVP78" s="209"/>
      <c r="PVQ78" s="209"/>
      <c r="PVR78" s="209"/>
      <c r="PVS78" s="209"/>
      <c r="PVT78" s="209"/>
      <c r="PVU78" s="209"/>
      <c r="PVV78" s="209"/>
      <c r="PVW78" s="209"/>
      <c r="PVX78" s="209"/>
      <c r="PVY78" s="209"/>
      <c r="PVZ78" s="209"/>
      <c r="PWA78" s="209"/>
      <c r="PWB78" s="209"/>
      <c r="PWC78" s="209"/>
      <c r="PWD78" s="209"/>
      <c r="PWE78" s="209"/>
      <c r="PWF78" s="209"/>
      <c r="PWG78" s="209"/>
      <c r="PWH78" s="209"/>
      <c r="PWI78" s="209"/>
      <c r="PWJ78" s="209"/>
      <c r="PWK78" s="209"/>
      <c r="PWL78" s="209"/>
      <c r="PWM78" s="209"/>
      <c r="PWN78" s="209"/>
      <c r="PWO78" s="209"/>
      <c r="PWP78" s="209"/>
      <c r="PWQ78" s="209"/>
      <c r="PWR78" s="209"/>
      <c r="PWS78" s="209"/>
      <c r="PWT78" s="209"/>
      <c r="PWU78" s="209"/>
      <c r="PWV78" s="209"/>
      <c r="PWW78" s="209"/>
      <c r="PWX78" s="209"/>
      <c r="PWY78" s="209"/>
      <c r="PWZ78" s="209"/>
      <c r="PXA78" s="209"/>
      <c r="PXB78" s="209"/>
      <c r="PXC78" s="209"/>
      <c r="PXD78" s="209"/>
      <c r="PXE78" s="209"/>
      <c r="PXF78" s="209"/>
      <c r="PXG78" s="209"/>
      <c r="PXH78" s="209"/>
      <c r="PXI78" s="209"/>
      <c r="PXJ78" s="209"/>
      <c r="PXK78" s="209"/>
      <c r="PXL78" s="209"/>
      <c r="PXM78" s="209"/>
      <c r="PXN78" s="209"/>
      <c r="PXO78" s="209"/>
      <c r="PXP78" s="209"/>
      <c r="PXQ78" s="209"/>
      <c r="PXR78" s="209"/>
      <c r="PXS78" s="209"/>
      <c r="PXT78" s="209"/>
      <c r="PXU78" s="209"/>
      <c r="PXV78" s="209"/>
      <c r="PXW78" s="209"/>
      <c r="PXX78" s="209"/>
      <c r="PXY78" s="209"/>
      <c r="PXZ78" s="209"/>
      <c r="PYA78" s="209"/>
      <c r="PYB78" s="209"/>
      <c r="PYC78" s="209"/>
      <c r="PYD78" s="209"/>
      <c r="PYE78" s="209"/>
      <c r="PYF78" s="209"/>
      <c r="PYG78" s="209"/>
      <c r="PYH78" s="209"/>
      <c r="PYI78" s="209"/>
      <c r="PYJ78" s="209"/>
      <c r="PYK78" s="209"/>
      <c r="PYL78" s="209"/>
      <c r="PYM78" s="209"/>
      <c r="PYN78" s="209"/>
      <c r="PYO78" s="209"/>
      <c r="PYP78" s="209"/>
      <c r="PYQ78" s="209"/>
      <c r="PYR78" s="209"/>
      <c r="PYS78" s="209"/>
      <c r="PYT78" s="209"/>
      <c r="PYU78" s="209"/>
      <c r="PYV78" s="209"/>
      <c r="PYW78" s="209"/>
      <c r="PYX78" s="209"/>
      <c r="PYY78" s="209"/>
      <c r="PYZ78" s="209"/>
      <c r="PZA78" s="209"/>
      <c r="PZB78" s="209"/>
      <c r="PZC78" s="209"/>
      <c r="PZD78" s="209"/>
      <c r="PZE78" s="209"/>
      <c r="PZF78" s="209"/>
      <c r="PZG78" s="209"/>
      <c r="PZH78" s="209"/>
      <c r="PZI78" s="209"/>
      <c r="PZJ78" s="209"/>
      <c r="PZK78" s="209"/>
      <c r="PZL78" s="209"/>
      <c r="PZM78" s="209"/>
      <c r="PZN78" s="209"/>
      <c r="PZO78" s="209"/>
      <c r="PZP78" s="209"/>
      <c r="PZQ78" s="209"/>
      <c r="PZR78" s="209"/>
      <c r="PZS78" s="209"/>
      <c r="PZT78" s="209"/>
      <c r="PZU78" s="209"/>
      <c r="PZV78" s="209"/>
      <c r="PZW78" s="209"/>
      <c r="PZX78" s="209"/>
      <c r="PZY78" s="209"/>
      <c r="PZZ78" s="209"/>
      <c r="QAA78" s="209"/>
      <c r="QAB78" s="209"/>
      <c r="QAC78" s="209"/>
      <c r="QAD78" s="209"/>
      <c r="QAE78" s="209"/>
      <c r="QAF78" s="209"/>
      <c r="QAG78" s="209"/>
      <c r="QAH78" s="209"/>
      <c r="QAI78" s="209"/>
      <c r="QAJ78" s="209"/>
      <c r="QAK78" s="209"/>
      <c r="QAL78" s="209"/>
      <c r="QAM78" s="209"/>
      <c r="QAN78" s="209"/>
      <c r="QAO78" s="209"/>
      <c r="QAP78" s="209"/>
      <c r="QAQ78" s="209"/>
      <c r="QAR78" s="209"/>
      <c r="QAS78" s="209"/>
      <c r="QAT78" s="209"/>
      <c r="QAU78" s="209"/>
      <c r="QAV78" s="209"/>
      <c r="QAW78" s="209"/>
      <c r="QAX78" s="209"/>
      <c r="QAY78" s="209"/>
      <c r="QAZ78" s="209"/>
      <c r="QBA78" s="209"/>
      <c r="QBB78" s="209"/>
      <c r="QBC78" s="209"/>
      <c r="QBD78" s="209"/>
      <c r="QBE78" s="209"/>
      <c r="QBF78" s="209"/>
      <c r="QBG78" s="209"/>
      <c r="QBH78" s="209"/>
      <c r="QBI78" s="209"/>
      <c r="QBJ78" s="209"/>
      <c r="QBK78" s="209"/>
      <c r="QBL78" s="209"/>
      <c r="QBM78" s="209"/>
      <c r="QBN78" s="209"/>
      <c r="QBO78" s="209"/>
      <c r="QBP78" s="209"/>
      <c r="QBQ78" s="209"/>
      <c r="QBR78" s="209"/>
      <c r="QBS78" s="209"/>
      <c r="QBT78" s="209"/>
      <c r="QBU78" s="209"/>
      <c r="QBV78" s="209"/>
      <c r="QBW78" s="209"/>
      <c r="QBX78" s="209"/>
      <c r="QBY78" s="209"/>
      <c r="QBZ78" s="209"/>
      <c r="QCA78" s="209"/>
      <c r="QCB78" s="209"/>
      <c r="QCC78" s="209"/>
      <c r="QCD78" s="209"/>
      <c r="QCE78" s="209"/>
      <c r="QCF78" s="209"/>
      <c r="QCG78" s="209"/>
      <c r="QCH78" s="209"/>
      <c r="QCI78" s="209"/>
      <c r="QCJ78" s="209"/>
      <c r="QCK78" s="209"/>
      <c r="QCL78" s="209"/>
      <c r="QCM78" s="209"/>
      <c r="QCN78" s="209"/>
      <c r="QCO78" s="209"/>
      <c r="QCP78" s="209"/>
      <c r="QCQ78" s="209"/>
      <c r="QCR78" s="209"/>
      <c r="QCS78" s="209"/>
      <c r="QCT78" s="209"/>
      <c r="QCU78" s="209"/>
      <c r="QCV78" s="209"/>
      <c r="QCW78" s="209"/>
      <c r="QCX78" s="209"/>
      <c r="QCY78" s="209"/>
      <c r="QCZ78" s="209"/>
      <c r="QDA78" s="209"/>
      <c r="QDB78" s="209"/>
      <c r="QDC78" s="209"/>
      <c r="QDD78" s="209"/>
      <c r="QDE78" s="209"/>
      <c r="QDF78" s="209"/>
      <c r="QDG78" s="209"/>
      <c r="QDH78" s="209"/>
      <c r="QDI78" s="209"/>
      <c r="QDJ78" s="209"/>
      <c r="QDK78" s="209"/>
      <c r="QDL78" s="209"/>
      <c r="QDM78" s="209"/>
      <c r="QDN78" s="209"/>
      <c r="QDO78" s="209"/>
      <c r="QDP78" s="209"/>
      <c r="QDQ78" s="209"/>
      <c r="QDR78" s="209"/>
      <c r="QDS78" s="209"/>
      <c r="QDT78" s="209"/>
      <c r="QDU78" s="209"/>
      <c r="QDV78" s="209"/>
      <c r="QDW78" s="209"/>
      <c r="QDX78" s="209"/>
      <c r="QDY78" s="209"/>
      <c r="QDZ78" s="209"/>
      <c r="QEA78" s="209"/>
      <c r="QEB78" s="209"/>
      <c r="QEC78" s="209"/>
      <c r="QED78" s="209"/>
      <c r="QEE78" s="209"/>
      <c r="QEF78" s="209"/>
      <c r="QEG78" s="209"/>
      <c r="QEH78" s="209"/>
      <c r="QEI78" s="209"/>
      <c r="QEJ78" s="209"/>
      <c r="QEK78" s="209"/>
      <c r="QEL78" s="209"/>
      <c r="QEM78" s="209"/>
      <c r="QEN78" s="209"/>
      <c r="QEO78" s="209"/>
      <c r="QEP78" s="209"/>
      <c r="QEQ78" s="209"/>
      <c r="QER78" s="209"/>
      <c r="QES78" s="209"/>
      <c r="QET78" s="209"/>
      <c r="QEU78" s="209"/>
      <c r="QEV78" s="209"/>
      <c r="QEW78" s="209"/>
      <c r="QEX78" s="209"/>
      <c r="QEY78" s="209"/>
      <c r="QEZ78" s="209"/>
      <c r="QFA78" s="209"/>
      <c r="QFB78" s="209"/>
      <c r="QFC78" s="209"/>
      <c r="QFD78" s="209"/>
      <c r="QFE78" s="209"/>
      <c r="QFF78" s="209"/>
      <c r="QFG78" s="209"/>
      <c r="QFH78" s="209"/>
      <c r="QFI78" s="209"/>
      <c r="QFJ78" s="209"/>
      <c r="QFK78" s="209"/>
      <c r="QFL78" s="209"/>
      <c r="QFM78" s="209"/>
      <c r="QFN78" s="209"/>
      <c r="QFO78" s="209"/>
      <c r="QFP78" s="209"/>
      <c r="QFQ78" s="209"/>
      <c r="QFR78" s="209"/>
      <c r="QFS78" s="209"/>
      <c r="QFT78" s="209"/>
      <c r="QFU78" s="209"/>
      <c r="QFV78" s="209"/>
      <c r="QFW78" s="209"/>
      <c r="QFX78" s="209"/>
      <c r="QFY78" s="209"/>
      <c r="QFZ78" s="209"/>
      <c r="QGA78" s="209"/>
      <c r="QGB78" s="209"/>
      <c r="QGC78" s="209"/>
      <c r="QGD78" s="209"/>
      <c r="QGE78" s="209"/>
      <c r="QGF78" s="209"/>
      <c r="QGG78" s="209"/>
      <c r="QGH78" s="209"/>
      <c r="QGI78" s="209"/>
      <c r="QGJ78" s="209"/>
      <c r="QGK78" s="209"/>
      <c r="QGL78" s="209"/>
      <c r="QGM78" s="209"/>
      <c r="QGN78" s="209"/>
      <c r="QGO78" s="209"/>
      <c r="QGP78" s="209"/>
      <c r="QGQ78" s="209"/>
      <c r="QGR78" s="209"/>
      <c r="QGS78" s="209"/>
      <c r="QGT78" s="209"/>
      <c r="QGU78" s="209"/>
      <c r="QGV78" s="209"/>
      <c r="QGW78" s="209"/>
      <c r="QGX78" s="209"/>
      <c r="QGY78" s="209"/>
      <c r="QGZ78" s="209"/>
      <c r="QHA78" s="209"/>
      <c r="QHB78" s="209"/>
      <c r="QHC78" s="209"/>
      <c r="QHD78" s="209"/>
      <c r="QHE78" s="209"/>
      <c r="QHF78" s="209"/>
      <c r="QHG78" s="209"/>
      <c r="QHH78" s="209"/>
      <c r="QHI78" s="209"/>
      <c r="QHJ78" s="209"/>
      <c r="QHK78" s="209"/>
      <c r="QHL78" s="209"/>
      <c r="QHM78" s="209"/>
      <c r="QHN78" s="209"/>
      <c r="QHO78" s="209"/>
      <c r="QHP78" s="209"/>
      <c r="QHQ78" s="209"/>
      <c r="QHR78" s="209"/>
      <c r="QHS78" s="209"/>
      <c r="QHT78" s="209"/>
      <c r="QHU78" s="209"/>
      <c r="QHV78" s="209"/>
      <c r="QHW78" s="209"/>
      <c r="QHX78" s="209"/>
      <c r="QHY78" s="209"/>
      <c r="QHZ78" s="209"/>
      <c r="QIA78" s="209"/>
      <c r="QIB78" s="209"/>
      <c r="QIC78" s="209"/>
      <c r="QID78" s="209"/>
      <c r="QIE78" s="209"/>
      <c r="QIF78" s="209"/>
      <c r="QIG78" s="209"/>
      <c r="QIH78" s="209"/>
      <c r="QII78" s="209"/>
      <c r="QIJ78" s="209"/>
      <c r="QIK78" s="209"/>
      <c r="QIL78" s="209"/>
      <c r="QIM78" s="209"/>
      <c r="QIN78" s="209"/>
      <c r="QIO78" s="209"/>
      <c r="QIP78" s="209"/>
      <c r="QIQ78" s="209"/>
      <c r="QIR78" s="209"/>
      <c r="QIS78" s="209"/>
      <c r="QIT78" s="209"/>
      <c r="QIU78" s="209"/>
      <c r="QIV78" s="209"/>
      <c r="QIW78" s="209"/>
      <c r="QIX78" s="209"/>
      <c r="QIY78" s="209"/>
      <c r="QIZ78" s="209"/>
      <c r="QJA78" s="209"/>
      <c r="QJB78" s="209"/>
      <c r="QJC78" s="209"/>
      <c r="QJD78" s="209"/>
      <c r="QJE78" s="209"/>
      <c r="QJF78" s="209"/>
      <c r="QJG78" s="209"/>
      <c r="QJH78" s="209"/>
      <c r="QJI78" s="209"/>
      <c r="QJJ78" s="209"/>
      <c r="QJK78" s="209"/>
      <c r="QJL78" s="209"/>
      <c r="QJM78" s="209"/>
      <c r="QJN78" s="209"/>
      <c r="QJO78" s="209"/>
      <c r="QJP78" s="209"/>
      <c r="QJQ78" s="209"/>
      <c r="QJR78" s="209"/>
      <c r="QJS78" s="209"/>
      <c r="QJT78" s="209"/>
      <c r="QJU78" s="209"/>
      <c r="QJV78" s="209"/>
      <c r="QJW78" s="209"/>
      <c r="QJX78" s="209"/>
      <c r="QJY78" s="209"/>
      <c r="QJZ78" s="209"/>
      <c r="QKA78" s="209"/>
      <c r="QKB78" s="209"/>
      <c r="QKC78" s="209"/>
      <c r="QKD78" s="209"/>
      <c r="QKE78" s="209"/>
      <c r="QKF78" s="209"/>
      <c r="QKG78" s="209"/>
      <c r="QKH78" s="209"/>
      <c r="QKI78" s="209"/>
      <c r="QKJ78" s="209"/>
      <c r="QKK78" s="209"/>
      <c r="QKL78" s="209"/>
      <c r="QKM78" s="209"/>
      <c r="QKN78" s="209"/>
      <c r="QKO78" s="209"/>
      <c r="QKP78" s="209"/>
      <c r="QKQ78" s="209"/>
      <c r="QKR78" s="209"/>
      <c r="QKS78" s="209"/>
      <c r="QKT78" s="209"/>
      <c r="QKU78" s="209"/>
      <c r="QKV78" s="209"/>
      <c r="QKW78" s="209"/>
      <c r="QKX78" s="209"/>
      <c r="QKY78" s="209"/>
      <c r="QKZ78" s="209"/>
      <c r="QLA78" s="209"/>
      <c r="QLB78" s="209"/>
      <c r="QLC78" s="209"/>
      <c r="QLD78" s="209"/>
      <c r="QLE78" s="209"/>
      <c r="QLF78" s="209"/>
      <c r="QLG78" s="209"/>
      <c r="QLH78" s="209"/>
      <c r="QLI78" s="209"/>
      <c r="QLJ78" s="209"/>
      <c r="QLK78" s="209"/>
      <c r="QLL78" s="209"/>
      <c r="QLM78" s="209"/>
      <c r="QLN78" s="209"/>
      <c r="QLO78" s="209"/>
      <c r="QLP78" s="209"/>
      <c r="QLQ78" s="209"/>
      <c r="QLR78" s="209"/>
      <c r="QLS78" s="209"/>
      <c r="QLT78" s="209"/>
      <c r="QLU78" s="209"/>
      <c r="QLV78" s="209"/>
      <c r="QLW78" s="209"/>
      <c r="QLX78" s="209"/>
      <c r="QLY78" s="209"/>
      <c r="QLZ78" s="209"/>
      <c r="QMA78" s="209"/>
      <c r="QMB78" s="209"/>
      <c r="QMC78" s="209"/>
      <c r="QMD78" s="209"/>
      <c r="QME78" s="209"/>
      <c r="QMF78" s="209"/>
      <c r="QMG78" s="209"/>
      <c r="QMH78" s="209"/>
      <c r="QMI78" s="209"/>
      <c r="QMJ78" s="209"/>
      <c r="QMK78" s="209"/>
      <c r="QML78" s="209"/>
      <c r="QMM78" s="209"/>
      <c r="QMN78" s="209"/>
      <c r="QMO78" s="209"/>
      <c r="QMP78" s="209"/>
      <c r="QMQ78" s="209"/>
      <c r="QMR78" s="209"/>
      <c r="QMS78" s="209"/>
      <c r="QMT78" s="209"/>
      <c r="QMU78" s="209"/>
      <c r="QMV78" s="209"/>
      <c r="QMW78" s="209"/>
      <c r="QMX78" s="209"/>
      <c r="QMY78" s="209"/>
      <c r="QMZ78" s="209"/>
      <c r="QNA78" s="209"/>
      <c r="QNB78" s="209"/>
      <c r="QNC78" s="209"/>
      <c r="QND78" s="209"/>
      <c r="QNE78" s="209"/>
      <c r="QNF78" s="209"/>
      <c r="QNG78" s="209"/>
      <c r="QNH78" s="209"/>
      <c r="QNI78" s="209"/>
      <c r="QNJ78" s="209"/>
      <c r="QNK78" s="209"/>
      <c r="QNL78" s="209"/>
      <c r="QNM78" s="209"/>
      <c r="QNN78" s="209"/>
      <c r="QNO78" s="209"/>
      <c r="QNP78" s="209"/>
      <c r="QNQ78" s="209"/>
      <c r="QNR78" s="209"/>
      <c r="QNS78" s="209"/>
      <c r="QNT78" s="209"/>
      <c r="QNU78" s="209"/>
      <c r="QNV78" s="209"/>
      <c r="QNW78" s="209"/>
      <c r="QNX78" s="209"/>
      <c r="QNY78" s="209"/>
      <c r="QNZ78" s="209"/>
      <c r="QOA78" s="209"/>
      <c r="QOB78" s="209"/>
      <c r="QOC78" s="209"/>
      <c r="QOD78" s="209"/>
      <c r="QOE78" s="209"/>
      <c r="QOF78" s="209"/>
      <c r="QOG78" s="209"/>
      <c r="QOH78" s="209"/>
      <c r="QOI78" s="209"/>
      <c r="QOJ78" s="209"/>
      <c r="QOK78" s="209"/>
      <c r="QOL78" s="209"/>
      <c r="QOM78" s="209"/>
      <c r="QON78" s="209"/>
      <c r="QOO78" s="209"/>
      <c r="QOP78" s="209"/>
      <c r="QOQ78" s="209"/>
      <c r="QOR78" s="209"/>
      <c r="QOS78" s="209"/>
      <c r="QOT78" s="209"/>
      <c r="QOU78" s="209"/>
      <c r="QOV78" s="209"/>
      <c r="QOW78" s="209"/>
      <c r="QOX78" s="209"/>
      <c r="QOY78" s="209"/>
      <c r="QOZ78" s="209"/>
      <c r="QPA78" s="209"/>
      <c r="QPB78" s="209"/>
      <c r="QPC78" s="209"/>
      <c r="QPD78" s="209"/>
      <c r="QPE78" s="209"/>
      <c r="QPF78" s="209"/>
      <c r="QPG78" s="209"/>
      <c r="QPH78" s="209"/>
      <c r="QPI78" s="209"/>
      <c r="QPJ78" s="209"/>
      <c r="QPK78" s="209"/>
      <c r="QPL78" s="209"/>
      <c r="QPM78" s="209"/>
      <c r="QPN78" s="209"/>
      <c r="QPO78" s="209"/>
      <c r="QPP78" s="209"/>
      <c r="QPQ78" s="209"/>
      <c r="QPR78" s="209"/>
      <c r="QPS78" s="209"/>
      <c r="QPT78" s="209"/>
      <c r="QPU78" s="209"/>
      <c r="QPV78" s="209"/>
      <c r="QPW78" s="209"/>
      <c r="QPX78" s="209"/>
      <c r="QPY78" s="209"/>
      <c r="QPZ78" s="209"/>
      <c r="QQA78" s="209"/>
      <c r="QQB78" s="209"/>
      <c r="QQC78" s="209"/>
      <c r="QQD78" s="209"/>
      <c r="QQE78" s="209"/>
      <c r="QQF78" s="209"/>
      <c r="QQG78" s="209"/>
      <c r="QQH78" s="209"/>
      <c r="QQI78" s="209"/>
      <c r="QQJ78" s="209"/>
      <c r="QQK78" s="209"/>
      <c r="QQL78" s="209"/>
      <c r="QQM78" s="209"/>
      <c r="QQN78" s="209"/>
      <c r="QQO78" s="209"/>
      <c r="QQP78" s="209"/>
      <c r="QQQ78" s="209"/>
      <c r="QQR78" s="209"/>
      <c r="QQS78" s="209"/>
      <c r="QQT78" s="209"/>
      <c r="QQU78" s="209"/>
      <c r="QQV78" s="209"/>
      <c r="QQW78" s="209"/>
      <c r="QQX78" s="209"/>
      <c r="QQY78" s="209"/>
      <c r="QQZ78" s="209"/>
      <c r="QRA78" s="209"/>
      <c r="QRB78" s="209"/>
      <c r="QRC78" s="209"/>
      <c r="QRD78" s="209"/>
      <c r="QRE78" s="209"/>
      <c r="QRF78" s="209"/>
      <c r="QRG78" s="209"/>
      <c r="QRH78" s="209"/>
      <c r="QRI78" s="209"/>
      <c r="QRJ78" s="209"/>
      <c r="QRK78" s="209"/>
      <c r="QRL78" s="209"/>
      <c r="QRM78" s="209"/>
      <c r="QRN78" s="209"/>
      <c r="QRO78" s="209"/>
      <c r="QRP78" s="209"/>
      <c r="QRQ78" s="209"/>
      <c r="QRR78" s="209"/>
      <c r="QRS78" s="209"/>
      <c r="QRT78" s="209"/>
      <c r="QRU78" s="209"/>
      <c r="QRV78" s="209"/>
      <c r="QRW78" s="209"/>
      <c r="QRX78" s="209"/>
      <c r="QRY78" s="209"/>
      <c r="QRZ78" s="209"/>
      <c r="QSA78" s="209"/>
      <c r="QSB78" s="209"/>
      <c r="QSC78" s="209"/>
      <c r="QSD78" s="209"/>
      <c r="QSE78" s="209"/>
      <c r="QSF78" s="209"/>
      <c r="QSG78" s="209"/>
      <c r="QSH78" s="209"/>
      <c r="QSI78" s="209"/>
      <c r="QSJ78" s="209"/>
      <c r="QSK78" s="209"/>
      <c r="QSL78" s="209"/>
      <c r="QSM78" s="209"/>
      <c r="QSN78" s="209"/>
      <c r="QSO78" s="209"/>
      <c r="QSP78" s="209"/>
      <c r="QSQ78" s="209"/>
      <c r="QSR78" s="209"/>
      <c r="QSS78" s="209"/>
      <c r="QST78" s="209"/>
      <c r="QSU78" s="209"/>
      <c r="QSV78" s="209"/>
      <c r="QSW78" s="209"/>
      <c r="QSX78" s="209"/>
      <c r="QSY78" s="209"/>
      <c r="QSZ78" s="209"/>
      <c r="QTA78" s="209"/>
      <c r="QTB78" s="209"/>
      <c r="QTC78" s="209"/>
      <c r="QTD78" s="209"/>
      <c r="QTE78" s="209"/>
      <c r="QTF78" s="209"/>
      <c r="QTG78" s="209"/>
      <c r="QTH78" s="209"/>
      <c r="QTI78" s="209"/>
      <c r="QTJ78" s="209"/>
      <c r="QTK78" s="209"/>
      <c r="QTL78" s="209"/>
      <c r="QTM78" s="209"/>
      <c r="QTN78" s="209"/>
      <c r="QTO78" s="209"/>
      <c r="QTP78" s="209"/>
      <c r="QTQ78" s="209"/>
      <c r="QTR78" s="209"/>
      <c r="QTS78" s="209"/>
      <c r="QTT78" s="209"/>
      <c r="QTU78" s="209"/>
      <c r="QTV78" s="209"/>
      <c r="QTW78" s="209"/>
      <c r="QTX78" s="209"/>
      <c r="QTY78" s="209"/>
      <c r="QTZ78" s="209"/>
      <c r="QUA78" s="209"/>
      <c r="QUB78" s="209"/>
      <c r="QUC78" s="209"/>
      <c r="QUD78" s="209"/>
      <c r="QUE78" s="209"/>
      <c r="QUF78" s="209"/>
      <c r="QUG78" s="209"/>
      <c r="QUH78" s="209"/>
      <c r="QUI78" s="209"/>
      <c r="QUJ78" s="209"/>
      <c r="QUK78" s="209"/>
      <c r="QUL78" s="209"/>
      <c r="QUM78" s="209"/>
      <c r="QUN78" s="209"/>
      <c r="QUO78" s="209"/>
      <c r="QUP78" s="209"/>
      <c r="QUQ78" s="209"/>
      <c r="QUR78" s="209"/>
      <c r="QUS78" s="209"/>
      <c r="QUT78" s="209"/>
      <c r="QUU78" s="209"/>
      <c r="QUV78" s="209"/>
      <c r="QUW78" s="209"/>
      <c r="QUX78" s="209"/>
      <c r="QUY78" s="209"/>
      <c r="QUZ78" s="209"/>
      <c r="QVA78" s="209"/>
      <c r="QVB78" s="209"/>
      <c r="QVC78" s="209"/>
      <c r="QVD78" s="209"/>
      <c r="QVE78" s="209"/>
      <c r="QVF78" s="209"/>
      <c r="QVG78" s="209"/>
      <c r="QVH78" s="209"/>
      <c r="QVI78" s="209"/>
      <c r="QVJ78" s="209"/>
      <c r="QVK78" s="209"/>
      <c r="QVL78" s="209"/>
      <c r="QVM78" s="209"/>
      <c r="QVN78" s="209"/>
      <c r="QVO78" s="209"/>
      <c r="QVP78" s="209"/>
      <c r="QVQ78" s="209"/>
      <c r="QVR78" s="209"/>
      <c r="QVS78" s="209"/>
      <c r="QVT78" s="209"/>
      <c r="QVU78" s="209"/>
      <c r="QVV78" s="209"/>
      <c r="QVW78" s="209"/>
      <c r="QVX78" s="209"/>
      <c r="QVY78" s="209"/>
      <c r="QVZ78" s="209"/>
      <c r="QWA78" s="209"/>
      <c r="QWB78" s="209"/>
      <c r="QWC78" s="209"/>
      <c r="QWD78" s="209"/>
      <c r="QWE78" s="209"/>
      <c r="QWF78" s="209"/>
      <c r="QWG78" s="209"/>
      <c r="QWH78" s="209"/>
      <c r="QWI78" s="209"/>
      <c r="QWJ78" s="209"/>
      <c r="QWK78" s="209"/>
      <c r="QWL78" s="209"/>
      <c r="QWM78" s="209"/>
      <c r="QWN78" s="209"/>
      <c r="QWO78" s="209"/>
      <c r="QWP78" s="209"/>
      <c r="QWQ78" s="209"/>
      <c r="QWR78" s="209"/>
      <c r="QWS78" s="209"/>
      <c r="QWT78" s="209"/>
      <c r="QWU78" s="209"/>
      <c r="QWV78" s="209"/>
      <c r="QWW78" s="209"/>
      <c r="QWX78" s="209"/>
      <c r="QWY78" s="209"/>
      <c r="QWZ78" s="209"/>
      <c r="QXA78" s="209"/>
      <c r="QXB78" s="209"/>
      <c r="QXC78" s="209"/>
      <c r="QXD78" s="209"/>
      <c r="QXE78" s="209"/>
      <c r="QXF78" s="209"/>
      <c r="QXG78" s="209"/>
      <c r="QXH78" s="209"/>
      <c r="QXI78" s="209"/>
      <c r="QXJ78" s="209"/>
      <c r="QXK78" s="209"/>
      <c r="QXL78" s="209"/>
      <c r="QXM78" s="209"/>
      <c r="QXN78" s="209"/>
      <c r="QXO78" s="209"/>
      <c r="QXP78" s="209"/>
      <c r="QXQ78" s="209"/>
      <c r="QXR78" s="209"/>
      <c r="QXS78" s="209"/>
      <c r="QXT78" s="209"/>
      <c r="QXU78" s="209"/>
      <c r="QXV78" s="209"/>
      <c r="QXW78" s="209"/>
      <c r="QXX78" s="209"/>
      <c r="QXY78" s="209"/>
      <c r="QXZ78" s="209"/>
      <c r="QYA78" s="209"/>
      <c r="QYB78" s="209"/>
      <c r="QYC78" s="209"/>
      <c r="QYD78" s="209"/>
      <c r="QYE78" s="209"/>
      <c r="QYF78" s="209"/>
      <c r="QYG78" s="209"/>
      <c r="QYH78" s="209"/>
      <c r="QYI78" s="209"/>
      <c r="QYJ78" s="209"/>
      <c r="QYK78" s="209"/>
      <c r="QYL78" s="209"/>
      <c r="QYM78" s="209"/>
      <c r="QYN78" s="209"/>
      <c r="QYO78" s="209"/>
      <c r="QYP78" s="209"/>
      <c r="QYQ78" s="209"/>
      <c r="QYR78" s="209"/>
      <c r="QYS78" s="209"/>
      <c r="QYT78" s="209"/>
      <c r="QYU78" s="209"/>
      <c r="QYV78" s="209"/>
      <c r="QYW78" s="209"/>
      <c r="QYX78" s="209"/>
      <c r="QYY78" s="209"/>
      <c r="QYZ78" s="209"/>
      <c r="QZA78" s="209"/>
      <c r="QZB78" s="209"/>
      <c r="QZC78" s="209"/>
      <c r="QZD78" s="209"/>
      <c r="QZE78" s="209"/>
      <c r="QZF78" s="209"/>
      <c r="QZG78" s="209"/>
      <c r="QZH78" s="209"/>
      <c r="QZI78" s="209"/>
      <c r="QZJ78" s="209"/>
      <c r="QZK78" s="209"/>
      <c r="QZL78" s="209"/>
      <c r="QZM78" s="209"/>
      <c r="QZN78" s="209"/>
      <c r="QZO78" s="209"/>
      <c r="QZP78" s="209"/>
      <c r="QZQ78" s="209"/>
      <c r="QZR78" s="209"/>
      <c r="QZS78" s="209"/>
      <c r="QZT78" s="209"/>
      <c r="QZU78" s="209"/>
      <c r="QZV78" s="209"/>
      <c r="QZW78" s="209"/>
      <c r="QZX78" s="209"/>
      <c r="QZY78" s="209"/>
      <c r="QZZ78" s="209"/>
      <c r="RAA78" s="209"/>
      <c r="RAB78" s="209"/>
      <c r="RAC78" s="209"/>
      <c r="RAD78" s="209"/>
      <c r="RAE78" s="209"/>
      <c r="RAF78" s="209"/>
      <c r="RAG78" s="209"/>
      <c r="RAH78" s="209"/>
      <c r="RAI78" s="209"/>
      <c r="RAJ78" s="209"/>
      <c r="RAK78" s="209"/>
      <c r="RAL78" s="209"/>
      <c r="RAM78" s="209"/>
      <c r="RAN78" s="209"/>
      <c r="RAO78" s="209"/>
      <c r="RAP78" s="209"/>
      <c r="RAQ78" s="209"/>
      <c r="RAR78" s="209"/>
      <c r="RAS78" s="209"/>
      <c r="RAT78" s="209"/>
      <c r="RAU78" s="209"/>
      <c r="RAV78" s="209"/>
      <c r="RAW78" s="209"/>
      <c r="RAX78" s="209"/>
      <c r="RAY78" s="209"/>
      <c r="RAZ78" s="209"/>
      <c r="RBA78" s="209"/>
      <c r="RBB78" s="209"/>
      <c r="RBC78" s="209"/>
      <c r="RBD78" s="209"/>
      <c r="RBE78" s="209"/>
      <c r="RBF78" s="209"/>
      <c r="RBG78" s="209"/>
      <c r="RBH78" s="209"/>
      <c r="RBI78" s="209"/>
      <c r="RBJ78" s="209"/>
      <c r="RBK78" s="209"/>
      <c r="RBL78" s="209"/>
      <c r="RBM78" s="209"/>
      <c r="RBN78" s="209"/>
      <c r="RBO78" s="209"/>
      <c r="RBP78" s="209"/>
      <c r="RBQ78" s="209"/>
      <c r="RBR78" s="209"/>
      <c r="RBS78" s="209"/>
      <c r="RBT78" s="209"/>
      <c r="RBU78" s="209"/>
      <c r="RBV78" s="209"/>
      <c r="RBW78" s="209"/>
      <c r="RBX78" s="209"/>
      <c r="RBY78" s="209"/>
      <c r="RBZ78" s="209"/>
      <c r="RCA78" s="209"/>
      <c r="RCB78" s="209"/>
      <c r="RCC78" s="209"/>
      <c r="RCD78" s="209"/>
      <c r="RCE78" s="209"/>
      <c r="RCF78" s="209"/>
      <c r="RCG78" s="209"/>
      <c r="RCH78" s="209"/>
      <c r="RCI78" s="209"/>
      <c r="RCJ78" s="209"/>
      <c r="RCK78" s="209"/>
      <c r="RCL78" s="209"/>
      <c r="RCM78" s="209"/>
      <c r="RCN78" s="209"/>
      <c r="RCO78" s="209"/>
      <c r="RCP78" s="209"/>
      <c r="RCQ78" s="209"/>
      <c r="RCR78" s="209"/>
      <c r="RCS78" s="209"/>
      <c r="RCT78" s="209"/>
      <c r="RCU78" s="209"/>
      <c r="RCV78" s="209"/>
      <c r="RCW78" s="209"/>
      <c r="RCX78" s="209"/>
      <c r="RCY78" s="209"/>
      <c r="RCZ78" s="209"/>
      <c r="RDA78" s="209"/>
      <c r="RDB78" s="209"/>
      <c r="RDC78" s="209"/>
      <c r="RDD78" s="209"/>
      <c r="RDE78" s="209"/>
      <c r="RDF78" s="209"/>
      <c r="RDG78" s="209"/>
      <c r="RDH78" s="209"/>
      <c r="RDI78" s="209"/>
      <c r="RDJ78" s="209"/>
      <c r="RDK78" s="209"/>
      <c r="RDL78" s="209"/>
      <c r="RDM78" s="209"/>
      <c r="RDN78" s="209"/>
      <c r="RDO78" s="209"/>
      <c r="RDP78" s="209"/>
      <c r="RDQ78" s="209"/>
      <c r="RDR78" s="209"/>
      <c r="RDS78" s="209"/>
      <c r="RDT78" s="209"/>
      <c r="RDU78" s="209"/>
      <c r="RDV78" s="209"/>
      <c r="RDW78" s="209"/>
      <c r="RDX78" s="209"/>
      <c r="RDY78" s="209"/>
      <c r="RDZ78" s="209"/>
      <c r="REA78" s="209"/>
      <c r="REB78" s="209"/>
      <c r="REC78" s="209"/>
      <c r="RED78" s="209"/>
      <c r="REE78" s="209"/>
      <c r="REF78" s="209"/>
      <c r="REG78" s="209"/>
      <c r="REH78" s="209"/>
      <c r="REI78" s="209"/>
      <c r="REJ78" s="209"/>
      <c r="REK78" s="209"/>
      <c r="REL78" s="209"/>
      <c r="REM78" s="209"/>
      <c r="REN78" s="209"/>
      <c r="REO78" s="209"/>
      <c r="REP78" s="209"/>
      <c r="REQ78" s="209"/>
      <c r="RER78" s="209"/>
      <c r="RES78" s="209"/>
      <c r="RET78" s="209"/>
      <c r="REU78" s="209"/>
      <c r="REV78" s="209"/>
      <c r="REW78" s="209"/>
      <c r="REX78" s="209"/>
      <c r="REY78" s="209"/>
      <c r="REZ78" s="209"/>
      <c r="RFA78" s="209"/>
      <c r="RFB78" s="209"/>
      <c r="RFC78" s="209"/>
      <c r="RFD78" s="209"/>
      <c r="RFE78" s="209"/>
      <c r="RFF78" s="209"/>
      <c r="RFG78" s="209"/>
      <c r="RFH78" s="209"/>
      <c r="RFI78" s="209"/>
      <c r="RFJ78" s="209"/>
      <c r="RFK78" s="209"/>
      <c r="RFL78" s="209"/>
      <c r="RFM78" s="209"/>
      <c r="RFN78" s="209"/>
      <c r="RFO78" s="209"/>
      <c r="RFP78" s="209"/>
      <c r="RFQ78" s="209"/>
      <c r="RFR78" s="209"/>
      <c r="RFS78" s="209"/>
      <c r="RFT78" s="209"/>
      <c r="RFU78" s="209"/>
      <c r="RFV78" s="209"/>
      <c r="RFW78" s="209"/>
      <c r="RFX78" s="209"/>
      <c r="RFY78" s="209"/>
      <c r="RFZ78" s="209"/>
      <c r="RGA78" s="209"/>
      <c r="RGB78" s="209"/>
      <c r="RGC78" s="209"/>
      <c r="RGD78" s="209"/>
      <c r="RGE78" s="209"/>
      <c r="RGF78" s="209"/>
      <c r="RGG78" s="209"/>
      <c r="RGH78" s="209"/>
      <c r="RGI78" s="209"/>
      <c r="RGJ78" s="209"/>
      <c r="RGK78" s="209"/>
      <c r="RGL78" s="209"/>
      <c r="RGM78" s="209"/>
      <c r="RGN78" s="209"/>
      <c r="RGO78" s="209"/>
      <c r="RGP78" s="209"/>
      <c r="RGQ78" s="209"/>
      <c r="RGR78" s="209"/>
      <c r="RGS78" s="209"/>
      <c r="RGT78" s="209"/>
      <c r="RGU78" s="209"/>
      <c r="RGV78" s="209"/>
      <c r="RGW78" s="209"/>
      <c r="RGX78" s="209"/>
      <c r="RGY78" s="209"/>
      <c r="RGZ78" s="209"/>
      <c r="RHA78" s="209"/>
      <c r="RHB78" s="209"/>
      <c r="RHC78" s="209"/>
      <c r="RHD78" s="209"/>
      <c r="RHE78" s="209"/>
      <c r="RHF78" s="209"/>
      <c r="RHG78" s="209"/>
      <c r="RHH78" s="209"/>
      <c r="RHI78" s="209"/>
      <c r="RHJ78" s="209"/>
      <c r="RHK78" s="209"/>
      <c r="RHL78" s="209"/>
      <c r="RHM78" s="209"/>
      <c r="RHN78" s="209"/>
      <c r="RHO78" s="209"/>
      <c r="RHP78" s="209"/>
      <c r="RHQ78" s="209"/>
      <c r="RHR78" s="209"/>
      <c r="RHS78" s="209"/>
      <c r="RHT78" s="209"/>
      <c r="RHU78" s="209"/>
      <c r="RHV78" s="209"/>
      <c r="RHW78" s="209"/>
      <c r="RHX78" s="209"/>
      <c r="RHY78" s="209"/>
      <c r="RHZ78" s="209"/>
      <c r="RIA78" s="209"/>
      <c r="RIB78" s="209"/>
      <c r="RIC78" s="209"/>
      <c r="RID78" s="209"/>
      <c r="RIE78" s="209"/>
      <c r="RIF78" s="209"/>
      <c r="RIG78" s="209"/>
      <c r="RIH78" s="209"/>
      <c r="RII78" s="209"/>
      <c r="RIJ78" s="209"/>
      <c r="RIK78" s="209"/>
      <c r="RIL78" s="209"/>
      <c r="RIM78" s="209"/>
      <c r="RIN78" s="209"/>
      <c r="RIO78" s="209"/>
      <c r="RIP78" s="209"/>
      <c r="RIQ78" s="209"/>
      <c r="RIR78" s="209"/>
      <c r="RIS78" s="209"/>
      <c r="RIT78" s="209"/>
      <c r="RIU78" s="209"/>
      <c r="RIV78" s="209"/>
      <c r="RIW78" s="209"/>
      <c r="RIX78" s="209"/>
      <c r="RIY78" s="209"/>
      <c r="RIZ78" s="209"/>
      <c r="RJA78" s="209"/>
      <c r="RJB78" s="209"/>
      <c r="RJC78" s="209"/>
      <c r="RJD78" s="209"/>
      <c r="RJE78" s="209"/>
      <c r="RJF78" s="209"/>
      <c r="RJG78" s="209"/>
      <c r="RJH78" s="209"/>
      <c r="RJI78" s="209"/>
      <c r="RJJ78" s="209"/>
      <c r="RJK78" s="209"/>
      <c r="RJL78" s="209"/>
      <c r="RJM78" s="209"/>
      <c r="RJN78" s="209"/>
      <c r="RJO78" s="209"/>
      <c r="RJP78" s="209"/>
      <c r="RJQ78" s="209"/>
      <c r="RJR78" s="209"/>
      <c r="RJS78" s="209"/>
      <c r="RJT78" s="209"/>
      <c r="RJU78" s="209"/>
      <c r="RJV78" s="209"/>
      <c r="RJW78" s="209"/>
      <c r="RJX78" s="209"/>
      <c r="RJY78" s="209"/>
      <c r="RJZ78" s="209"/>
      <c r="RKA78" s="209"/>
      <c r="RKB78" s="209"/>
      <c r="RKC78" s="209"/>
      <c r="RKD78" s="209"/>
      <c r="RKE78" s="209"/>
      <c r="RKF78" s="209"/>
      <c r="RKG78" s="209"/>
      <c r="RKH78" s="209"/>
      <c r="RKI78" s="209"/>
      <c r="RKJ78" s="209"/>
      <c r="RKK78" s="209"/>
      <c r="RKL78" s="209"/>
      <c r="RKM78" s="209"/>
      <c r="RKN78" s="209"/>
      <c r="RKO78" s="209"/>
      <c r="RKP78" s="209"/>
      <c r="RKQ78" s="209"/>
      <c r="RKR78" s="209"/>
      <c r="RKS78" s="209"/>
      <c r="RKT78" s="209"/>
      <c r="RKU78" s="209"/>
      <c r="RKV78" s="209"/>
      <c r="RKW78" s="209"/>
      <c r="RKX78" s="209"/>
      <c r="RKY78" s="209"/>
      <c r="RKZ78" s="209"/>
      <c r="RLA78" s="209"/>
      <c r="RLB78" s="209"/>
      <c r="RLC78" s="209"/>
      <c r="RLD78" s="209"/>
      <c r="RLE78" s="209"/>
      <c r="RLF78" s="209"/>
      <c r="RLG78" s="209"/>
      <c r="RLH78" s="209"/>
      <c r="RLI78" s="209"/>
      <c r="RLJ78" s="209"/>
      <c r="RLK78" s="209"/>
      <c r="RLL78" s="209"/>
      <c r="RLM78" s="209"/>
      <c r="RLN78" s="209"/>
      <c r="RLO78" s="209"/>
      <c r="RLP78" s="209"/>
      <c r="RLQ78" s="209"/>
      <c r="RLR78" s="209"/>
      <c r="RLS78" s="209"/>
      <c r="RLT78" s="209"/>
      <c r="RLU78" s="209"/>
      <c r="RLV78" s="209"/>
      <c r="RLW78" s="209"/>
      <c r="RLX78" s="209"/>
      <c r="RLY78" s="209"/>
      <c r="RLZ78" s="209"/>
      <c r="RMA78" s="209"/>
      <c r="RMB78" s="209"/>
      <c r="RMC78" s="209"/>
      <c r="RMD78" s="209"/>
      <c r="RME78" s="209"/>
      <c r="RMF78" s="209"/>
      <c r="RMG78" s="209"/>
      <c r="RMH78" s="209"/>
      <c r="RMI78" s="209"/>
      <c r="RMJ78" s="209"/>
      <c r="RMK78" s="209"/>
      <c r="RML78" s="209"/>
      <c r="RMM78" s="209"/>
      <c r="RMN78" s="209"/>
      <c r="RMO78" s="209"/>
      <c r="RMP78" s="209"/>
      <c r="RMQ78" s="209"/>
      <c r="RMR78" s="209"/>
      <c r="RMS78" s="209"/>
      <c r="RMT78" s="209"/>
      <c r="RMU78" s="209"/>
      <c r="RMV78" s="209"/>
      <c r="RMW78" s="209"/>
      <c r="RMX78" s="209"/>
      <c r="RMY78" s="209"/>
      <c r="RMZ78" s="209"/>
      <c r="RNA78" s="209"/>
      <c r="RNB78" s="209"/>
      <c r="RNC78" s="209"/>
      <c r="RND78" s="209"/>
      <c r="RNE78" s="209"/>
      <c r="RNF78" s="209"/>
      <c r="RNG78" s="209"/>
      <c r="RNH78" s="209"/>
      <c r="RNI78" s="209"/>
      <c r="RNJ78" s="209"/>
      <c r="RNK78" s="209"/>
      <c r="RNL78" s="209"/>
      <c r="RNM78" s="209"/>
      <c r="RNN78" s="209"/>
      <c r="RNO78" s="209"/>
      <c r="RNP78" s="209"/>
      <c r="RNQ78" s="209"/>
      <c r="RNR78" s="209"/>
      <c r="RNS78" s="209"/>
      <c r="RNT78" s="209"/>
      <c r="RNU78" s="209"/>
      <c r="RNV78" s="209"/>
      <c r="RNW78" s="209"/>
      <c r="RNX78" s="209"/>
      <c r="RNY78" s="209"/>
      <c r="RNZ78" s="209"/>
      <c r="ROA78" s="209"/>
      <c r="ROB78" s="209"/>
      <c r="ROC78" s="209"/>
      <c r="ROD78" s="209"/>
      <c r="ROE78" s="209"/>
      <c r="ROF78" s="209"/>
      <c r="ROG78" s="209"/>
      <c r="ROH78" s="209"/>
      <c r="ROI78" s="209"/>
      <c r="ROJ78" s="209"/>
      <c r="ROK78" s="209"/>
      <c r="ROL78" s="209"/>
      <c r="ROM78" s="209"/>
      <c r="RON78" s="209"/>
      <c r="ROO78" s="209"/>
      <c r="ROP78" s="209"/>
      <c r="ROQ78" s="209"/>
      <c r="ROR78" s="209"/>
      <c r="ROS78" s="209"/>
      <c r="ROT78" s="209"/>
      <c r="ROU78" s="209"/>
      <c r="ROV78" s="209"/>
      <c r="ROW78" s="209"/>
      <c r="ROX78" s="209"/>
      <c r="ROY78" s="209"/>
      <c r="ROZ78" s="209"/>
      <c r="RPA78" s="209"/>
      <c r="RPB78" s="209"/>
      <c r="RPC78" s="209"/>
      <c r="RPD78" s="209"/>
      <c r="RPE78" s="209"/>
      <c r="RPF78" s="209"/>
      <c r="RPG78" s="209"/>
      <c r="RPH78" s="209"/>
      <c r="RPI78" s="209"/>
      <c r="RPJ78" s="209"/>
      <c r="RPK78" s="209"/>
      <c r="RPL78" s="209"/>
      <c r="RPM78" s="209"/>
      <c r="RPN78" s="209"/>
      <c r="RPO78" s="209"/>
      <c r="RPP78" s="209"/>
      <c r="RPQ78" s="209"/>
      <c r="RPR78" s="209"/>
      <c r="RPS78" s="209"/>
      <c r="RPT78" s="209"/>
      <c r="RPU78" s="209"/>
      <c r="RPV78" s="209"/>
      <c r="RPW78" s="209"/>
      <c r="RPX78" s="209"/>
      <c r="RPY78" s="209"/>
      <c r="RPZ78" s="209"/>
      <c r="RQA78" s="209"/>
      <c r="RQB78" s="209"/>
      <c r="RQC78" s="209"/>
      <c r="RQD78" s="209"/>
      <c r="RQE78" s="209"/>
      <c r="RQF78" s="209"/>
      <c r="RQG78" s="209"/>
      <c r="RQH78" s="209"/>
      <c r="RQI78" s="209"/>
      <c r="RQJ78" s="209"/>
      <c r="RQK78" s="209"/>
      <c r="RQL78" s="209"/>
      <c r="RQM78" s="209"/>
      <c r="RQN78" s="209"/>
      <c r="RQO78" s="209"/>
      <c r="RQP78" s="209"/>
      <c r="RQQ78" s="209"/>
      <c r="RQR78" s="209"/>
      <c r="RQS78" s="209"/>
      <c r="RQT78" s="209"/>
      <c r="RQU78" s="209"/>
      <c r="RQV78" s="209"/>
      <c r="RQW78" s="209"/>
      <c r="RQX78" s="209"/>
      <c r="RQY78" s="209"/>
      <c r="RQZ78" s="209"/>
      <c r="RRA78" s="209"/>
      <c r="RRB78" s="209"/>
      <c r="RRC78" s="209"/>
      <c r="RRD78" s="209"/>
      <c r="RRE78" s="209"/>
      <c r="RRF78" s="209"/>
      <c r="RRG78" s="209"/>
      <c r="RRH78" s="209"/>
      <c r="RRI78" s="209"/>
      <c r="RRJ78" s="209"/>
      <c r="RRK78" s="209"/>
      <c r="RRL78" s="209"/>
      <c r="RRM78" s="209"/>
      <c r="RRN78" s="209"/>
      <c r="RRO78" s="209"/>
      <c r="RRP78" s="209"/>
      <c r="RRQ78" s="209"/>
      <c r="RRR78" s="209"/>
      <c r="RRS78" s="209"/>
      <c r="RRT78" s="209"/>
      <c r="RRU78" s="209"/>
      <c r="RRV78" s="209"/>
      <c r="RRW78" s="209"/>
      <c r="RRX78" s="209"/>
      <c r="RRY78" s="209"/>
      <c r="RRZ78" s="209"/>
      <c r="RSA78" s="209"/>
      <c r="RSB78" s="209"/>
      <c r="RSC78" s="209"/>
      <c r="RSD78" s="209"/>
      <c r="RSE78" s="209"/>
      <c r="RSF78" s="209"/>
      <c r="RSG78" s="209"/>
      <c r="RSH78" s="209"/>
      <c r="RSI78" s="209"/>
      <c r="RSJ78" s="209"/>
      <c r="RSK78" s="209"/>
      <c r="RSL78" s="209"/>
      <c r="RSM78" s="209"/>
      <c r="RSN78" s="209"/>
      <c r="RSO78" s="209"/>
      <c r="RSP78" s="209"/>
      <c r="RSQ78" s="209"/>
      <c r="RSR78" s="209"/>
      <c r="RSS78" s="209"/>
      <c r="RST78" s="209"/>
      <c r="RSU78" s="209"/>
      <c r="RSV78" s="209"/>
      <c r="RSW78" s="209"/>
      <c r="RSX78" s="209"/>
      <c r="RSY78" s="209"/>
      <c r="RSZ78" s="209"/>
      <c r="RTA78" s="209"/>
      <c r="RTB78" s="209"/>
      <c r="RTC78" s="209"/>
      <c r="RTD78" s="209"/>
      <c r="RTE78" s="209"/>
      <c r="RTF78" s="209"/>
      <c r="RTG78" s="209"/>
      <c r="RTH78" s="209"/>
      <c r="RTI78" s="209"/>
      <c r="RTJ78" s="209"/>
      <c r="RTK78" s="209"/>
      <c r="RTL78" s="209"/>
      <c r="RTM78" s="209"/>
      <c r="RTN78" s="209"/>
      <c r="RTO78" s="209"/>
      <c r="RTP78" s="209"/>
      <c r="RTQ78" s="209"/>
      <c r="RTR78" s="209"/>
      <c r="RTS78" s="209"/>
      <c r="RTT78" s="209"/>
      <c r="RTU78" s="209"/>
      <c r="RTV78" s="209"/>
      <c r="RTW78" s="209"/>
      <c r="RTX78" s="209"/>
      <c r="RTY78" s="209"/>
      <c r="RTZ78" s="209"/>
      <c r="RUA78" s="209"/>
      <c r="RUB78" s="209"/>
      <c r="RUC78" s="209"/>
      <c r="RUD78" s="209"/>
      <c r="RUE78" s="209"/>
      <c r="RUF78" s="209"/>
      <c r="RUG78" s="209"/>
      <c r="RUH78" s="209"/>
      <c r="RUI78" s="209"/>
      <c r="RUJ78" s="209"/>
      <c r="RUK78" s="209"/>
      <c r="RUL78" s="209"/>
      <c r="RUM78" s="209"/>
      <c r="RUN78" s="209"/>
      <c r="RUO78" s="209"/>
      <c r="RUP78" s="209"/>
      <c r="RUQ78" s="209"/>
      <c r="RUR78" s="209"/>
      <c r="RUS78" s="209"/>
      <c r="RUT78" s="209"/>
      <c r="RUU78" s="209"/>
      <c r="RUV78" s="209"/>
      <c r="RUW78" s="209"/>
      <c r="RUX78" s="209"/>
      <c r="RUY78" s="209"/>
      <c r="RUZ78" s="209"/>
      <c r="RVA78" s="209"/>
      <c r="RVB78" s="209"/>
      <c r="RVC78" s="209"/>
      <c r="RVD78" s="209"/>
      <c r="RVE78" s="209"/>
      <c r="RVF78" s="209"/>
      <c r="RVG78" s="209"/>
      <c r="RVH78" s="209"/>
      <c r="RVI78" s="209"/>
      <c r="RVJ78" s="209"/>
      <c r="RVK78" s="209"/>
      <c r="RVL78" s="209"/>
      <c r="RVM78" s="209"/>
      <c r="RVN78" s="209"/>
      <c r="RVO78" s="209"/>
      <c r="RVP78" s="209"/>
      <c r="RVQ78" s="209"/>
      <c r="RVR78" s="209"/>
      <c r="RVS78" s="209"/>
      <c r="RVT78" s="209"/>
      <c r="RVU78" s="209"/>
      <c r="RVV78" s="209"/>
      <c r="RVW78" s="209"/>
      <c r="RVX78" s="209"/>
      <c r="RVY78" s="209"/>
      <c r="RVZ78" s="209"/>
      <c r="RWA78" s="209"/>
      <c r="RWB78" s="209"/>
      <c r="RWC78" s="209"/>
      <c r="RWD78" s="209"/>
      <c r="RWE78" s="209"/>
      <c r="RWF78" s="209"/>
      <c r="RWG78" s="209"/>
      <c r="RWH78" s="209"/>
      <c r="RWI78" s="209"/>
      <c r="RWJ78" s="209"/>
      <c r="RWK78" s="209"/>
      <c r="RWL78" s="209"/>
      <c r="RWM78" s="209"/>
      <c r="RWN78" s="209"/>
      <c r="RWO78" s="209"/>
      <c r="RWP78" s="209"/>
      <c r="RWQ78" s="209"/>
      <c r="RWR78" s="209"/>
      <c r="RWS78" s="209"/>
      <c r="RWT78" s="209"/>
      <c r="RWU78" s="209"/>
      <c r="RWV78" s="209"/>
      <c r="RWW78" s="209"/>
      <c r="RWX78" s="209"/>
      <c r="RWY78" s="209"/>
      <c r="RWZ78" s="209"/>
      <c r="RXA78" s="209"/>
      <c r="RXB78" s="209"/>
      <c r="RXC78" s="209"/>
      <c r="RXD78" s="209"/>
      <c r="RXE78" s="209"/>
      <c r="RXF78" s="209"/>
      <c r="RXG78" s="209"/>
      <c r="RXH78" s="209"/>
      <c r="RXI78" s="209"/>
      <c r="RXJ78" s="209"/>
      <c r="RXK78" s="209"/>
      <c r="RXL78" s="209"/>
      <c r="RXM78" s="209"/>
      <c r="RXN78" s="209"/>
      <c r="RXO78" s="209"/>
      <c r="RXP78" s="209"/>
      <c r="RXQ78" s="209"/>
      <c r="RXR78" s="209"/>
      <c r="RXS78" s="209"/>
      <c r="RXT78" s="209"/>
      <c r="RXU78" s="209"/>
      <c r="RXV78" s="209"/>
      <c r="RXW78" s="209"/>
      <c r="RXX78" s="209"/>
      <c r="RXY78" s="209"/>
      <c r="RXZ78" s="209"/>
      <c r="RYA78" s="209"/>
      <c r="RYB78" s="209"/>
      <c r="RYC78" s="209"/>
      <c r="RYD78" s="209"/>
      <c r="RYE78" s="209"/>
      <c r="RYF78" s="209"/>
      <c r="RYG78" s="209"/>
      <c r="RYH78" s="209"/>
      <c r="RYI78" s="209"/>
      <c r="RYJ78" s="209"/>
      <c r="RYK78" s="209"/>
      <c r="RYL78" s="209"/>
      <c r="RYM78" s="209"/>
      <c r="RYN78" s="209"/>
      <c r="RYO78" s="209"/>
      <c r="RYP78" s="209"/>
      <c r="RYQ78" s="209"/>
      <c r="RYR78" s="209"/>
      <c r="RYS78" s="209"/>
      <c r="RYT78" s="209"/>
      <c r="RYU78" s="209"/>
      <c r="RYV78" s="209"/>
      <c r="RYW78" s="209"/>
      <c r="RYX78" s="209"/>
      <c r="RYY78" s="209"/>
      <c r="RYZ78" s="209"/>
      <c r="RZA78" s="209"/>
      <c r="RZB78" s="209"/>
      <c r="RZC78" s="209"/>
      <c r="RZD78" s="209"/>
      <c r="RZE78" s="209"/>
      <c r="RZF78" s="209"/>
      <c r="RZG78" s="209"/>
      <c r="RZH78" s="209"/>
      <c r="RZI78" s="209"/>
      <c r="RZJ78" s="209"/>
      <c r="RZK78" s="209"/>
      <c r="RZL78" s="209"/>
      <c r="RZM78" s="209"/>
      <c r="RZN78" s="209"/>
      <c r="RZO78" s="209"/>
      <c r="RZP78" s="209"/>
      <c r="RZQ78" s="209"/>
      <c r="RZR78" s="209"/>
      <c r="RZS78" s="209"/>
      <c r="RZT78" s="209"/>
      <c r="RZU78" s="209"/>
      <c r="RZV78" s="209"/>
      <c r="RZW78" s="209"/>
      <c r="RZX78" s="209"/>
      <c r="RZY78" s="209"/>
      <c r="RZZ78" s="209"/>
      <c r="SAA78" s="209"/>
      <c r="SAB78" s="209"/>
      <c r="SAC78" s="209"/>
      <c r="SAD78" s="209"/>
      <c r="SAE78" s="209"/>
      <c r="SAF78" s="209"/>
      <c r="SAG78" s="209"/>
      <c r="SAH78" s="209"/>
      <c r="SAI78" s="209"/>
      <c r="SAJ78" s="209"/>
      <c r="SAK78" s="209"/>
      <c r="SAL78" s="209"/>
      <c r="SAM78" s="209"/>
      <c r="SAN78" s="209"/>
      <c r="SAO78" s="209"/>
      <c r="SAP78" s="209"/>
      <c r="SAQ78" s="209"/>
      <c r="SAR78" s="209"/>
      <c r="SAS78" s="209"/>
      <c r="SAT78" s="209"/>
      <c r="SAU78" s="209"/>
      <c r="SAV78" s="209"/>
      <c r="SAW78" s="209"/>
      <c r="SAX78" s="209"/>
      <c r="SAY78" s="209"/>
      <c r="SAZ78" s="209"/>
      <c r="SBA78" s="209"/>
      <c r="SBB78" s="209"/>
      <c r="SBC78" s="209"/>
      <c r="SBD78" s="209"/>
      <c r="SBE78" s="209"/>
      <c r="SBF78" s="209"/>
      <c r="SBG78" s="209"/>
      <c r="SBH78" s="209"/>
      <c r="SBI78" s="209"/>
      <c r="SBJ78" s="209"/>
      <c r="SBK78" s="209"/>
      <c r="SBL78" s="209"/>
      <c r="SBM78" s="209"/>
      <c r="SBN78" s="209"/>
      <c r="SBO78" s="209"/>
      <c r="SBP78" s="209"/>
      <c r="SBQ78" s="209"/>
      <c r="SBR78" s="209"/>
      <c r="SBS78" s="209"/>
      <c r="SBT78" s="209"/>
      <c r="SBU78" s="209"/>
      <c r="SBV78" s="209"/>
      <c r="SBW78" s="209"/>
      <c r="SBX78" s="209"/>
      <c r="SBY78" s="209"/>
      <c r="SBZ78" s="209"/>
      <c r="SCA78" s="209"/>
      <c r="SCB78" s="209"/>
      <c r="SCC78" s="209"/>
      <c r="SCD78" s="209"/>
      <c r="SCE78" s="209"/>
      <c r="SCF78" s="209"/>
      <c r="SCG78" s="209"/>
      <c r="SCH78" s="209"/>
      <c r="SCI78" s="209"/>
      <c r="SCJ78" s="209"/>
      <c r="SCK78" s="209"/>
      <c r="SCL78" s="209"/>
      <c r="SCM78" s="209"/>
      <c r="SCN78" s="209"/>
      <c r="SCO78" s="209"/>
      <c r="SCP78" s="209"/>
      <c r="SCQ78" s="209"/>
      <c r="SCR78" s="209"/>
      <c r="SCS78" s="209"/>
      <c r="SCT78" s="209"/>
      <c r="SCU78" s="209"/>
      <c r="SCV78" s="209"/>
      <c r="SCW78" s="209"/>
      <c r="SCX78" s="209"/>
      <c r="SCY78" s="209"/>
      <c r="SCZ78" s="209"/>
      <c r="SDA78" s="209"/>
      <c r="SDB78" s="209"/>
      <c r="SDC78" s="209"/>
      <c r="SDD78" s="209"/>
      <c r="SDE78" s="209"/>
      <c r="SDF78" s="209"/>
      <c r="SDG78" s="209"/>
      <c r="SDH78" s="209"/>
      <c r="SDI78" s="209"/>
      <c r="SDJ78" s="209"/>
      <c r="SDK78" s="209"/>
      <c r="SDL78" s="209"/>
      <c r="SDM78" s="209"/>
      <c r="SDN78" s="209"/>
      <c r="SDO78" s="209"/>
      <c r="SDP78" s="209"/>
      <c r="SDQ78" s="209"/>
      <c r="SDR78" s="209"/>
      <c r="SDS78" s="209"/>
      <c r="SDT78" s="209"/>
      <c r="SDU78" s="209"/>
      <c r="SDV78" s="209"/>
      <c r="SDW78" s="209"/>
      <c r="SDX78" s="209"/>
      <c r="SDY78" s="209"/>
      <c r="SDZ78" s="209"/>
      <c r="SEA78" s="209"/>
      <c r="SEB78" s="209"/>
      <c r="SEC78" s="209"/>
      <c r="SED78" s="209"/>
      <c r="SEE78" s="209"/>
      <c r="SEF78" s="209"/>
      <c r="SEG78" s="209"/>
      <c r="SEH78" s="209"/>
      <c r="SEI78" s="209"/>
      <c r="SEJ78" s="209"/>
      <c r="SEK78" s="209"/>
      <c r="SEL78" s="209"/>
      <c r="SEM78" s="209"/>
      <c r="SEN78" s="209"/>
      <c r="SEO78" s="209"/>
      <c r="SEP78" s="209"/>
      <c r="SEQ78" s="209"/>
      <c r="SER78" s="209"/>
      <c r="SES78" s="209"/>
      <c r="SET78" s="209"/>
      <c r="SEU78" s="209"/>
      <c r="SEV78" s="209"/>
      <c r="SEW78" s="209"/>
      <c r="SEX78" s="209"/>
      <c r="SEY78" s="209"/>
      <c r="SEZ78" s="209"/>
      <c r="SFA78" s="209"/>
      <c r="SFB78" s="209"/>
      <c r="SFC78" s="209"/>
      <c r="SFD78" s="209"/>
      <c r="SFE78" s="209"/>
      <c r="SFF78" s="209"/>
      <c r="SFG78" s="209"/>
      <c r="SFH78" s="209"/>
      <c r="SFI78" s="209"/>
      <c r="SFJ78" s="209"/>
      <c r="SFK78" s="209"/>
      <c r="SFL78" s="209"/>
      <c r="SFM78" s="209"/>
      <c r="SFN78" s="209"/>
      <c r="SFO78" s="209"/>
      <c r="SFP78" s="209"/>
      <c r="SFQ78" s="209"/>
      <c r="SFR78" s="209"/>
      <c r="SFS78" s="209"/>
      <c r="SFT78" s="209"/>
      <c r="SFU78" s="209"/>
      <c r="SFV78" s="209"/>
      <c r="SFW78" s="209"/>
      <c r="SFX78" s="209"/>
      <c r="SFY78" s="209"/>
      <c r="SFZ78" s="209"/>
      <c r="SGA78" s="209"/>
      <c r="SGB78" s="209"/>
      <c r="SGC78" s="209"/>
      <c r="SGD78" s="209"/>
      <c r="SGE78" s="209"/>
      <c r="SGF78" s="209"/>
      <c r="SGG78" s="209"/>
      <c r="SGH78" s="209"/>
      <c r="SGI78" s="209"/>
      <c r="SGJ78" s="209"/>
      <c r="SGK78" s="209"/>
      <c r="SGL78" s="209"/>
      <c r="SGM78" s="209"/>
      <c r="SGN78" s="209"/>
      <c r="SGO78" s="209"/>
      <c r="SGP78" s="209"/>
      <c r="SGQ78" s="209"/>
      <c r="SGR78" s="209"/>
      <c r="SGS78" s="209"/>
      <c r="SGT78" s="209"/>
      <c r="SGU78" s="209"/>
      <c r="SGV78" s="209"/>
      <c r="SGW78" s="209"/>
      <c r="SGX78" s="209"/>
      <c r="SGY78" s="209"/>
      <c r="SGZ78" s="209"/>
      <c r="SHA78" s="209"/>
      <c r="SHB78" s="209"/>
      <c r="SHC78" s="209"/>
      <c r="SHD78" s="209"/>
      <c r="SHE78" s="209"/>
      <c r="SHF78" s="209"/>
      <c r="SHG78" s="209"/>
      <c r="SHH78" s="209"/>
      <c r="SHI78" s="209"/>
      <c r="SHJ78" s="209"/>
      <c r="SHK78" s="209"/>
      <c r="SHL78" s="209"/>
      <c r="SHM78" s="209"/>
      <c r="SHN78" s="209"/>
      <c r="SHO78" s="209"/>
      <c r="SHP78" s="209"/>
      <c r="SHQ78" s="209"/>
      <c r="SHR78" s="209"/>
      <c r="SHS78" s="209"/>
      <c r="SHT78" s="209"/>
      <c r="SHU78" s="209"/>
      <c r="SHV78" s="209"/>
      <c r="SHW78" s="209"/>
      <c r="SHX78" s="209"/>
      <c r="SHY78" s="209"/>
      <c r="SHZ78" s="209"/>
      <c r="SIA78" s="209"/>
      <c r="SIB78" s="209"/>
      <c r="SIC78" s="209"/>
      <c r="SID78" s="209"/>
      <c r="SIE78" s="209"/>
      <c r="SIF78" s="209"/>
      <c r="SIG78" s="209"/>
      <c r="SIH78" s="209"/>
      <c r="SII78" s="209"/>
      <c r="SIJ78" s="209"/>
      <c r="SIK78" s="209"/>
      <c r="SIL78" s="209"/>
      <c r="SIM78" s="209"/>
      <c r="SIN78" s="209"/>
      <c r="SIO78" s="209"/>
      <c r="SIP78" s="209"/>
      <c r="SIQ78" s="209"/>
      <c r="SIR78" s="209"/>
      <c r="SIS78" s="209"/>
      <c r="SIT78" s="209"/>
      <c r="SIU78" s="209"/>
      <c r="SIV78" s="209"/>
      <c r="SIW78" s="209"/>
      <c r="SIX78" s="209"/>
      <c r="SIY78" s="209"/>
      <c r="SIZ78" s="209"/>
      <c r="SJA78" s="209"/>
      <c r="SJB78" s="209"/>
      <c r="SJC78" s="209"/>
      <c r="SJD78" s="209"/>
      <c r="SJE78" s="209"/>
      <c r="SJF78" s="209"/>
      <c r="SJG78" s="209"/>
      <c r="SJH78" s="209"/>
      <c r="SJI78" s="209"/>
      <c r="SJJ78" s="209"/>
      <c r="SJK78" s="209"/>
      <c r="SJL78" s="209"/>
      <c r="SJM78" s="209"/>
      <c r="SJN78" s="209"/>
      <c r="SJO78" s="209"/>
      <c r="SJP78" s="209"/>
      <c r="SJQ78" s="209"/>
      <c r="SJR78" s="209"/>
      <c r="SJS78" s="209"/>
      <c r="SJT78" s="209"/>
      <c r="SJU78" s="209"/>
      <c r="SJV78" s="209"/>
      <c r="SJW78" s="209"/>
      <c r="SJX78" s="209"/>
      <c r="SJY78" s="209"/>
      <c r="SJZ78" s="209"/>
      <c r="SKA78" s="209"/>
      <c r="SKB78" s="209"/>
      <c r="SKC78" s="209"/>
      <c r="SKD78" s="209"/>
      <c r="SKE78" s="209"/>
      <c r="SKF78" s="209"/>
      <c r="SKG78" s="209"/>
      <c r="SKH78" s="209"/>
      <c r="SKI78" s="209"/>
      <c r="SKJ78" s="209"/>
      <c r="SKK78" s="209"/>
      <c r="SKL78" s="209"/>
      <c r="SKM78" s="209"/>
      <c r="SKN78" s="209"/>
      <c r="SKO78" s="209"/>
      <c r="SKP78" s="209"/>
      <c r="SKQ78" s="209"/>
      <c r="SKR78" s="209"/>
      <c r="SKS78" s="209"/>
      <c r="SKT78" s="209"/>
      <c r="SKU78" s="209"/>
      <c r="SKV78" s="209"/>
      <c r="SKW78" s="209"/>
      <c r="SKX78" s="209"/>
      <c r="SKY78" s="209"/>
      <c r="SKZ78" s="209"/>
      <c r="SLA78" s="209"/>
      <c r="SLB78" s="209"/>
      <c r="SLC78" s="209"/>
      <c r="SLD78" s="209"/>
      <c r="SLE78" s="209"/>
      <c r="SLF78" s="209"/>
      <c r="SLG78" s="209"/>
      <c r="SLH78" s="209"/>
      <c r="SLI78" s="209"/>
      <c r="SLJ78" s="209"/>
      <c r="SLK78" s="209"/>
      <c r="SLL78" s="209"/>
      <c r="SLM78" s="209"/>
      <c r="SLN78" s="209"/>
      <c r="SLO78" s="209"/>
      <c r="SLP78" s="209"/>
      <c r="SLQ78" s="209"/>
      <c r="SLR78" s="209"/>
      <c r="SLS78" s="209"/>
      <c r="SLT78" s="209"/>
      <c r="SLU78" s="209"/>
      <c r="SLV78" s="209"/>
      <c r="SLW78" s="209"/>
      <c r="SLX78" s="209"/>
      <c r="SLY78" s="209"/>
      <c r="SLZ78" s="209"/>
      <c r="SMA78" s="209"/>
      <c r="SMB78" s="209"/>
      <c r="SMC78" s="209"/>
      <c r="SMD78" s="209"/>
      <c r="SME78" s="209"/>
      <c r="SMF78" s="209"/>
      <c r="SMG78" s="209"/>
      <c r="SMH78" s="209"/>
      <c r="SMI78" s="209"/>
      <c r="SMJ78" s="209"/>
      <c r="SMK78" s="209"/>
      <c r="SML78" s="209"/>
      <c r="SMM78" s="209"/>
      <c r="SMN78" s="209"/>
      <c r="SMO78" s="209"/>
      <c r="SMP78" s="209"/>
      <c r="SMQ78" s="209"/>
      <c r="SMR78" s="209"/>
      <c r="SMS78" s="209"/>
      <c r="SMT78" s="209"/>
      <c r="SMU78" s="209"/>
      <c r="SMV78" s="209"/>
      <c r="SMW78" s="209"/>
      <c r="SMX78" s="209"/>
      <c r="SMY78" s="209"/>
      <c r="SMZ78" s="209"/>
      <c r="SNA78" s="209"/>
      <c r="SNB78" s="209"/>
      <c r="SNC78" s="209"/>
      <c r="SND78" s="209"/>
      <c r="SNE78" s="209"/>
      <c r="SNF78" s="209"/>
      <c r="SNG78" s="209"/>
      <c r="SNH78" s="209"/>
      <c r="SNI78" s="209"/>
      <c r="SNJ78" s="209"/>
      <c r="SNK78" s="209"/>
      <c r="SNL78" s="209"/>
      <c r="SNM78" s="209"/>
      <c r="SNN78" s="209"/>
      <c r="SNO78" s="209"/>
      <c r="SNP78" s="209"/>
      <c r="SNQ78" s="209"/>
      <c r="SNR78" s="209"/>
      <c r="SNS78" s="209"/>
      <c r="SNT78" s="209"/>
      <c r="SNU78" s="209"/>
      <c r="SNV78" s="209"/>
      <c r="SNW78" s="209"/>
      <c r="SNX78" s="209"/>
      <c r="SNY78" s="209"/>
      <c r="SNZ78" s="209"/>
      <c r="SOA78" s="209"/>
      <c r="SOB78" s="209"/>
      <c r="SOC78" s="209"/>
      <c r="SOD78" s="209"/>
      <c r="SOE78" s="209"/>
      <c r="SOF78" s="209"/>
      <c r="SOG78" s="209"/>
      <c r="SOH78" s="209"/>
      <c r="SOI78" s="209"/>
      <c r="SOJ78" s="209"/>
      <c r="SOK78" s="209"/>
      <c r="SOL78" s="209"/>
      <c r="SOM78" s="209"/>
      <c r="SON78" s="209"/>
      <c r="SOO78" s="209"/>
      <c r="SOP78" s="209"/>
      <c r="SOQ78" s="209"/>
      <c r="SOR78" s="209"/>
      <c r="SOS78" s="209"/>
      <c r="SOT78" s="209"/>
      <c r="SOU78" s="209"/>
      <c r="SOV78" s="209"/>
      <c r="SOW78" s="209"/>
      <c r="SOX78" s="209"/>
      <c r="SOY78" s="209"/>
      <c r="SOZ78" s="209"/>
      <c r="SPA78" s="209"/>
      <c r="SPB78" s="209"/>
      <c r="SPC78" s="209"/>
      <c r="SPD78" s="209"/>
      <c r="SPE78" s="209"/>
      <c r="SPF78" s="209"/>
      <c r="SPG78" s="209"/>
      <c r="SPH78" s="209"/>
      <c r="SPI78" s="209"/>
      <c r="SPJ78" s="209"/>
      <c r="SPK78" s="209"/>
      <c r="SPL78" s="209"/>
      <c r="SPM78" s="209"/>
      <c r="SPN78" s="209"/>
      <c r="SPO78" s="209"/>
      <c r="SPP78" s="209"/>
      <c r="SPQ78" s="209"/>
      <c r="SPR78" s="209"/>
      <c r="SPS78" s="209"/>
      <c r="SPT78" s="209"/>
      <c r="SPU78" s="209"/>
      <c r="SPV78" s="209"/>
      <c r="SPW78" s="209"/>
      <c r="SPX78" s="209"/>
      <c r="SPY78" s="209"/>
      <c r="SPZ78" s="209"/>
      <c r="SQA78" s="209"/>
      <c r="SQB78" s="209"/>
      <c r="SQC78" s="209"/>
      <c r="SQD78" s="209"/>
      <c r="SQE78" s="209"/>
      <c r="SQF78" s="209"/>
      <c r="SQG78" s="209"/>
      <c r="SQH78" s="209"/>
      <c r="SQI78" s="209"/>
      <c r="SQJ78" s="209"/>
      <c r="SQK78" s="209"/>
      <c r="SQL78" s="209"/>
      <c r="SQM78" s="209"/>
      <c r="SQN78" s="209"/>
      <c r="SQO78" s="209"/>
      <c r="SQP78" s="209"/>
      <c r="SQQ78" s="209"/>
      <c r="SQR78" s="209"/>
      <c r="SQS78" s="209"/>
      <c r="SQT78" s="209"/>
      <c r="SQU78" s="209"/>
      <c r="SQV78" s="209"/>
      <c r="SQW78" s="209"/>
      <c r="SQX78" s="209"/>
      <c r="SQY78" s="209"/>
      <c r="SQZ78" s="209"/>
      <c r="SRA78" s="209"/>
      <c r="SRB78" s="209"/>
      <c r="SRC78" s="209"/>
      <c r="SRD78" s="209"/>
      <c r="SRE78" s="209"/>
      <c r="SRF78" s="209"/>
      <c r="SRG78" s="209"/>
      <c r="SRH78" s="209"/>
      <c r="SRI78" s="209"/>
      <c r="SRJ78" s="209"/>
      <c r="SRK78" s="209"/>
      <c r="SRL78" s="209"/>
      <c r="SRM78" s="209"/>
      <c r="SRN78" s="209"/>
      <c r="SRO78" s="209"/>
      <c r="SRP78" s="209"/>
      <c r="SRQ78" s="209"/>
      <c r="SRR78" s="209"/>
      <c r="SRS78" s="209"/>
      <c r="SRT78" s="209"/>
      <c r="SRU78" s="209"/>
      <c r="SRV78" s="209"/>
      <c r="SRW78" s="209"/>
      <c r="SRX78" s="209"/>
      <c r="SRY78" s="209"/>
      <c r="SRZ78" s="209"/>
      <c r="SSA78" s="209"/>
      <c r="SSB78" s="209"/>
      <c r="SSC78" s="209"/>
      <c r="SSD78" s="209"/>
      <c r="SSE78" s="209"/>
      <c r="SSF78" s="209"/>
      <c r="SSG78" s="209"/>
      <c r="SSH78" s="209"/>
      <c r="SSI78" s="209"/>
      <c r="SSJ78" s="209"/>
      <c r="SSK78" s="209"/>
      <c r="SSL78" s="209"/>
      <c r="SSM78" s="209"/>
      <c r="SSN78" s="209"/>
      <c r="SSO78" s="209"/>
      <c r="SSP78" s="209"/>
      <c r="SSQ78" s="209"/>
      <c r="SSR78" s="209"/>
      <c r="SSS78" s="209"/>
      <c r="SST78" s="209"/>
      <c r="SSU78" s="209"/>
      <c r="SSV78" s="209"/>
      <c r="SSW78" s="209"/>
      <c r="SSX78" s="209"/>
      <c r="SSY78" s="209"/>
      <c r="SSZ78" s="209"/>
      <c r="STA78" s="209"/>
      <c r="STB78" s="209"/>
      <c r="STC78" s="209"/>
      <c r="STD78" s="209"/>
      <c r="STE78" s="209"/>
      <c r="STF78" s="209"/>
      <c r="STG78" s="209"/>
      <c r="STH78" s="209"/>
      <c r="STI78" s="209"/>
      <c r="STJ78" s="209"/>
      <c r="STK78" s="209"/>
      <c r="STL78" s="209"/>
      <c r="STM78" s="209"/>
      <c r="STN78" s="209"/>
      <c r="STO78" s="209"/>
      <c r="STP78" s="209"/>
      <c r="STQ78" s="209"/>
      <c r="STR78" s="209"/>
      <c r="STS78" s="209"/>
      <c r="STT78" s="209"/>
      <c r="STU78" s="209"/>
      <c r="STV78" s="209"/>
      <c r="STW78" s="209"/>
      <c r="STX78" s="209"/>
      <c r="STY78" s="209"/>
      <c r="STZ78" s="209"/>
      <c r="SUA78" s="209"/>
      <c r="SUB78" s="209"/>
      <c r="SUC78" s="209"/>
      <c r="SUD78" s="209"/>
      <c r="SUE78" s="209"/>
      <c r="SUF78" s="209"/>
      <c r="SUG78" s="209"/>
      <c r="SUH78" s="209"/>
      <c r="SUI78" s="209"/>
      <c r="SUJ78" s="209"/>
      <c r="SUK78" s="209"/>
      <c r="SUL78" s="209"/>
      <c r="SUM78" s="209"/>
      <c r="SUN78" s="209"/>
      <c r="SUO78" s="209"/>
      <c r="SUP78" s="209"/>
      <c r="SUQ78" s="209"/>
      <c r="SUR78" s="209"/>
      <c r="SUS78" s="209"/>
      <c r="SUT78" s="209"/>
      <c r="SUU78" s="209"/>
      <c r="SUV78" s="209"/>
      <c r="SUW78" s="209"/>
      <c r="SUX78" s="209"/>
      <c r="SUY78" s="209"/>
      <c r="SUZ78" s="209"/>
      <c r="SVA78" s="209"/>
      <c r="SVB78" s="209"/>
      <c r="SVC78" s="209"/>
      <c r="SVD78" s="209"/>
      <c r="SVE78" s="209"/>
      <c r="SVF78" s="209"/>
      <c r="SVG78" s="209"/>
      <c r="SVH78" s="209"/>
      <c r="SVI78" s="209"/>
      <c r="SVJ78" s="209"/>
      <c r="SVK78" s="209"/>
      <c r="SVL78" s="209"/>
      <c r="SVM78" s="209"/>
      <c r="SVN78" s="209"/>
      <c r="SVO78" s="209"/>
      <c r="SVP78" s="209"/>
      <c r="SVQ78" s="209"/>
      <c r="SVR78" s="209"/>
      <c r="SVS78" s="209"/>
      <c r="SVT78" s="209"/>
      <c r="SVU78" s="209"/>
      <c r="SVV78" s="209"/>
      <c r="SVW78" s="209"/>
      <c r="SVX78" s="209"/>
      <c r="SVY78" s="209"/>
      <c r="SVZ78" s="209"/>
      <c r="SWA78" s="209"/>
      <c r="SWB78" s="209"/>
      <c r="SWC78" s="209"/>
      <c r="SWD78" s="209"/>
      <c r="SWE78" s="209"/>
      <c r="SWF78" s="209"/>
      <c r="SWG78" s="209"/>
      <c r="SWH78" s="209"/>
      <c r="SWI78" s="209"/>
      <c r="SWJ78" s="209"/>
      <c r="SWK78" s="209"/>
      <c r="SWL78" s="209"/>
      <c r="SWM78" s="209"/>
      <c r="SWN78" s="209"/>
      <c r="SWO78" s="209"/>
      <c r="SWP78" s="209"/>
      <c r="SWQ78" s="209"/>
      <c r="SWR78" s="209"/>
      <c r="SWS78" s="209"/>
      <c r="SWT78" s="209"/>
      <c r="SWU78" s="209"/>
      <c r="SWV78" s="209"/>
      <c r="SWW78" s="209"/>
      <c r="SWX78" s="209"/>
      <c r="SWY78" s="209"/>
      <c r="SWZ78" s="209"/>
      <c r="SXA78" s="209"/>
      <c r="SXB78" s="209"/>
      <c r="SXC78" s="209"/>
      <c r="SXD78" s="209"/>
      <c r="SXE78" s="209"/>
      <c r="SXF78" s="209"/>
      <c r="SXG78" s="209"/>
      <c r="SXH78" s="209"/>
      <c r="SXI78" s="209"/>
      <c r="SXJ78" s="209"/>
      <c r="SXK78" s="209"/>
      <c r="SXL78" s="209"/>
      <c r="SXM78" s="209"/>
      <c r="SXN78" s="209"/>
      <c r="SXO78" s="209"/>
      <c r="SXP78" s="209"/>
      <c r="SXQ78" s="209"/>
      <c r="SXR78" s="209"/>
      <c r="SXS78" s="209"/>
      <c r="SXT78" s="209"/>
      <c r="SXU78" s="209"/>
      <c r="SXV78" s="209"/>
      <c r="SXW78" s="209"/>
      <c r="SXX78" s="209"/>
      <c r="SXY78" s="209"/>
      <c r="SXZ78" s="209"/>
      <c r="SYA78" s="209"/>
      <c r="SYB78" s="209"/>
      <c r="SYC78" s="209"/>
      <c r="SYD78" s="209"/>
      <c r="SYE78" s="209"/>
      <c r="SYF78" s="209"/>
      <c r="SYG78" s="209"/>
      <c r="SYH78" s="209"/>
      <c r="SYI78" s="209"/>
      <c r="SYJ78" s="209"/>
      <c r="SYK78" s="209"/>
      <c r="SYL78" s="209"/>
      <c r="SYM78" s="209"/>
      <c r="SYN78" s="209"/>
      <c r="SYO78" s="209"/>
      <c r="SYP78" s="209"/>
      <c r="SYQ78" s="209"/>
      <c r="SYR78" s="209"/>
      <c r="SYS78" s="209"/>
      <c r="SYT78" s="209"/>
      <c r="SYU78" s="209"/>
      <c r="SYV78" s="209"/>
      <c r="SYW78" s="209"/>
      <c r="SYX78" s="209"/>
      <c r="SYY78" s="209"/>
      <c r="SYZ78" s="209"/>
      <c r="SZA78" s="209"/>
      <c r="SZB78" s="209"/>
      <c r="SZC78" s="209"/>
      <c r="SZD78" s="209"/>
      <c r="SZE78" s="209"/>
      <c r="SZF78" s="209"/>
      <c r="SZG78" s="209"/>
      <c r="SZH78" s="209"/>
      <c r="SZI78" s="209"/>
      <c r="SZJ78" s="209"/>
      <c r="SZK78" s="209"/>
      <c r="SZL78" s="209"/>
      <c r="SZM78" s="209"/>
      <c r="SZN78" s="209"/>
      <c r="SZO78" s="209"/>
      <c r="SZP78" s="209"/>
      <c r="SZQ78" s="209"/>
      <c r="SZR78" s="209"/>
      <c r="SZS78" s="209"/>
      <c r="SZT78" s="209"/>
      <c r="SZU78" s="209"/>
      <c r="SZV78" s="209"/>
      <c r="SZW78" s="209"/>
      <c r="SZX78" s="209"/>
      <c r="SZY78" s="209"/>
      <c r="SZZ78" s="209"/>
      <c r="TAA78" s="209"/>
      <c r="TAB78" s="209"/>
      <c r="TAC78" s="209"/>
      <c r="TAD78" s="209"/>
      <c r="TAE78" s="209"/>
      <c r="TAF78" s="209"/>
      <c r="TAG78" s="209"/>
      <c r="TAH78" s="209"/>
      <c r="TAI78" s="209"/>
      <c r="TAJ78" s="209"/>
      <c r="TAK78" s="209"/>
      <c r="TAL78" s="209"/>
      <c r="TAM78" s="209"/>
      <c r="TAN78" s="209"/>
      <c r="TAO78" s="209"/>
      <c r="TAP78" s="209"/>
      <c r="TAQ78" s="209"/>
      <c r="TAR78" s="209"/>
      <c r="TAS78" s="209"/>
      <c r="TAT78" s="209"/>
      <c r="TAU78" s="209"/>
      <c r="TAV78" s="209"/>
      <c r="TAW78" s="209"/>
      <c r="TAX78" s="209"/>
      <c r="TAY78" s="209"/>
      <c r="TAZ78" s="209"/>
      <c r="TBA78" s="209"/>
      <c r="TBB78" s="209"/>
      <c r="TBC78" s="209"/>
      <c r="TBD78" s="209"/>
      <c r="TBE78" s="209"/>
      <c r="TBF78" s="209"/>
      <c r="TBG78" s="209"/>
      <c r="TBH78" s="209"/>
      <c r="TBI78" s="209"/>
      <c r="TBJ78" s="209"/>
      <c r="TBK78" s="209"/>
      <c r="TBL78" s="209"/>
      <c r="TBM78" s="209"/>
      <c r="TBN78" s="209"/>
      <c r="TBO78" s="209"/>
      <c r="TBP78" s="209"/>
      <c r="TBQ78" s="209"/>
      <c r="TBR78" s="209"/>
      <c r="TBS78" s="209"/>
      <c r="TBT78" s="209"/>
      <c r="TBU78" s="209"/>
      <c r="TBV78" s="209"/>
      <c r="TBW78" s="209"/>
      <c r="TBX78" s="209"/>
      <c r="TBY78" s="209"/>
      <c r="TBZ78" s="209"/>
      <c r="TCA78" s="209"/>
      <c r="TCB78" s="209"/>
      <c r="TCC78" s="209"/>
      <c r="TCD78" s="209"/>
      <c r="TCE78" s="209"/>
      <c r="TCF78" s="209"/>
      <c r="TCG78" s="209"/>
      <c r="TCH78" s="209"/>
      <c r="TCI78" s="209"/>
      <c r="TCJ78" s="209"/>
      <c r="TCK78" s="209"/>
      <c r="TCL78" s="209"/>
      <c r="TCM78" s="209"/>
      <c r="TCN78" s="209"/>
      <c r="TCO78" s="209"/>
      <c r="TCP78" s="209"/>
      <c r="TCQ78" s="209"/>
      <c r="TCR78" s="209"/>
      <c r="TCS78" s="209"/>
      <c r="TCT78" s="209"/>
      <c r="TCU78" s="209"/>
      <c r="TCV78" s="209"/>
      <c r="TCW78" s="209"/>
      <c r="TCX78" s="209"/>
      <c r="TCY78" s="209"/>
      <c r="TCZ78" s="209"/>
      <c r="TDA78" s="209"/>
      <c r="TDB78" s="209"/>
      <c r="TDC78" s="209"/>
      <c r="TDD78" s="209"/>
      <c r="TDE78" s="209"/>
      <c r="TDF78" s="209"/>
      <c r="TDG78" s="209"/>
      <c r="TDH78" s="209"/>
      <c r="TDI78" s="209"/>
      <c r="TDJ78" s="209"/>
      <c r="TDK78" s="209"/>
      <c r="TDL78" s="209"/>
      <c r="TDM78" s="209"/>
      <c r="TDN78" s="209"/>
      <c r="TDO78" s="209"/>
      <c r="TDP78" s="209"/>
      <c r="TDQ78" s="209"/>
      <c r="TDR78" s="209"/>
      <c r="TDS78" s="209"/>
      <c r="TDT78" s="209"/>
      <c r="TDU78" s="209"/>
      <c r="TDV78" s="209"/>
      <c r="TDW78" s="209"/>
      <c r="TDX78" s="209"/>
      <c r="TDY78" s="209"/>
      <c r="TDZ78" s="209"/>
      <c r="TEA78" s="209"/>
      <c r="TEB78" s="209"/>
      <c r="TEC78" s="209"/>
      <c r="TED78" s="209"/>
      <c r="TEE78" s="209"/>
      <c r="TEF78" s="209"/>
      <c r="TEG78" s="209"/>
      <c r="TEH78" s="209"/>
      <c r="TEI78" s="209"/>
      <c r="TEJ78" s="209"/>
      <c r="TEK78" s="209"/>
      <c r="TEL78" s="209"/>
      <c r="TEM78" s="209"/>
      <c r="TEN78" s="209"/>
      <c r="TEO78" s="209"/>
      <c r="TEP78" s="209"/>
      <c r="TEQ78" s="209"/>
      <c r="TER78" s="209"/>
      <c r="TES78" s="209"/>
      <c r="TET78" s="209"/>
      <c r="TEU78" s="209"/>
      <c r="TEV78" s="209"/>
      <c r="TEW78" s="209"/>
      <c r="TEX78" s="209"/>
      <c r="TEY78" s="209"/>
      <c r="TEZ78" s="209"/>
      <c r="TFA78" s="209"/>
      <c r="TFB78" s="209"/>
      <c r="TFC78" s="209"/>
      <c r="TFD78" s="209"/>
      <c r="TFE78" s="209"/>
      <c r="TFF78" s="209"/>
      <c r="TFG78" s="209"/>
      <c r="TFH78" s="209"/>
      <c r="TFI78" s="209"/>
      <c r="TFJ78" s="209"/>
      <c r="TFK78" s="209"/>
      <c r="TFL78" s="209"/>
      <c r="TFM78" s="209"/>
      <c r="TFN78" s="209"/>
      <c r="TFO78" s="209"/>
      <c r="TFP78" s="209"/>
      <c r="TFQ78" s="209"/>
      <c r="TFR78" s="209"/>
      <c r="TFS78" s="209"/>
      <c r="TFT78" s="209"/>
      <c r="TFU78" s="209"/>
      <c r="TFV78" s="209"/>
      <c r="TFW78" s="209"/>
      <c r="TFX78" s="209"/>
      <c r="TFY78" s="209"/>
      <c r="TFZ78" s="209"/>
      <c r="TGA78" s="209"/>
      <c r="TGB78" s="209"/>
      <c r="TGC78" s="209"/>
      <c r="TGD78" s="209"/>
      <c r="TGE78" s="209"/>
      <c r="TGF78" s="209"/>
      <c r="TGG78" s="209"/>
      <c r="TGH78" s="209"/>
      <c r="TGI78" s="209"/>
      <c r="TGJ78" s="209"/>
      <c r="TGK78" s="209"/>
      <c r="TGL78" s="209"/>
      <c r="TGM78" s="209"/>
      <c r="TGN78" s="209"/>
      <c r="TGO78" s="209"/>
      <c r="TGP78" s="209"/>
      <c r="TGQ78" s="209"/>
      <c r="TGR78" s="209"/>
      <c r="TGS78" s="209"/>
      <c r="TGT78" s="209"/>
      <c r="TGU78" s="209"/>
      <c r="TGV78" s="209"/>
      <c r="TGW78" s="209"/>
      <c r="TGX78" s="209"/>
      <c r="TGY78" s="209"/>
      <c r="TGZ78" s="209"/>
      <c r="THA78" s="209"/>
      <c r="THB78" s="209"/>
      <c r="THC78" s="209"/>
      <c r="THD78" s="209"/>
      <c r="THE78" s="209"/>
      <c r="THF78" s="209"/>
      <c r="THG78" s="209"/>
      <c r="THH78" s="209"/>
      <c r="THI78" s="209"/>
      <c r="THJ78" s="209"/>
      <c r="THK78" s="209"/>
      <c r="THL78" s="209"/>
      <c r="THM78" s="209"/>
      <c r="THN78" s="209"/>
      <c r="THO78" s="209"/>
      <c r="THP78" s="209"/>
      <c r="THQ78" s="209"/>
      <c r="THR78" s="209"/>
      <c r="THS78" s="209"/>
      <c r="THT78" s="209"/>
      <c r="THU78" s="209"/>
      <c r="THV78" s="209"/>
      <c r="THW78" s="209"/>
      <c r="THX78" s="209"/>
      <c r="THY78" s="209"/>
      <c r="THZ78" s="209"/>
      <c r="TIA78" s="209"/>
      <c r="TIB78" s="209"/>
      <c r="TIC78" s="209"/>
      <c r="TID78" s="209"/>
      <c r="TIE78" s="209"/>
      <c r="TIF78" s="209"/>
      <c r="TIG78" s="209"/>
      <c r="TIH78" s="209"/>
      <c r="TII78" s="209"/>
      <c r="TIJ78" s="209"/>
      <c r="TIK78" s="209"/>
      <c r="TIL78" s="209"/>
      <c r="TIM78" s="209"/>
      <c r="TIN78" s="209"/>
      <c r="TIO78" s="209"/>
      <c r="TIP78" s="209"/>
      <c r="TIQ78" s="209"/>
      <c r="TIR78" s="209"/>
      <c r="TIS78" s="209"/>
      <c r="TIT78" s="209"/>
      <c r="TIU78" s="209"/>
      <c r="TIV78" s="209"/>
      <c r="TIW78" s="209"/>
      <c r="TIX78" s="209"/>
      <c r="TIY78" s="209"/>
      <c r="TIZ78" s="209"/>
      <c r="TJA78" s="209"/>
      <c r="TJB78" s="209"/>
      <c r="TJC78" s="209"/>
      <c r="TJD78" s="209"/>
      <c r="TJE78" s="209"/>
      <c r="TJF78" s="209"/>
      <c r="TJG78" s="209"/>
      <c r="TJH78" s="209"/>
      <c r="TJI78" s="209"/>
      <c r="TJJ78" s="209"/>
      <c r="TJK78" s="209"/>
      <c r="TJL78" s="209"/>
      <c r="TJM78" s="209"/>
      <c r="TJN78" s="209"/>
      <c r="TJO78" s="209"/>
      <c r="TJP78" s="209"/>
      <c r="TJQ78" s="209"/>
      <c r="TJR78" s="209"/>
      <c r="TJS78" s="209"/>
      <c r="TJT78" s="209"/>
      <c r="TJU78" s="209"/>
      <c r="TJV78" s="209"/>
      <c r="TJW78" s="209"/>
      <c r="TJX78" s="209"/>
      <c r="TJY78" s="209"/>
      <c r="TJZ78" s="209"/>
      <c r="TKA78" s="209"/>
      <c r="TKB78" s="209"/>
      <c r="TKC78" s="209"/>
      <c r="TKD78" s="209"/>
      <c r="TKE78" s="209"/>
      <c r="TKF78" s="209"/>
      <c r="TKG78" s="209"/>
      <c r="TKH78" s="209"/>
      <c r="TKI78" s="209"/>
      <c r="TKJ78" s="209"/>
      <c r="TKK78" s="209"/>
      <c r="TKL78" s="209"/>
      <c r="TKM78" s="209"/>
      <c r="TKN78" s="209"/>
      <c r="TKO78" s="209"/>
      <c r="TKP78" s="209"/>
      <c r="TKQ78" s="209"/>
      <c r="TKR78" s="209"/>
      <c r="TKS78" s="209"/>
      <c r="TKT78" s="209"/>
      <c r="TKU78" s="209"/>
      <c r="TKV78" s="209"/>
      <c r="TKW78" s="209"/>
      <c r="TKX78" s="209"/>
      <c r="TKY78" s="209"/>
      <c r="TKZ78" s="209"/>
      <c r="TLA78" s="209"/>
      <c r="TLB78" s="209"/>
      <c r="TLC78" s="209"/>
      <c r="TLD78" s="209"/>
      <c r="TLE78" s="209"/>
      <c r="TLF78" s="209"/>
      <c r="TLG78" s="209"/>
      <c r="TLH78" s="209"/>
      <c r="TLI78" s="209"/>
      <c r="TLJ78" s="209"/>
      <c r="TLK78" s="209"/>
      <c r="TLL78" s="209"/>
      <c r="TLM78" s="209"/>
      <c r="TLN78" s="209"/>
      <c r="TLO78" s="209"/>
      <c r="TLP78" s="209"/>
      <c r="TLQ78" s="209"/>
      <c r="TLR78" s="209"/>
      <c r="TLS78" s="209"/>
      <c r="TLT78" s="209"/>
      <c r="TLU78" s="209"/>
      <c r="TLV78" s="209"/>
      <c r="TLW78" s="209"/>
      <c r="TLX78" s="209"/>
      <c r="TLY78" s="209"/>
      <c r="TLZ78" s="209"/>
      <c r="TMA78" s="209"/>
      <c r="TMB78" s="209"/>
      <c r="TMC78" s="209"/>
      <c r="TMD78" s="209"/>
      <c r="TME78" s="209"/>
      <c r="TMF78" s="209"/>
      <c r="TMG78" s="209"/>
      <c r="TMH78" s="209"/>
      <c r="TMI78" s="209"/>
      <c r="TMJ78" s="209"/>
      <c r="TMK78" s="209"/>
      <c r="TML78" s="209"/>
      <c r="TMM78" s="209"/>
      <c r="TMN78" s="209"/>
      <c r="TMO78" s="209"/>
      <c r="TMP78" s="209"/>
      <c r="TMQ78" s="209"/>
      <c r="TMR78" s="209"/>
      <c r="TMS78" s="209"/>
      <c r="TMT78" s="209"/>
      <c r="TMU78" s="209"/>
      <c r="TMV78" s="209"/>
      <c r="TMW78" s="209"/>
      <c r="TMX78" s="209"/>
      <c r="TMY78" s="209"/>
      <c r="TMZ78" s="209"/>
      <c r="TNA78" s="209"/>
      <c r="TNB78" s="209"/>
      <c r="TNC78" s="209"/>
      <c r="TND78" s="209"/>
      <c r="TNE78" s="209"/>
      <c r="TNF78" s="209"/>
      <c r="TNG78" s="209"/>
      <c r="TNH78" s="209"/>
      <c r="TNI78" s="209"/>
      <c r="TNJ78" s="209"/>
      <c r="TNK78" s="209"/>
      <c r="TNL78" s="209"/>
      <c r="TNM78" s="209"/>
      <c r="TNN78" s="209"/>
      <c r="TNO78" s="209"/>
      <c r="TNP78" s="209"/>
      <c r="TNQ78" s="209"/>
      <c r="TNR78" s="209"/>
      <c r="TNS78" s="209"/>
      <c r="TNT78" s="209"/>
      <c r="TNU78" s="209"/>
      <c r="TNV78" s="209"/>
      <c r="TNW78" s="209"/>
      <c r="TNX78" s="209"/>
      <c r="TNY78" s="209"/>
      <c r="TNZ78" s="209"/>
      <c r="TOA78" s="209"/>
      <c r="TOB78" s="209"/>
      <c r="TOC78" s="209"/>
      <c r="TOD78" s="209"/>
      <c r="TOE78" s="209"/>
      <c r="TOF78" s="209"/>
      <c r="TOG78" s="209"/>
      <c r="TOH78" s="209"/>
      <c r="TOI78" s="209"/>
      <c r="TOJ78" s="209"/>
      <c r="TOK78" s="209"/>
      <c r="TOL78" s="209"/>
      <c r="TOM78" s="209"/>
      <c r="TON78" s="209"/>
      <c r="TOO78" s="209"/>
      <c r="TOP78" s="209"/>
      <c r="TOQ78" s="209"/>
      <c r="TOR78" s="209"/>
      <c r="TOS78" s="209"/>
      <c r="TOT78" s="209"/>
      <c r="TOU78" s="209"/>
      <c r="TOV78" s="209"/>
      <c r="TOW78" s="209"/>
      <c r="TOX78" s="209"/>
      <c r="TOY78" s="209"/>
      <c r="TOZ78" s="209"/>
      <c r="TPA78" s="209"/>
      <c r="TPB78" s="209"/>
      <c r="TPC78" s="209"/>
      <c r="TPD78" s="209"/>
      <c r="TPE78" s="209"/>
      <c r="TPF78" s="209"/>
      <c r="TPG78" s="209"/>
      <c r="TPH78" s="209"/>
      <c r="TPI78" s="209"/>
      <c r="TPJ78" s="209"/>
      <c r="TPK78" s="209"/>
      <c r="TPL78" s="209"/>
      <c r="TPM78" s="209"/>
      <c r="TPN78" s="209"/>
      <c r="TPO78" s="209"/>
      <c r="TPP78" s="209"/>
      <c r="TPQ78" s="209"/>
      <c r="TPR78" s="209"/>
      <c r="TPS78" s="209"/>
      <c r="TPT78" s="209"/>
      <c r="TPU78" s="209"/>
      <c r="TPV78" s="209"/>
      <c r="TPW78" s="209"/>
      <c r="TPX78" s="209"/>
      <c r="TPY78" s="209"/>
      <c r="TPZ78" s="209"/>
      <c r="TQA78" s="209"/>
      <c r="TQB78" s="209"/>
      <c r="TQC78" s="209"/>
      <c r="TQD78" s="209"/>
      <c r="TQE78" s="209"/>
      <c r="TQF78" s="209"/>
      <c r="TQG78" s="209"/>
      <c r="TQH78" s="209"/>
      <c r="TQI78" s="209"/>
      <c r="TQJ78" s="209"/>
      <c r="TQK78" s="209"/>
      <c r="TQL78" s="209"/>
      <c r="TQM78" s="209"/>
      <c r="TQN78" s="209"/>
      <c r="TQO78" s="209"/>
      <c r="TQP78" s="209"/>
      <c r="TQQ78" s="209"/>
      <c r="TQR78" s="209"/>
      <c r="TQS78" s="209"/>
      <c r="TQT78" s="209"/>
      <c r="TQU78" s="209"/>
      <c r="TQV78" s="209"/>
      <c r="TQW78" s="209"/>
      <c r="TQX78" s="209"/>
      <c r="TQY78" s="209"/>
      <c r="TQZ78" s="209"/>
      <c r="TRA78" s="209"/>
      <c r="TRB78" s="209"/>
      <c r="TRC78" s="209"/>
      <c r="TRD78" s="209"/>
      <c r="TRE78" s="209"/>
      <c r="TRF78" s="209"/>
      <c r="TRG78" s="209"/>
      <c r="TRH78" s="209"/>
      <c r="TRI78" s="209"/>
      <c r="TRJ78" s="209"/>
      <c r="TRK78" s="209"/>
      <c r="TRL78" s="209"/>
      <c r="TRM78" s="209"/>
      <c r="TRN78" s="209"/>
      <c r="TRO78" s="209"/>
      <c r="TRP78" s="209"/>
      <c r="TRQ78" s="209"/>
      <c r="TRR78" s="209"/>
      <c r="TRS78" s="209"/>
      <c r="TRT78" s="209"/>
      <c r="TRU78" s="209"/>
      <c r="TRV78" s="209"/>
      <c r="TRW78" s="209"/>
      <c r="TRX78" s="209"/>
      <c r="TRY78" s="209"/>
      <c r="TRZ78" s="209"/>
      <c r="TSA78" s="209"/>
      <c r="TSB78" s="209"/>
      <c r="TSC78" s="209"/>
      <c r="TSD78" s="209"/>
      <c r="TSE78" s="209"/>
      <c r="TSF78" s="209"/>
      <c r="TSG78" s="209"/>
      <c r="TSH78" s="209"/>
      <c r="TSI78" s="209"/>
      <c r="TSJ78" s="209"/>
      <c r="TSK78" s="209"/>
      <c r="TSL78" s="209"/>
      <c r="TSM78" s="209"/>
      <c r="TSN78" s="209"/>
      <c r="TSO78" s="209"/>
      <c r="TSP78" s="209"/>
      <c r="TSQ78" s="209"/>
      <c r="TSR78" s="209"/>
      <c r="TSS78" s="209"/>
      <c r="TST78" s="209"/>
      <c r="TSU78" s="209"/>
      <c r="TSV78" s="209"/>
      <c r="TSW78" s="209"/>
      <c r="TSX78" s="209"/>
      <c r="TSY78" s="209"/>
      <c r="TSZ78" s="209"/>
      <c r="TTA78" s="209"/>
      <c r="TTB78" s="209"/>
      <c r="TTC78" s="209"/>
      <c r="TTD78" s="209"/>
      <c r="TTE78" s="209"/>
      <c r="TTF78" s="209"/>
      <c r="TTG78" s="209"/>
      <c r="TTH78" s="209"/>
      <c r="TTI78" s="209"/>
      <c r="TTJ78" s="209"/>
      <c r="TTK78" s="209"/>
      <c r="TTL78" s="209"/>
      <c r="TTM78" s="209"/>
      <c r="TTN78" s="209"/>
      <c r="TTO78" s="209"/>
      <c r="TTP78" s="209"/>
      <c r="TTQ78" s="209"/>
      <c r="TTR78" s="209"/>
      <c r="TTS78" s="209"/>
      <c r="TTT78" s="209"/>
      <c r="TTU78" s="209"/>
      <c r="TTV78" s="209"/>
      <c r="TTW78" s="209"/>
      <c r="TTX78" s="209"/>
      <c r="TTY78" s="209"/>
      <c r="TTZ78" s="209"/>
      <c r="TUA78" s="209"/>
      <c r="TUB78" s="209"/>
      <c r="TUC78" s="209"/>
      <c r="TUD78" s="209"/>
      <c r="TUE78" s="209"/>
      <c r="TUF78" s="209"/>
      <c r="TUG78" s="209"/>
      <c r="TUH78" s="209"/>
      <c r="TUI78" s="209"/>
      <c r="TUJ78" s="209"/>
      <c r="TUK78" s="209"/>
      <c r="TUL78" s="209"/>
      <c r="TUM78" s="209"/>
      <c r="TUN78" s="209"/>
      <c r="TUO78" s="209"/>
      <c r="TUP78" s="209"/>
      <c r="TUQ78" s="209"/>
      <c r="TUR78" s="209"/>
      <c r="TUS78" s="209"/>
      <c r="TUT78" s="209"/>
      <c r="TUU78" s="209"/>
      <c r="TUV78" s="209"/>
      <c r="TUW78" s="209"/>
      <c r="TUX78" s="209"/>
      <c r="TUY78" s="209"/>
      <c r="TUZ78" s="209"/>
      <c r="TVA78" s="209"/>
      <c r="TVB78" s="209"/>
      <c r="TVC78" s="209"/>
      <c r="TVD78" s="209"/>
      <c r="TVE78" s="209"/>
      <c r="TVF78" s="209"/>
      <c r="TVG78" s="209"/>
      <c r="TVH78" s="209"/>
      <c r="TVI78" s="209"/>
      <c r="TVJ78" s="209"/>
      <c r="TVK78" s="209"/>
      <c r="TVL78" s="209"/>
      <c r="TVM78" s="209"/>
      <c r="TVN78" s="209"/>
      <c r="TVO78" s="209"/>
      <c r="TVP78" s="209"/>
      <c r="TVQ78" s="209"/>
      <c r="TVR78" s="209"/>
      <c r="TVS78" s="209"/>
      <c r="TVT78" s="209"/>
      <c r="TVU78" s="209"/>
      <c r="TVV78" s="209"/>
      <c r="TVW78" s="209"/>
      <c r="TVX78" s="209"/>
      <c r="TVY78" s="209"/>
      <c r="TVZ78" s="209"/>
      <c r="TWA78" s="209"/>
      <c r="TWB78" s="209"/>
      <c r="TWC78" s="209"/>
      <c r="TWD78" s="209"/>
      <c r="TWE78" s="209"/>
      <c r="TWF78" s="209"/>
      <c r="TWG78" s="209"/>
      <c r="TWH78" s="209"/>
      <c r="TWI78" s="209"/>
      <c r="TWJ78" s="209"/>
      <c r="TWK78" s="209"/>
      <c r="TWL78" s="209"/>
      <c r="TWM78" s="209"/>
      <c r="TWN78" s="209"/>
      <c r="TWO78" s="209"/>
      <c r="TWP78" s="209"/>
      <c r="TWQ78" s="209"/>
      <c r="TWR78" s="209"/>
      <c r="TWS78" s="209"/>
      <c r="TWT78" s="209"/>
      <c r="TWU78" s="209"/>
      <c r="TWV78" s="209"/>
      <c r="TWW78" s="209"/>
      <c r="TWX78" s="209"/>
      <c r="TWY78" s="209"/>
      <c r="TWZ78" s="209"/>
      <c r="TXA78" s="209"/>
      <c r="TXB78" s="209"/>
      <c r="TXC78" s="209"/>
      <c r="TXD78" s="209"/>
      <c r="TXE78" s="209"/>
      <c r="TXF78" s="209"/>
      <c r="TXG78" s="209"/>
      <c r="TXH78" s="209"/>
      <c r="TXI78" s="209"/>
      <c r="TXJ78" s="209"/>
      <c r="TXK78" s="209"/>
      <c r="TXL78" s="209"/>
      <c r="TXM78" s="209"/>
      <c r="TXN78" s="209"/>
      <c r="TXO78" s="209"/>
      <c r="TXP78" s="209"/>
      <c r="TXQ78" s="209"/>
      <c r="TXR78" s="209"/>
      <c r="TXS78" s="209"/>
      <c r="TXT78" s="209"/>
      <c r="TXU78" s="209"/>
      <c r="TXV78" s="209"/>
      <c r="TXW78" s="209"/>
      <c r="TXX78" s="209"/>
      <c r="TXY78" s="209"/>
      <c r="TXZ78" s="209"/>
      <c r="TYA78" s="209"/>
      <c r="TYB78" s="209"/>
      <c r="TYC78" s="209"/>
      <c r="TYD78" s="209"/>
      <c r="TYE78" s="209"/>
      <c r="TYF78" s="209"/>
      <c r="TYG78" s="209"/>
      <c r="TYH78" s="209"/>
      <c r="TYI78" s="209"/>
      <c r="TYJ78" s="209"/>
      <c r="TYK78" s="209"/>
      <c r="TYL78" s="209"/>
      <c r="TYM78" s="209"/>
      <c r="TYN78" s="209"/>
      <c r="TYO78" s="209"/>
      <c r="TYP78" s="209"/>
      <c r="TYQ78" s="209"/>
      <c r="TYR78" s="209"/>
      <c r="TYS78" s="209"/>
      <c r="TYT78" s="209"/>
      <c r="TYU78" s="209"/>
      <c r="TYV78" s="209"/>
      <c r="TYW78" s="209"/>
      <c r="TYX78" s="209"/>
      <c r="TYY78" s="209"/>
      <c r="TYZ78" s="209"/>
      <c r="TZA78" s="209"/>
      <c r="TZB78" s="209"/>
      <c r="TZC78" s="209"/>
      <c r="TZD78" s="209"/>
      <c r="TZE78" s="209"/>
      <c r="TZF78" s="209"/>
      <c r="TZG78" s="209"/>
      <c r="TZH78" s="209"/>
      <c r="TZI78" s="209"/>
      <c r="TZJ78" s="209"/>
      <c r="TZK78" s="209"/>
      <c r="TZL78" s="209"/>
      <c r="TZM78" s="209"/>
      <c r="TZN78" s="209"/>
      <c r="TZO78" s="209"/>
      <c r="TZP78" s="209"/>
      <c r="TZQ78" s="209"/>
      <c r="TZR78" s="209"/>
      <c r="TZS78" s="209"/>
      <c r="TZT78" s="209"/>
      <c r="TZU78" s="209"/>
      <c r="TZV78" s="209"/>
      <c r="TZW78" s="209"/>
      <c r="TZX78" s="209"/>
      <c r="TZY78" s="209"/>
      <c r="TZZ78" s="209"/>
      <c r="UAA78" s="209"/>
      <c r="UAB78" s="209"/>
      <c r="UAC78" s="209"/>
      <c r="UAD78" s="209"/>
      <c r="UAE78" s="209"/>
      <c r="UAF78" s="209"/>
      <c r="UAG78" s="209"/>
      <c r="UAH78" s="209"/>
      <c r="UAI78" s="209"/>
      <c r="UAJ78" s="209"/>
      <c r="UAK78" s="209"/>
      <c r="UAL78" s="209"/>
      <c r="UAM78" s="209"/>
      <c r="UAN78" s="209"/>
      <c r="UAO78" s="209"/>
      <c r="UAP78" s="209"/>
      <c r="UAQ78" s="209"/>
      <c r="UAR78" s="209"/>
      <c r="UAS78" s="209"/>
      <c r="UAT78" s="209"/>
      <c r="UAU78" s="209"/>
      <c r="UAV78" s="209"/>
      <c r="UAW78" s="209"/>
      <c r="UAX78" s="209"/>
      <c r="UAY78" s="209"/>
      <c r="UAZ78" s="209"/>
      <c r="UBA78" s="209"/>
      <c r="UBB78" s="209"/>
      <c r="UBC78" s="209"/>
      <c r="UBD78" s="209"/>
      <c r="UBE78" s="209"/>
      <c r="UBF78" s="209"/>
      <c r="UBG78" s="209"/>
      <c r="UBH78" s="209"/>
      <c r="UBI78" s="209"/>
      <c r="UBJ78" s="209"/>
      <c r="UBK78" s="209"/>
      <c r="UBL78" s="209"/>
      <c r="UBM78" s="209"/>
      <c r="UBN78" s="209"/>
      <c r="UBO78" s="209"/>
      <c r="UBP78" s="209"/>
      <c r="UBQ78" s="209"/>
      <c r="UBR78" s="209"/>
      <c r="UBS78" s="209"/>
      <c r="UBT78" s="209"/>
      <c r="UBU78" s="209"/>
      <c r="UBV78" s="209"/>
      <c r="UBW78" s="209"/>
      <c r="UBX78" s="209"/>
      <c r="UBY78" s="209"/>
      <c r="UBZ78" s="209"/>
      <c r="UCA78" s="209"/>
      <c r="UCB78" s="209"/>
      <c r="UCC78" s="209"/>
      <c r="UCD78" s="209"/>
      <c r="UCE78" s="209"/>
      <c r="UCF78" s="209"/>
      <c r="UCG78" s="209"/>
      <c r="UCH78" s="209"/>
      <c r="UCI78" s="209"/>
      <c r="UCJ78" s="209"/>
      <c r="UCK78" s="209"/>
      <c r="UCL78" s="209"/>
      <c r="UCM78" s="209"/>
      <c r="UCN78" s="209"/>
      <c r="UCO78" s="209"/>
      <c r="UCP78" s="209"/>
      <c r="UCQ78" s="209"/>
      <c r="UCR78" s="209"/>
      <c r="UCS78" s="209"/>
      <c r="UCT78" s="209"/>
      <c r="UCU78" s="209"/>
      <c r="UCV78" s="209"/>
      <c r="UCW78" s="209"/>
      <c r="UCX78" s="209"/>
      <c r="UCY78" s="209"/>
      <c r="UCZ78" s="209"/>
      <c r="UDA78" s="209"/>
      <c r="UDB78" s="209"/>
      <c r="UDC78" s="209"/>
      <c r="UDD78" s="209"/>
      <c r="UDE78" s="209"/>
      <c r="UDF78" s="209"/>
      <c r="UDG78" s="209"/>
      <c r="UDH78" s="209"/>
      <c r="UDI78" s="209"/>
      <c r="UDJ78" s="209"/>
      <c r="UDK78" s="209"/>
      <c r="UDL78" s="209"/>
      <c r="UDM78" s="209"/>
      <c r="UDN78" s="209"/>
      <c r="UDO78" s="209"/>
      <c r="UDP78" s="209"/>
      <c r="UDQ78" s="209"/>
      <c r="UDR78" s="209"/>
      <c r="UDS78" s="209"/>
      <c r="UDT78" s="209"/>
      <c r="UDU78" s="209"/>
      <c r="UDV78" s="209"/>
      <c r="UDW78" s="209"/>
      <c r="UDX78" s="209"/>
      <c r="UDY78" s="209"/>
      <c r="UDZ78" s="209"/>
      <c r="UEA78" s="209"/>
      <c r="UEB78" s="209"/>
      <c r="UEC78" s="209"/>
      <c r="UED78" s="209"/>
      <c r="UEE78" s="209"/>
      <c r="UEF78" s="209"/>
      <c r="UEG78" s="209"/>
      <c r="UEH78" s="209"/>
      <c r="UEI78" s="209"/>
      <c r="UEJ78" s="209"/>
      <c r="UEK78" s="209"/>
      <c r="UEL78" s="209"/>
      <c r="UEM78" s="209"/>
      <c r="UEN78" s="209"/>
      <c r="UEO78" s="209"/>
      <c r="UEP78" s="209"/>
      <c r="UEQ78" s="209"/>
      <c r="UER78" s="209"/>
      <c r="UES78" s="209"/>
      <c r="UET78" s="209"/>
      <c r="UEU78" s="209"/>
      <c r="UEV78" s="209"/>
      <c r="UEW78" s="209"/>
      <c r="UEX78" s="209"/>
      <c r="UEY78" s="209"/>
      <c r="UEZ78" s="209"/>
      <c r="UFA78" s="209"/>
      <c r="UFB78" s="209"/>
      <c r="UFC78" s="209"/>
      <c r="UFD78" s="209"/>
      <c r="UFE78" s="209"/>
      <c r="UFF78" s="209"/>
      <c r="UFG78" s="209"/>
      <c r="UFH78" s="209"/>
      <c r="UFI78" s="209"/>
      <c r="UFJ78" s="209"/>
      <c r="UFK78" s="209"/>
      <c r="UFL78" s="209"/>
      <c r="UFM78" s="209"/>
      <c r="UFN78" s="209"/>
      <c r="UFO78" s="209"/>
      <c r="UFP78" s="209"/>
      <c r="UFQ78" s="209"/>
      <c r="UFR78" s="209"/>
      <c r="UFS78" s="209"/>
      <c r="UFT78" s="209"/>
      <c r="UFU78" s="209"/>
      <c r="UFV78" s="209"/>
      <c r="UFW78" s="209"/>
      <c r="UFX78" s="209"/>
      <c r="UFY78" s="209"/>
      <c r="UFZ78" s="209"/>
      <c r="UGA78" s="209"/>
      <c r="UGB78" s="209"/>
      <c r="UGC78" s="209"/>
      <c r="UGD78" s="209"/>
      <c r="UGE78" s="209"/>
      <c r="UGF78" s="209"/>
      <c r="UGG78" s="209"/>
      <c r="UGH78" s="209"/>
      <c r="UGI78" s="209"/>
      <c r="UGJ78" s="209"/>
      <c r="UGK78" s="209"/>
      <c r="UGL78" s="209"/>
      <c r="UGM78" s="209"/>
      <c r="UGN78" s="209"/>
      <c r="UGO78" s="209"/>
      <c r="UGP78" s="209"/>
      <c r="UGQ78" s="209"/>
      <c r="UGR78" s="209"/>
      <c r="UGS78" s="209"/>
      <c r="UGT78" s="209"/>
      <c r="UGU78" s="209"/>
      <c r="UGV78" s="209"/>
      <c r="UGW78" s="209"/>
      <c r="UGX78" s="209"/>
      <c r="UGY78" s="209"/>
      <c r="UGZ78" s="209"/>
      <c r="UHA78" s="209"/>
      <c r="UHB78" s="209"/>
      <c r="UHC78" s="209"/>
      <c r="UHD78" s="209"/>
      <c r="UHE78" s="209"/>
      <c r="UHF78" s="209"/>
      <c r="UHG78" s="209"/>
      <c r="UHH78" s="209"/>
      <c r="UHI78" s="209"/>
      <c r="UHJ78" s="209"/>
      <c r="UHK78" s="209"/>
      <c r="UHL78" s="209"/>
      <c r="UHM78" s="209"/>
      <c r="UHN78" s="209"/>
      <c r="UHO78" s="209"/>
      <c r="UHP78" s="209"/>
      <c r="UHQ78" s="209"/>
      <c r="UHR78" s="209"/>
      <c r="UHS78" s="209"/>
      <c r="UHT78" s="209"/>
      <c r="UHU78" s="209"/>
      <c r="UHV78" s="209"/>
      <c r="UHW78" s="209"/>
      <c r="UHX78" s="209"/>
      <c r="UHY78" s="209"/>
      <c r="UHZ78" s="209"/>
      <c r="UIA78" s="209"/>
      <c r="UIB78" s="209"/>
      <c r="UIC78" s="209"/>
      <c r="UID78" s="209"/>
      <c r="UIE78" s="209"/>
      <c r="UIF78" s="209"/>
      <c r="UIG78" s="209"/>
      <c r="UIH78" s="209"/>
      <c r="UII78" s="209"/>
      <c r="UIJ78" s="209"/>
      <c r="UIK78" s="209"/>
      <c r="UIL78" s="209"/>
      <c r="UIM78" s="209"/>
      <c r="UIN78" s="209"/>
      <c r="UIO78" s="209"/>
      <c r="UIP78" s="209"/>
      <c r="UIQ78" s="209"/>
      <c r="UIR78" s="209"/>
      <c r="UIS78" s="209"/>
      <c r="UIT78" s="209"/>
      <c r="UIU78" s="209"/>
      <c r="UIV78" s="209"/>
      <c r="UIW78" s="209"/>
      <c r="UIX78" s="209"/>
      <c r="UIY78" s="209"/>
      <c r="UIZ78" s="209"/>
      <c r="UJA78" s="209"/>
      <c r="UJB78" s="209"/>
      <c r="UJC78" s="209"/>
      <c r="UJD78" s="209"/>
      <c r="UJE78" s="209"/>
      <c r="UJF78" s="209"/>
      <c r="UJG78" s="209"/>
      <c r="UJH78" s="209"/>
      <c r="UJI78" s="209"/>
      <c r="UJJ78" s="209"/>
      <c r="UJK78" s="209"/>
      <c r="UJL78" s="209"/>
      <c r="UJM78" s="209"/>
      <c r="UJN78" s="209"/>
      <c r="UJO78" s="209"/>
      <c r="UJP78" s="209"/>
      <c r="UJQ78" s="209"/>
      <c r="UJR78" s="209"/>
      <c r="UJS78" s="209"/>
      <c r="UJT78" s="209"/>
      <c r="UJU78" s="209"/>
      <c r="UJV78" s="209"/>
      <c r="UJW78" s="209"/>
      <c r="UJX78" s="209"/>
      <c r="UJY78" s="209"/>
      <c r="UJZ78" s="209"/>
      <c r="UKA78" s="209"/>
      <c r="UKB78" s="209"/>
      <c r="UKC78" s="209"/>
      <c r="UKD78" s="209"/>
      <c r="UKE78" s="209"/>
      <c r="UKF78" s="209"/>
      <c r="UKG78" s="209"/>
      <c r="UKH78" s="209"/>
      <c r="UKI78" s="209"/>
      <c r="UKJ78" s="209"/>
      <c r="UKK78" s="209"/>
      <c r="UKL78" s="209"/>
      <c r="UKM78" s="209"/>
      <c r="UKN78" s="209"/>
      <c r="UKO78" s="209"/>
      <c r="UKP78" s="209"/>
      <c r="UKQ78" s="209"/>
      <c r="UKR78" s="209"/>
      <c r="UKS78" s="209"/>
      <c r="UKT78" s="209"/>
      <c r="UKU78" s="209"/>
      <c r="UKV78" s="209"/>
      <c r="UKW78" s="209"/>
      <c r="UKX78" s="209"/>
      <c r="UKY78" s="209"/>
      <c r="UKZ78" s="209"/>
      <c r="ULA78" s="209"/>
      <c r="ULB78" s="209"/>
      <c r="ULC78" s="209"/>
      <c r="ULD78" s="209"/>
      <c r="ULE78" s="209"/>
      <c r="ULF78" s="209"/>
      <c r="ULG78" s="209"/>
      <c r="ULH78" s="209"/>
      <c r="ULI78" s="209"/>
      <c r="ULJ78" s="209"/>
      <c r="ULK78" s="209"/>
      <c r="ULL78" s="209"/>
      <c r="ULM78" s="209"/>
      <c r="ULN78" s="209"/>
      <c r="ULO78" s="209"/>
      <c r="ULP78" s="209"/>
      <c r="ULQ78" s="209"/>
      <c r="ULR78" s="209"/>
      <c r="ULS78" s="209"/>
      <c r="ULT78" s="209"/>
      <c r="ULU78" s="209"/>
      <c r="ULV78" s="209"/>
      <c r="ULW78" s="209"/>
      <c r="ULX78" s="209"/>
      <c r="ULY78" s="209"/>
      <c r="ULZ78" s="209"/>
      <c r="UMA78" s="209"/>
      <c r="UMB78" s="209"/>
      <c r="UMC78" s="209"/>
      <c r="UMD78" s="209"/>
      <c r="UME78" s="209"/>
      <c r="UMF78" s="209"/>
      <c r="UMG78" s="209"/>
      <c r="UMH78" s="209"/>
      <c r="UMI78" s="209"/>
      <c r="UMJ78" s="209"/>
      <c r="UMK78" s="209"/>
      <c r="UML78" s="209"/>
      <c r="UMM78" s="209"/>
      <c r="UMN78" s="209"/>
      <c r="UMO78" s="209"/>
      <c r="UMP78" s="209"/>
      <c r="UMQ78" s="209"/>
      <c r="UMR78" s="209"/>
      <c r="UMS78" s="209"/>
      <c r="UMT78" s="209"/>
      <c r="UMU78" s="209"/>
      <c r="UMV78" s="209"/>
      <c r="UMW78" s="209"/>
      <c r="UMX78" s="209"/>
      <c r="UMY78" s="209"/>
      <c r="UMZ78" s="209"/>
      <c r="UNA78" s="209"/>
      <c r="UNB78" s="209"/>
      <c r="UNC78" s="209"/>
      <c r="UND78" s="209"/>
      <c r="UNE78" s="209"/>
      <c r="UNF78" s="209"/>
      <c r="UNG78" s="209"/>
      <c r="UNH78" s="209"/>
      <c r="UNI78" s="209"/>
      <c r="UNJ78" s="209"/>
      <c r="UNK78" s="209"/>
      <c r="UNL78" s="209"/>
      <c r="UNM78" s="209"/>
      <c r="UNN78" s="209"/>
      <c r="UNO78" s="209"/>
      <c r="UNP78" s="209"/>
      <c r="UNQ78" s="209"/>
      <c r="UNR78" s="209"/>
      <c r="UNS78" s="209"/>
      <c r="UNT78" s="209"/>
      <c r="UNU78" s="209"/>
      <c r="UNV78" s="209"/>
      <c r="UNW78" s="209"/>
      <c r="UNX78" s="209"/>
      <c r="UNY78" s="209"/>
      <c r="UNZ78" s="209"/>
      <c r="UOA78" s="209"/>
      <c r="UOB78" s="209"/>
      <c r="UOC78" s="209"/>
      <c r="UOD78" s="209"/>
      <c r="UOE78" s="209"/>
      <c r="UOF78" s="209"/>
      <c r="UOG78" s="209"/>
      <c r="UOH78" s="209"/>
      <c r="UOI78" s="209"/>
      <c r="UOJ78" s="209"/>
      <c r="UOK78" s="209"/>
      <c r="UOL78" s="209"/>
      <c r="UOM78" s="209"/>
      <c r="UON78" s="209"/>
      <c r="UOO78" s="209"/>
      <c r="UOP78" s="209"/>
      <c r="UOQ78" s="209"/>
      <c r="UOR78" s="209"/>
      <c r="UOS78" s="209"/>
      <c r="UOT78" s="209"/>
      <c r="UOU78" s="209"/>
      <c r="UOV78" s="209"/>
      <c r="UOW78" s="209"/>
      <c r="UOX78" s="209"/>
      <c r="UOY78" s="209"/>
      <c r="UOZ78" s="209"/>
      <c r="UPA78" s="209"/>
      <c r="UPB78" s="209"/>
      <c r="UPC78" s="209"/>
      <c r="UPD78" s="209"/>
      <c r="UPE78" s="209"/>
      <c r="UPF78" s="209"/>
      <c r="UPG78" s="209"/>
      <c r="UPH78" s="209"/>
      <c r="UPI78" s="209"/>
      <c r="UPJ78" s="209"/>
      <c r="UPK78" s="209"/>
      <c r="UPL78" s="209"/>
      <c r="UPM78" s="209"/>
      <c r="UPN78" s="209"/>
      <c r="UPO78" s="209"/>
      <c r="UPP78" s="209"/>
      <c r="UPQ78" s="209"/>
      <c r="UPR78" s="209"/>
      <c r="UPS78" s="209"/>
      <c r="UPT78" s="209"/>
      <c r="UPU78" s="209"/>
      <c r="UPV78" s="209"/>
      <c r="UPW78" s="209"/>
      <c r="UPX78" s="209"/>
      <c r="UPY78" s="209"/>
      <c r="UPZ78" s="209"/>
      <c r="UQA78" s="209"/>
      <c r="UQB78" s="209"/>
      <c r="UQC78" s="209"/>
      <c r="UQD78" s="209"/>
      <c r="UQE78" s="209"/>
      <c r="UQF78" s="209"/>
      <c r="UQG78" s="209"/>
      <c r="UQH78" s="209"/>
      <c r="UQI78" s="209"/>
      <c r="UQJ78" s="209"/>
      <c r="UQK78" s="209"/>
      <c r="UQL78" s="209"/>
      <c r="UQM78" s="209"/>
      <c r="UQN78" s="209"/>
      <c r="UQO78" s="209"/>
      <c r="UQP78" s="209"/>
      <c r="UQQ78" s="209"/>
      <c r="UQR78" s="209"/>
      <c r="UQS78" s="209"/>
      <c r="UQT78" s="209"/>
      <c r="UQU78" s="209"/>
      <c r="UQV78" s="209"/>
      <c r="UQW78" s="209"/>
      <c r="UQX78" s="209"/>
      <c r="UQY78" s="209"/>
      <c r="UQZ78" s="209"/>
      <c r="URA78" s="209"/>
      <c r="URB78" s="209"/>
      <c r="URC78" s="209"/>
      <c r="URD78" s="209"/>
      <c r="URE78" s="209"/>
      <c r="URF78" s="209"/>
      <c r="URG78" s="209"/>
      <c r="URH78" s="209"/>
      <c r="URI78" s="209"/>
      <c r="URJ78" s="209"/>
      <c r="URK78" s="209"/>
      <c r="URL78" s="209"/>
      <c r="URM78" s="209"/>
      <c r="URN78" s="209"/>
      <c r="URO78" s="209"/>
      <c r="URP78" s="209"/>
      <c r="URQ78" s="209"/>
      <c r="URR78" s="209"/>
      <c r="URS78" s="209"/>
      <c r="URT78" s="209"/>
      <c r="URU78" s="209"/>
      <c r="URV78" s="209"/>
      <c r="URW78" s="209"/>
      <c r="URX78" s="209"/>
      <c r="URY78" s="209"/>
      <c r="URZ78" s="209"/>
      <c r="USA78" s="209"/>
      <c r="USB78" s="209"/>
      <c r="USC78" s="209"/>
      <c r="USD78" s="209"/>
      <c r="USE78" s="209"/>
      <c r="USF78" s="209"/>
      <c r="USG78" s="209"/>
      <c r="USH78" s="209"/>
      <c r="USI78" s="209"/>
      <c r="USJ78" s="209"/>
      <c r="USK78" s="209"/>
      <c r="USL78" s="209"/>
      <c r="USM78" s="209"/>
      <c r="USN78" s="209"/>
      <c r="USO78" s="209"/>
      <c r="USP78" s="209"/>
      <c r="USQ78" s="209"/>
      <c r="USR78" s="209"/>
      <c r="USS78" s="209"/>
      <c r="UST78" s="209"/>
      <c r="USU78" s="209"/>
      <c r="USV78" s="209"/>
      <c r="USW78" s="209"/>
      <c r="USX78" s="209"/>
      <c r="USY78" s="209"/>
      <c r="USZ78" s="209"/>
      <c r="UTA78" s="209"/>
      <c r="UTB78" s="209"/>
      <c r="UTC78" s="209"/>
      <c r="UTD78" s="209"/>
      <c r="UTE78" s="209"/>
      <c r="UTF78" s="209"/>
      <c r="UTG78" s="209"/>
      <c r="UTH78" s="209"/>
      <c r="UTI78" s="209"/>
      <c r="UTJ78" s="209"/>
      <c r="UTK78" s="209"/>
      <c r="UTL78" s="209"/>
      <c r="UTM78" s="209"/>
      <c r="UTN78" s="209"/>
      <c r="UTO78" s="209"/>
      <c r="UTP78" s="209"/>
      <c r="UTQ78" s="209"/>
      <c r="UTR78" s="209"/>
      <c r="UTS78" s="209"/>
      <c r="UTT78" s="209"/>
      <c r="UTU78" s="209"/>
      <c r="UTV78" s="209"/>
      <c r="UTW78" s="209"/>
      <c r="UTX78" s="209"/>
      <c r="UTY78" s="209"/>
      <c r="UTZ78" s="209"/>
      <c r="UUA78" s="209"/>
      <c r="UUB78" s="209"/>
      <c r="UUC78" s="209"/>
      <c r="UUD78" s="209"/>
      <c r="UUE78" s="209"/>
      <c r="UUF78" s="209"/>
      <c r="UUG78" s="209"/>
      <c r="UUH78" s="209"/>
      <c r="UUI78" s="209"/>
      <c r="UUJ78" s="209"/>
      <c r="UUK78" s="209"/>
      <c r="UUL78" s="209"/>
      <c r="UUM78" s="209"/>
      <c r="UUN78" s="209"/>
      <c r="UUO78" s="209"/>
      <c r="UUP78" s="209"/>
      <c r="UUQ78" s="209"/>
      <c r="UUR78" s="209"/>
      <c r="UUS78" s="209"/>
      <c r="UUT78" s="209"/>
      <c r="UUU78" s="209"/>
      <c r="UUV78" s="209"/>
      <c r="UUW78" s="209"/>
      <c r="UUX78" s="209"/>
      <c r="UUY78" s="209"/>
      <c r="UUZ78" s="209"/>
      <c r="UVA78" s="209"/>
      <c r="UVB78" s="209"/>
      <c r="UVC78" s="209"/>
      <c r="UVD78" s="209"/>
      <c r="UVE78" s="209"/>
      <c r="UVF78" s="209"/>
      <c r="UVG78" s="209"/>
      <c r="UVH78" s="209"/>
      <c r="UVI78" s="209"/>
      <c r="UVJ78" s="209"/>
      <c r="UVK78" s="209"/>
      <c r="UVL78" s="209"/>
      <c r="UVM78" s="209"/>
      <c r="UVN78" s="209"/>
      <c r="UVO78" s="209"/>
      <c r="UVP78" s="209"/>
      <c r="UVQ78" s="209"/>
      <c r="UVR78" s="209"/>
      <c r="UVS78" s="209"/>
      <c r="UVT78" s="209"/>
      <c r="UVU78" s="209"/>
      <c r="UVV78" s="209"/>
      <c r="UVW78" s="209"/>
      <c r="UVX78" s="209"/>
      <c r="UVY78" s="209"/>
      <c r="UVZ78" s="209"/>
      <c r="UWA78" s="209"/>
      <c r="UWB78" s="209"/>
      <c r="UWC78" s="209"/>
      <c r="UWD78" s="209"/>
      <c r="UWE78" s="209"/>
      <c r="UWF78" s="209"/>
      <c r="UWG78" s="209"/>
      <c r="UWH78" s="209"/>
      <c r="UWI78" s="209"/>
      <c r="UWJ78" s="209"/>
      <c r="UWK78" s="209"/>
      <c r="UWL78" s="209"/>
      <c r="UWM78" s="209"/>
      <c r="UWN78" s="209"/>
      <c r="UWO78" s="209"/>
      <c r="UWP78" s="209"/>
      <c r="UWQ78" s="209"/>
      <c r="UWR78" s="209"/>
      <c r="UWS78" s="209"/>
      <c r="UWT78" s="209"/>
      <c r="UWU78" s="209"/>
      <c r="UWV78" s="209"/>
      <c r="UWW78" s="209"/>
      <c r="UWX78" s="209"/>
      <c r="UWY78" s="209"/>
      <c r="UWZ78" s="209"/>
      <c r="UXA78" s="209"/>
      <c r="UXB78" s="209"/>
      <c r="UXC78" s="209"/>
      <c r="UXD78" s="209"/>
      <c r="UXE78" s="209"/>
      <c r="UXF78" s="209"/>
      <c r="UXG78" s="209"/>
      <c r="UXH78" s="209"/>
      <c r="UXI78" s="209"/>
      <c r="UXJ78" s="209"/>
      <c r="UXK78" s="209"/>
      <c r="UXL78" s="209"/>
      <c r="UXM78" s="209"/>
      <c r="UXN78" s="209"/>
      <c r="UXO78" s="209"/>
      <c r="UXP78" s="209"/>
      <c r="UXQ78" s="209"/>
      <c r="UXR78" s="209"/>
      <c r="UXS78" s="209"/>
      <c r="UXT78" s="209"/>
      <c r="UXU78" s="209"/>
      <c r="UXV78" s="209"/>
      <c r="UXW78" s="209"/>
      <c r="UXX78" s="209"/>
      <c r="UXY78" s="209"/>
      <c r="UXZ78" s="209"/>
      <c r="UYA78" s="209"/>
      <c r="UYB78" s="209"/>
      <c r="UYC78" s="209"/>
      <c r="UYD78" s="209"/>
      <c r="UYE78" s="209"/>
      <c r="UYF78" s="209"/>
      <c r="UYG78" s="209"/>
      <c r="UYH78" s="209"/>
      <c r="UYI78" s="209"/>
      <c r="UYJ78" s="209"/>
      <c r="UYK78" s="209"/>
      <c r="UYL78" s="209"/>
      <c r="UYM78" s="209"/>
      <c r="UYN78" s="209"/>
      <c r="UYO78" s="209"/>
      <c r="UYP78" s="209"/>
      <c r="UYQ78" s="209"/>
      <c r="UYR78" s="209"/>
      <c r="UYS78" s="209"/>
      <c r="UYT78" s="209"/>
      <c r="UYU78" s="209"/>
      <c r="UYV78" s="209"/>
      <c r="UYW78" s="209"/>
      <c r="UYX78" s="209"/>
      <c r="UYY78" s="209"/>
      <c r="UYZ78" s="209"/>
      <c r="UZA78" s="209"/>
      <c r="UZB78" s="209"/>
      <c r="UZC78" s="209"/>
      <c r="UZD78" s="209"/>
      <c r="UZE78" s="209"/>
      <c r="UZF78" s="209"/>
      <c r="UZG78" s="209"/>
      <c r="UZH78" s="209"/>
      <c r="UZI78" s="209"/>
      <c r="UZJ78" s="209"/>
      <c r="UZK78" s="209"/>
      <c r="UZL78" s="209"/>
      <c r="UZM78" s="209"/>
      <c r="UZN78" s="209"/>
      <c r="UZO78" s="209"/>
      <c r="UZP78" s="209"/>
      <c r="UZQ78" s="209"/>
      <c r="UZR78" s="209"/>
      <c r="UZS78" s="209"/>
      <c r="UZT78" s="209"/>
      <c r="UZU78" s="209"/>
      <c r="UZV78" s="209"/>
      <c r="UZW78" s="209"/>
      <c r="UZX78" s="209"/>
      <c r="UZY78" s="209"/>
      <c r="UZZ78" s="209"/>
      <c r="VAA78" s="209"/>
      <c r="VAB78" s="209"/>
      <c r="VAC78" s="209"/>
      <c r="VAD78" s="209"/>
      <c r="VAE78" s="209"/>
      <c r="VAF78" s="209"/>
      <c r="VAG78" s="209"/>
      <c r="VAH78" s="209"/>
      <c r="VAI78" s="209"/>
      <c r="VAJ78" s="209"/>
      <c r="VAK78" s="209"/>
      <c r="VAL78" s="209"/>
      <c r="VAM78" s="209"/>
      <c r="VAN78" s="209"/>
      <c r="VAO78" s="209"/>
      <c r="VAP78" s="209"/>
      <c r="VAQ78" s="209"/>
      <c r="VAR78" s="209"/>
      <c r="VAS78" s="209"/>
      <c r="VAT78" s="209"/>
      <c r="VAU78" s="209"/>
      <c r="VAV78" s="209"/>
      <c r="VAW78" s="209"/>
      <c r="VAX78" s="209"/>
      <c r="VAY78" s="209"/>
      <c r="VAZ78" s="209"/>
      <c r="VBA78" s="209"/>
      <c r="VBB78" s="209"/>
      <c r="VBC78" s="209"/>
      <c r="VBD78" s="209"/>
      <c r="VBE78" s="209"/>
      <c r="VBF78" s="209"/>
      <c r="VBG78" s="209"/>
      <c r="VBH78" s="209"/>
      <c r="VBI78" s="209"/>
      <c r="VBJ78" s="209"/>
      <c r="VBK78" s="209"/>
      <c r="VBL78" s="209"/>
      <c r="VBM78" s="209"/>
      <c r="VBN78" s="209"/>
      <c r="VBO78" s="209"/>
      <c r="VBP78" s="209"/>
      <c r="VBQ78" s="209"/>
      <c r="VBR78" s="209"/>
      <c r="VBS78" s="209"/>
      <c r="VBT78" s="209"/>
      <c r="VBU78" s="209"/>
      <c r="VBV78" s="209"/>
      <c r="VBW78" s="209"/>
      <c r="VBX78" s="209"/>
      <c r="VBY78" s="209"/>
      <c r="VBZ78" s="209"/>
      <c r="VCA78" s="209"/>
      <c r="VCB78" s="209"/>
      <c r="VCC78" s="209"/>
      <c r="VCD78" s="209"/>
      <c r="VCE78" s="209"/>
      <c r="VCF78" s="209"/>
      <c r="VCG78" s="209"/>
      <c r="VCH78" s="209"/>
      <c r="VCI78" s="209"/>
      <c r="VCJ78" s="209"/>
      <c r="VCK78" s="209"/>
      <c r="VCL78" s="209"/>
      <c r="VCM78" s="209"/>
      <c r="VCN78" s="209"/>
      <c r="VCO78" s="209"/>
      <c r="VCP78" s="209"/>
      <c r="VCQ78" s="209"/>
      <c r="VCR78" s="209"/>
      <c r="VCS78" s="209"/>
      <c r="VCT78" s="209"/>
      <c r="VCU78" s="209"/>
      <c r="VCV78" s="209"/>
      <c r="VCW78" s="209"/>
      <c r="VCX78" s="209"/>
      <c r="VCY78" s="209"/>
      <c r="VCZ78" s="209"/>
      <c r="VDA78" s="209"/>
      <c r="VDB78" s="209"/>
      <c r="VDC78" s="209"/>
      <c r="VDD78" s="209"/>
      <c r="VDE78" s="209"/>
      <c r="VDF78" s="209"/>
      <c r="VDG78" s="209"/>
      <c r="VDH78" s="209"/>
      <c r="VDI78" s="209"/>
      <c r="VDJ78" s="209"/>
      <c r="VDK78" s="209"/>
      <c r="VDL78" s="209"/>
      <c r="VDM78" s="209"/>
      <c r="VDN78" s="209"/>
      <c r="VDO78" s="209"/>
      <c r="VDP78" s="209"/>
      <c r="VDQ78" s="209"/>
      <c r="VDR78" s="209"/>
      <c r="VDS78" s="209"/>
      <c r="VDT78" s="209"/>
      <c r="VDU78" s="209"/>
      <c r="VDV78" s="209"/>
      <c r="VDW78" s="209"/>
      <c r="VDX78" s="209"/>
      <c r="VDY78" s="209"/>
      <c r="VDZ78" s="209"/>
      <c r="VEA78" s="209"/>
      <c r="VEB78" s="209"/>
      <c r="VEC78" s="209"/>
      <c r="VED78" s="209"/>
      <c r="VEE78" s="209"/>
      <c r="VEF78" s="209"/>
      <c r="VEG78" s="209"/>
      <c r="VEH78" s="209"/>
      <c r="VEI78" s="209"/>
      <c r="VEJ78" s="209"/>
      <c r="VEK78" s="209"/>
      <c r="VEL78" s="209"/>
      <c r="VEM78" s="209"/>
      <c r="VEN78" s="209"/>
      <c r="VEO78" s="209"/>
      <c r="VEP78" s="209"/>
      <c r="VEQ78" s="209"/>
      <c r="VER78" s="209"/>
      <c r="VES78" s="209"/>
      <c r="VET78" s="209"/>
      <c r="VEU78" s="209"/>
      <c r="VEV78" s="209"/>
      <c r="VEW78" s="209"/>
      <c r="VEX78" s="209"/>
      <c r="VEY78" s="209"/>
      <c r="VEZ78" s="209"/>
      <c r="VFA78" s="209"/>
      <c r="VFB78" s="209"/>
      <c r="VFC78" s="209"/>
      <c r="VFD78" s="209"/>
      <c r="VFE78" s="209"/>
      <c r="VFF78" s="209"/>
      <c r="VFG78" s="209"/>
      <c r="VFH78" s="209"/>
      <c r="VFI78" s="209"/>
      <c r="VFJ78" s="209"/>
      <c r="VFK78" s="209"/>
      <c r="VFL78" s="209"/>
      <c r="VFM78" s="209"/>
      <c r="VFN78" s="209"/>
      <c r="VFO78" s="209"/>
      <c r="VFP78" s="209"/>
      <c r="VFQ78" s="209"/>
      <c r="VFR78" s="209"/>
      <c r="VFS78" s="209"/>
      <c r="VFT78" s="209"/>
      <c r="VFU78" s="209"/>
      <c r="VFV78" s="209"/>
      <c r="VFW78" s="209"/>
      <c r="VFX78" s="209"/>
      <c r="VFY78" s="209"/>
      <c r="VFZ78" s="209"/>
      <c r="VGA78" s="209"/>
      <c r="VGB78" s="209"/>
      <c r="VGC78" s="209"/>
      <c r="VGD78" s="209"/>
      <c r="VGE78" s="209"/>
      <c r="VGF78" s="209"/>
      <c r="VGG78" s="209"/>
      <c r="VGH78" s="209"/>
      <c r="VGI78" s="209"/>
      <c r="VGJ78" s="209"/>
      <c r="VGK78" s="209"/>
      <c r="VGL78" s="209"/>
      <c r="VGM78" s="209"/>
      <c r="VGN78" s="209"/>
      <c r="VGO78" s="209"/>
      <c r="VGP78" s="209"/>
      <c r="VGQ78" s="209"/>
      <c r="VGR78" s="209"/>
      <c r="VGS78" s="209"/>
      <c r="VGT78" s="209"/>
      <c r="VGU78" s="209"/>
      <c r="VGV78" s="209"/>
      <c r="VGW78" s="209"/>
      <c r="VGX78" s="209"/>
      <c r="VGY78" s="209"/>
      <c r="VGZ78" s="209"/>
      <c r="VHA78" s="209"/>
      <c r="VHB78" s="209"/>
      <c r="VHC78" s="209"/>
      <c r="VHD78" s="209"/>
      <c r="VHE78" s="209"/>
      <c r="VHF78" s="209"/>
      <c r="VHG78" s="209"/>
      <c r="VHH78" s="209"/>
      <c r="VHI78" s="209"/>
      <c r="VHJ78" s="209"/>
      <c r="VHK78" s="209"/>
      <c r="VHL78" s="209"/>
      <c r="VHM78" s="209"/>
      <c r="VHN78" s="209"/>
      <c r="VHO78" s="209"/>
      <c r="VHP78" s="209"/>
      <c r="VHQ78" s="209"/>
      <c r="VHR78" s="209"/>
      <c r="VHS78" s="209"/>
      <c r="VHT78" s="209"/>
      <c r="VHU78" s="209"/>
      <c r="VHV78" s="209"/>
      <c r="VHW78" s="209"/>
      <c r="VHX78" s="209"/>
      <c r="VHY78" s="209"/>
      <c r="VHZ78" s="209"/>
      <c r="VIA78" s="209"/>
      <c r="VIB78" s="209"/>
      <c r="VIC78" s="209"/>
      <c r="VID78" s="209"/>
      <c r="VIE78" s="209"/>
      <c r="VIF78" s="209"/>
      <c r="VIG78" s="209"/>
      <c r="VIH78" s="209"/>
      <c r="VII78" s="209"/>
      <c r="VIJ78" s="209"/>
      <c r="VIK78" s="209"/>
      <c r="VIL78" s="209"/>
      <c r="VIM78" s="209"/>
      <c r="VIN78" s="209"/>
      <c r="VIO78" s="209"/>
      <c r="VIP78" s="209"/>
      <c r="VIQ78" s="209"/>
      <c r="VIR78" s="209"/>
      <c r="VIS78" s="209"/>
      <c r="VIT78" s="209"/>
      <c r="VIU78" s="209"/>
      <c r="VIV78" s="209"/>
      <c r="VIW78" s="209"/>
      <c r="VIX78" s="209"/>
      <c r="VIY78" s="209"/>
      <c r="VIZ78" s="209"/>
      <c r="VJA78" s="209"/>
      <c r="VJB78" s="209"/>
      <c r="VJC78" s="209"/>
      <c r="VJD78" s="209"/>
      <c r="VJE78" s="209"/>
      <c r="VJF78" s="209"/>
      <c r="VJG78" s="209"/>
      <c r="VJH78" s="209"/>
      <c r="VJI78" s="209"/>
      <c r="VJJ78" s="209"/>
      <c r="VJK78" s="209"/>
      <c r="VJL78" s="209"/>
      <c r="VJM78" s="209"/>
      <c r="VJN78" s="209"/>
      <c r="VJO78" s="209"/>
      <c r="VJP78" s="209"/>
      <c r="VJQ78" s="209"/>
      <c r="VJR78" s="209"/>
      <c r="VJS78" s="209"/>
      <c r="VJT78" s="209"/>
      <c r="VJU78" s="209"/>
      <c r="VJV78" s="209"/>
      <c r="VJW78" s="209"/>
      <c r="VJX78" s="209"/>
      <c r="VJY78" s="209"/>
      <c r="VJZ78" s="209"/>
      <c r="VKA78" s="209"/>
      <c r="VKB78" s="209"/>
      <c r="VKC78" s="209"/>
      <c r="VKD78" s="209"/>
      <c r="VKE78" s="209"/>
      <c r="VKF78" s="209"/>
      <c r="VKG78" s="209"/>
      <c r="VKH78" s="209"/>
      <c r="VKI78" s="209"/>
      <c r="VKJ78" s="209"/>
      <c r="VKK78" s="209"/>
      <c r="VKL78" s="209"/>
      <c r="VKM78" s="209"/>
      <c r="VKN78" s="209"/>
      <c r="VKO78" s="209"/>
      <c r="VKP78" s="209"/>
      <c r="VKQ78" s="209"/>
      <c r="VKR78" s="209"/>
      <c r="VKS78" s="209"/>
      <c r="VKT78" s="209"/>
      <c r="VKU78" s="209"/>
      <c r="VKV78" s="209"/>
      <c r="VKW78" s="209"/>
      <c r="VKX78" s="209"/>
      <c r="VKY78" s="209"/>
      <c r="VKZ78" s="209"/>
      <c r="VLA78" s="209"/>
      <c r="VLB78" s="209"/>
      <c r="VLC78" s="209"/>
      <c r="VLD78" s="209"/>
      <c r="VLE78" s="209"/>
      <c r="VLF78" s="209"/>
      <c r="VLG78" s="209"/>
      <c r="VLH78" s="209"/>
      <c r="VLI78" s="209"/>
      <c r="VLJ78" s="209"/>
      <c r="VLK78" s="209"/>
      <c r="VLL78" s="209"/>
      <c r="VLM78" s="209"/>
      <c r="VLN78" s="209"/>
      <c r="VLO78" s="209"/>
      <c r="VLP78" s="209"/>
      <c r="VLQ78" s="209"/>
      <c r="VLR78" s="209"/>
      <c r="VLS78" s="209"/>
      <c r="VLT78" s="209"/>
      <c r="VLU78" s="209"/>
      <c r="VLV78" s="209"/>
      <c r="VLW78" s="209"/>
      <c r="VLX78" s="209"/>
      <c r="VLY78" s="209"/>
      <c r="VLZ78" s="209"/>
      <c r="VMA78" s="209"/>
      <c r="VMB78" s="209"/>
      <c r="VMC78" s="209"/>
      <c r="VMD78" s="209"/>
      <c r="VME78" s="209"/>
      <c r="VMF78" s="209"/>
      <c r="VMG78" s="209"/>
      <c r="VMH78" s="209"/>
      <c r="VMI78" s="209"/>
      <c r="VMJ78" s="209"/>
      <c r="VMK78" s="209"/>
      <c r="VML78" s="209"/>
      <c r="VMM78" s="209"/>
      <c r="VMN78" s="209"/>
      <c r="VMO78" s="209"/>
      <c r="VMP78" s="209"/>
      <c r="VMQ78" s="209"/>
      <c r="VMR78" s="209"/>
      <c r="VMS78" s="209"/>
      <c r="VMT78" s="209"/>
      <c r="VMU78" s="209"/>
      <c r="VMV78" s="209"/>
      <c r="VMW78" s="209"/>
      <c r="VMX78" s="209"/>
      <c r="VMY78" s="209"/>
      <c r="VMZ78" s="209"/>
      <c r="VNA78" s="209"/>
      <c r="VNB78" s="209"/>
      <c r="VNC78" s="209"/>
      <c r="VND78" s="209"/>
      <c r="VNE78" s="209"/>
      <c r="VNF78" s="209"/>
      <c r="VNG78" s="209"/>
      <c r="VNH78" s="209"/>
      <c r="VNI78" s="209"/>
      <c r="VNJ78" s="209"/>
      <c r="VNK78" s="209"/>
      <c r="VNL78" s="209"/>
      <c r="VNM78" s="209"/>
      <c r="VNN78" s="209"/>
      <c r="VNO78" s="209"/>
      <c r="VNP78" s="209"/>
      <c r="VNQ78" s="209"/>
      <c r="VNR78" s="209"/>
      <c r="VNS78" s="209"/>
      <c r="VNT78" s="209"/>
      <c r="VNU78" s="209"/>
      <c r="VNV78" s="209"/>
      <c r="VNW78" s="209"/>
      <c r="VNX78" s="209"/>
      <c r="VNY78" s="209"/>
      <c r="VNZ78" s="209"/>
      <c r="VOA78" s="209"/>
      <c r="VOB78" s="209"/>
      <c r="VOC78" s="209"/>
      <c r="VOD78" s="209"/>
      <c r="VOE78" s="209"/>
      <c r="VOF78" s="209"/>
      <c r="VOG78" s="209"/>
      <c r="VOH78" s="209"/>
      <c r="VOI78" s="209"/>
      <c r="VOJ78" s="209"/>
      <c r="VOK78" s="209"/>
      <c r="VOL78" s="209"/>
      <c r="VOM78" s="209"/>
      <c r="VON78" s="209"/>
      <c r="VOO78" s="209"/>
      <c r="VOP78" s="209"/>
      <c r="VOQ78" s="209"/>
      <c r="VOR78" s="209"/>
      <c r="VOS78" s="209"/>
      <c r="VOT78" s="209"/>
      <c r="VOU78" s="209"/>
      <c r="VOV78" s="209"/>
      <c r="VOW78" s="209"/>
      <c r="VOX78" s="209"/>
      <c r="VOY78" s="209"/>
      <c r="VOZ78" s="209"/>
      <c r="VPA78" s="209"/>
      <c r="VPB78" s="209"/>
      <c r="VPC78" s="209"/>
      <c r="VPD78" s="209"/>
      <c r="VPE78" s="209"/>
      <c r="VPF78" s="209"/>
      <c r="VPG78" s="209"/>
      <c r="VPH78" s="209"/>
      <c r="VPI78" s="209"/>
      <c r="VPJ78" s="209"/>
      <c r="VPK78" s="209"/>
      <c r="VPL78" s="209"/>
      <c r="VPM78" s="209"/>
      <c r="VPN78" s="209"/>
      <c r="VPO78" s="209"/>
      <c r="VPP78" s="209"/>
      <c r="VPQ78" s="209"/>
      <c r="VPR78" s="209"/>
      <c r="VPS78" s="209"/>
      <c r="VPT78" s="209"/>
      <c r="VPU78" s="209"/>
      <c r="VPV78" s="209"/>
      <c r="VPW78" s="209"/>
      <c r="VPX78" s="209"/>
      <c r="VPY78" s="209"/>
      <c r="VPZ78" s="209"/>
      <c r="VQA78" s="209"/>
      <c r="VQB78" s="209"/>
      <c r="VQC78" s="209"/>
      <c r="VQD78" s="209"/>
      <c r="VQE78" s="209"/>
      <c r="VQF78" s="209"/>
      <c r="VQG78" s="209"/>
      <c r="VQH78" s="209"/>
      <c r="VQI78" s="209"/>
      <c r="VQJ78" s="209"/>
      <c r="VQK78" s="209"/>
      <c r="VQL78" s="209"/>
      <c r="VQM78" s="209"/>
      <c r="VQN78" s="209"/>
      <c r="VQO78" s="209"/>
      <c r="VQP78" s="209"/>
      <c r="VQQ78" s="209"/>
      <c r="VQR78" s="209"/>
      <c r="VQS78" s="209"/>
      <c r="VQT78" s="209"/>
      <c r="VQU78" s="209"/>
      <c r="VQV78" s="209"/>
      <c r="VQW78" s="209"/>
      <c r="VQX78" s="209"/>
      <c r="VQY78" s="209"/>
      <c r="VQZ78" s="209"/>
      <c r="VRA78" s="209"/>
      <c r="VRB78" s="209"/>
      <c r="VRC78" s="209"/>
      <c r="VRD78" s="209"/>
      <c r="VRE78" s="209"/>
      <c r="VRF78" s="209"/>
      <c r="VRG78" s="209"/>
      <c r="VRH78" s="209"/>
      <c r="VRI78" s="209"/>
      <c r="VRJ78" s="209"/>
      <c r="VRK78" s="209"/>
      <c r="VRL78" s="209"/>
      <c r="VRM78" s="209"/>
      <c r="VRN78" s="209"/>
      <c r="VRO78" s="209"/>
      <c r="VRP78" s="209"/>
      <c r="VRQ78" s="209"/>
      <c r="VRR78" s="209"/>
      <c r="VRS78" s="209"/>
      <c r="VRT78" s="209"/>
      <c r="VRU78" s="209"/>
      <c r="VRV78" s="209"/>
      <c r="VRW78" s="209"/>
      <c r="VRX78" s="209"/>
      <c r="VRY78" s="209"/>
      <c r="VRZ78" s="209"/>
      <c r="VSA78" s="209"/>
      <c r="VSB78" s="209"/>
      <c r="VSC78" s="209"/>
      <c r="VSD78" s="209"/>
      <c r="VSE78" s="209"/>
      <c r="VSF78" s="209"/>
      <c r="VSG78" s="209"/>
      <c r="VSH78" s="209"/>
      <c r="VSI78" s="209"/>
      <c r="VSJ78" s="209"/>
      <c r="VSK78" s="209"/>
      <c r="VSL78" s="209"/>
      <c r="VSM78" s="209"/>
      <c r="VSN78" s="209"/>
      <c r="VSO78" s="209"/>
      <c r="VSP78" s="209"/>
      <c r="VSQ78" s="209"/>
      <c r="VSR78" s="209"/>
      <c r="VSS78" s="209"/>
      <c r="VST78" s="209"/>
      <c r="VSU78" s="209"/>
      <c r="VSV78" s="209"/>
      <c r="VSW78" s="209"/>
      <c r="VSX78" s="209"/>
      <c r="VSY78" s="209"/>
      <c r="VSZ78" s="209"/>
      <c r="VTA78" s="209"/>
      <c r="VTB78" s="209"/>
      <c r="VTC78" s="209"/>
      <c r="VTD78" s="209"/>
      <c r="VTE78" s="209"/>
      <c r="VTF78" s="209"/>
      <c r="VTG78" s="209"/>
      <c r="VTH78" s="209"/>
      <c r="VTI78" s="209"/>
      <c r="VTJ78" s="209"/>
      <c r="VTK78" s="209"/>
      <c r="VTL78" s="209"/>
      <c r="VTM78" s="209"/>
      <c r="VTN78" s="209"/>
      <c r="VTO78" s="209"/>
      <c r="VTP78" s="209"/>
      <c r="VTQ78" s="209"/>
      <c r="VTR78" s="209"/>
      <c r="VTS78" s="209"/>
      <c r="VTT78" s="209"/>
      <c r="VTU78" s="209"/>
      <c r="VTV78" s="209"/>
      <c r="VTW78" s="209"/>
      <c r="VTX78" s="209"/>
      <c r="VTY78" s="209"/>
      <c r="VTZ78" s="209"/>
      <c r="VUA78" s="209"/>
      <c r="VUB78" s="209"/>
      <c r="VUC78" s="209"/>
      <c r="VUD78" s="209"/>
      <c r="VUE78" s="209"/>
      <c r="VUF78" s="209"/>
      <c r="VUG78" s="209"/>
      <c r="VUH78" s="209"/>
      <c r="VUI78" s="209"/>
      <c r="VUJ78" s="209"/>
      <c r="VUK78" s="209"/>
      <c r="VUL78" s="209"/>
      <c r="VUM78" s="209"/>
      <c r="VUN78" s="209"/>
      <c r="VUO78" s="209"/>
      <c r="VUP78" s="209"/>
      <c r="VUQ78" s="209"/>
      <c r="VUR78" s="209"/>
      <c r="VUS78" s="209"/>
      <c r="VUT78" s="209"/>
      <c r="VUU78" s="209"/>
      <c r="VUV78" s="209"/>
      <c r="VUW78" s="209"/>
      <c r="VUX78" s="209"/>
      <c r="VUY78" s="209"/>
      <c r="VUZ78" s="209"/>
      <c r="VVA78" s="209"/>
      <c r="VVB78" s="209"/>
      <c r="VVC78" s="209"/>
      <c r="VVD78" s="209"/>
      <c r="VVE78" s="209"/>
      <c r="VVF78" s="209"/>
      <c r="VVG78" s="209"/>
      <c r="VVH78" s="209"/>
      <c r="VVI78" s="209"/>
      <c r="VVJ78" s="209"/>
      <c r="VVK78" s="209"/>
      <c r="VVL78" s="209"/>
      <c r="VVM78" s="209"/>
      <c r="VVN78" s="209"/>
      <c r="VVO78" s="209"/>
      <c r="VVP78" s="209"/>
      <c r="VVQ78" s="209"/>
      <c r="VVR78" s="209"/>
      <c r="VVS78" s="209"/>
      <c r="VVT78" s="209"/>
      <c r="VVU78" s="209"/>
      <c r="VVV78" s="209"/>
      <c r="VVW78" s="209"/>
      <c r="VVX78" s="209"/>
      <c r="VVY78" s="209"/>
      <c r="VVZ78" s="209"/>
      <c r="VWA78" s="209"/>
      <c r="VWB78" s="209"/>
      <c r="VWC78" s="209"/>
      <c r="VWD78" s="209"/>
      <c r="VWE78" s="209"/>
      <c r="VWF78" s="209"/>
      <c r="VWG78" s="209"/>
      <c r="VWH78" s="209"/>
      <c r="VWI78" s="209"/>
      <c r="VWJ78" s="209"/>
      <c r="VWK78" s="209"/>
      <c r="VWL78" s="209"/>
      <c r="VWM78" s="209"/>
      <c r="VWN78" s="209"/>
      <c r="VWO78" s="209"/>
      <c r="VWP78" s="209"/>
      <c r="VWQ78" s="209"/>
      <c r="VWR78" s="209"/>
      <c r="VWS78" s="209"/>
      <c r="VWT78" s="209"/>
      <c r="VWU78" s="209"/>
      <c r="VWV78" s="209"/>
      <c r="VWW78" s="209"/>
      <c r="VWX78" s="209"/>
      <c r="VWY78" s="209"/>
      <c r="VWZ78" s="209"/>
      <c r="VXA78" s="209"/>
      <c r="VXB78" s="209"/>
      <c r="VXC78" s="209"/>
      <c r="VXD78" s="209"/>
      <c r="VXE78" s="209"/>
      <c r="VXF78" s="209"/>
      <c r="VXG78" s="209"/>
      <c r="VXH78" s="209"/>
      <c r="VXI78" s="209"/>
      <c r="VXJ78" s="209"/>
      <c r="VXK78" s="209"/>
      <c r="VXL78" s="209"/>
      <c r="VXM78" s="209"/>
      <c r="VXN78" s="209"/>
      <c r="VXO78" s="209"/>
      <c r="VXP78" s="209"/>
      <c r="VXQ78" s="209"/>
      <c r="VXR78" s="209"/>
      <c r="VXS78" s="209"/>
      <c r="VXT78" s="209"/>
      <c r="VXU78" s="209"/>
      <c r="VXV78" s="209"/>
      <c r="VXW78" s="209"/>
      <c r="VXX78" s="209"/>
      <c r="VXY78" s="209"/>
      <c r="VXZ78" s="209"/>
      <c r="VYA78" s="209"/>
      <c r="VYB78" s="209"/>
      <c r="VYC78" s="209"/>
      <c r="VYD78" s="209"/>
      <c r="VYE78" s="209"/>
      <c r="VYF78" s="209"/>
      <c r="VYG78" s="209"/>
      <c r="VYH78" s="209"/>
      <c r="VYI78" s="209"/>
      <c r="VYJ78" s="209"/>
      <c r="VYK78" s="209"/>
      <c r="VYL78" s="209"/>
      <c r="VYM78" s="209"/>
      <c r="VYN78" s="209"/>
      <c r="VYO78" s="209"/>
      <c r="VYP78" s="209"/>
      <c r="VYQ78" s="209"/>
      <c r="VYR78" s="209"/>
      <c r="VYS78" s="209"/>
      <c r="VYT78" s="209"/>
      <c r="VYU78" s="209"/>
      <c r="VYV78" s="209"/>
      <c r="VYW78" s="209"/>
      <c r="VYX78" s="209"/>
      <c r="VYY78" s="209"/>
      <c r="VYZ78" s="209"/>
      <c r="VZA78" s="209"/>
      <c r="VZB78" s="209"/>
      <c r="VZC78" s="209"/>
      <c r="VZD78" s="209"/>
      <c r="VZE78" s="209"/>
      <c r="VZF78" s="209"/>
      <c r="VZG78" s="209"/>
      <c r="VZH78" s="209"/>
      <c r="VZI78" s="209"/>
      <c r="VZJ78" s="209"/>
      <c r="VZK78" s="209"/>
      <c r="VZL78" s="209"/>
      <c r="VZM78" s="209"/>
      <c r="VZN78" s="209"/>
      <c r="VZO78" s="209"/>
      <c r="VZP78" s="209"/>
      <c r="VZQ78" s="209"/>
      <c r="VZR78" s="209"/>
      <c r="VZS78" s="209"/>
      <c r="VZT78" s="209"/>
      <c r="VZU78" s="209"/>
      <c r="VZV78" s="209"/>
      <c r="VZW78" s="209"/>
      <c r="VZX78" s="209"/>
      <c r="VZY78" s="209"/>
      <c r="VZZ78" s="209"/>
      <c r="WAA78" s="209"/>
      <c r="WAB78" s="209"/>
      <c r="WAC78" s="209"/>
      <c r="WAD78" s="209"/>
      <c r="WAE78" s="209"/>
      <c r="WAF78" s="209"/>
      <c r="WAG78" s="209"/>
      <c r="WAH78" s="209"/>
      <c r="WAI78" s="209"/>
      <c r="WAJ78" s="209"/>
      <c r="WAK78" s="209"/>
      <c r="WAL78" s="209"/>
      <c r="WAM78" s="209"/>
      <c r="WAN78" s="209"/>
      <c r="WAO78" s="209"/>
      <c r="WAP78" s="209"/>
      <c r="WAQ78" s="209"/>
      <c r="WAR78" s="209"/>
      <c r="WAS78" s="209"/>
      <c r="WAT78" s="209"/>
      <c r="WAU78" s="209"/>
      <c r="WAV78" s="209"/>
      <c r="WAW78" s="209"/>
      <c r="WAX78" s="209"/>
      <c r="WAY78" s="209"/>
      <c r="WAZ78" s="209"/>
      <c r="WBA78" s="209"/>
      <c r="WBB78" s="209"/>
      <c r="WBC78" s="209"/>
      <c r="WBD78" s="209"/>
      <c r="WBE78" s="209"/>
      <c r="WBF78" s="209"/>
      <c r="WBG78" s="209"/>
      <c r="WBH78" s="209"/>
      <c r="WBI78" s="209"/>
      <c r="WBJ78" s="209"/>
      <c r="WBK78" s="209"/>
      <c r="WBL78" s="209"/>
      <c r="WBM78" s="209"/>
      <c r="WBN78" s="209"/>
      <c r="WBO78" s="209"/>
      <c r="WBP78" s="209"/>
      <c r="WBQ78" s="209"/>
      <c r="WBR78" s="209"/>
      <c r="WBS78" s="209"/>
      <c r="WBT78" s="209"/>
      <c r="WBU78" s="209"/>
      <c r="WBV78" s="209"/>
      <c r="WBW78" s="209"/>
      <c r="WBX78" s="209"/>
      <c r="WBY78" s="209"/>
      <c r="WBZ78" s="209"/>
      <c r="WCA78" s="209"/>
      <c r="WCB78" s="209"/>
      <c r="WCC78" s="209"/>
      <c r="WCD78" s="209"/>
      <c r="WCE78" s="209"/>
      <c r="WCF78" s="209"/>
      <c r="WCG78" s="209"/>
      <c r="WCH78" s="209"/>
      <c r="WCI78" s="209"/>
      <c r="WCJ78" s="209"/>
      <c r="WCK78" s="209"/>
      <c r="WCL78" s="209"/>
      <c r="WCM78" s="209"/>
      <c r="WCN78" s="209"/>
      <c r="WCO78" s="209"/>
      <c r="WCP78" s="209"/>
      <c r="WCQ78" s="209"/>
      <c r="WCR78" s="209"/>
      <c r="WCS78" s="209"/>
      <c r="WCT78" s="209"/>
      <c r="WCU78" s="209"/>
      <c r="WCV78" s="209"/>
      <c r="WCW78" s="209"/>
      <c r="WCX78" s="209"/>
      <c r="WCY78" s="209"/>
      <c r="WCZ78" s="209"/>
      <c r="WDA78" s="209"/>
      <c r="WDB78" s="209"/>
      <c r="WDC78" s="209"/>
      <c r="WDD78" s="209"/>
      <c r="WDE78" s="209"/>
      <c r="WDF78" s="209"/>
      <c r="WDG78" s="209"/>
      <c r="WDH78" s="209"/>
      <c r="WDI78" s="209"/>
      <c r="WDJ78" s="209"/>
      <c r="WDK78" s="209"/>
      <c r="WDL78" s="209"/>
      <c r="WDM78" s="209"/>
      <c r="WDN78" s="209"/>
      <c r="WDO78" s="209"/>
      <c r="WDP78" s="209"/>
      <c r="WDQ78" s="209"/>
      <c r="WDR78" s="209"/>
      <c r="WDS78" s="209"/>
      <c r="WDT78" s="209"/>
      <c r="WDU78" s="209"/>
      <c r="WDV78" s="209"/>
      <c r="WDW78" s="209"/>
      <c r="WDX78" s="209"/>
      <c r="WDY78" s="209"/>
      <c r="WDZ78" s="209"/>
      <c r="WEA78" s="209"/>
      <c r="WEB78" s="209"/>
      <c r="WEC78" s="209"/>
      <c r="WED78" s="209"/>
      <c r="WEE78" s="209"/>
      <c r="WEF78" s="209"/>
      <c r="WEG78" s="209"/>
      <c r="WEH78" s="209"/>
      <c r="WEI78" s="209"/>
      <c r="WEJ78" s="209"/>
      <c r="WEK78" s="209"/>
      <c r="WEL78" s="209"/>
      <c r="WEM78" s="209"/>
      <c r="WEN78" s="209"/>
      <c r="WEO78" s="209"/>
      <c r="WEP78" s="209"/>
      <c r="WEQ78" s="209"/>
      <c r="WER78" s="209"/>
      <c r="WES78" s="209"/>
      <c r="WET78" s="209"/>
      <c r="WEU78" s="209"/>
      <c r="WEV78" s="209"/>
      <c r="WEW78" s="209"/>
      <c r="WEX78" s="209"/>
      <c r="WEY78" s="209"/>
      <c r="WEZ78" s="209"/>
      <c r="WFA78" s="209"/>
      <c r="WFB78" s="209"/>
      <c r="WFC78" s="209"/>
      <c r="WFD78" s="209"/>
      <c r="WFE78" s="209"/>
      <c r="WFF78" s="209"/>
      <c r="WFG78" s="209"/>
      <c r="WFH78" s="209"/>
      <c r="WFI78" s="209"/>
      <c r="WFJ78" s="209"/>
      <c r="WFK78" s="209"/>
      <c r="WFL78" s="209"/>
      <c r="WFM78" s="209"/>
      <c r="WFN78" s="209"/>
      <c r="WFO78" s="209"/>
      <c r="WFP78" s="209"/>
      <c r="WFQ78" s="209"/>
      <c r="WFR78" s="209"/>
      <c r="WFS78" s="209"/>
      <c r="WFT78" s="209"/>
      <c r="WFU78" s="209"/>
      <c r="WFV78" s="209"/>
      <c r="WFW78" s="209"/>
      <c r="WFX78" s="209"/>
      <c r="WFY78" s="209"/>
      <c r="WFZ78" s="209"/>
      <c r="WGA78" s="209"/>
      <c r="WGB78" s="209"/>
      <c r="WGC78" s="209"/>
      <c r="WGD78" s="209"/>
      <c r="WGE78" s="209"/>
      <c r="WGF78" s="209"/>
      <c r="WGG78" s="209"/>
      <c r="WGH78" s="209"/>
      <c r="WGI78" s="209"/>
      <c r="WGJ78" s="209"/>
      <c r="WGK78" s="209"/>
      <c r="WGL78" s="209"/>
      <c r="WGM78" s="209"/>
      <c r="WGN78" s="209"/>
      <c r="WGO78" s="209"/>
      <c r="WGP78" s="209"/>
      <c r="WGQ78" s="209"/>
      <c r="WGR78" s="209"/>
      <c r="WGS78" s="209"/>
      <c r="WGT78" s="209"/>
      <c r="WGU78" s="209"/>
      <c r="WGV78" s="209"/>
      <c r="WGW78" s="209"/>
      <c r="WGX78" s="209"/>
      <c r="WGY78" s="209"/>
      <c r="WGZ78" s="209"/>
      <c r="WHA78" s="209"/>
      <c r="WHB78" s="209"/>
      <c r="WHC78" s="209"/>
      <c r="WHD78" s="209"/>
      <c r="WHE78" s="209"/>
      <c r="WHF78" s="209"/>
      <c r="WHG78" s="209"/>
      <c r="WHH78" s="209"/>
      <c r="WHI78" s="209"/>
      <c r="WHJ78" s="209"/>
      <c r="WHK78" s="209"/>
      <c r="WHL78" s="209"/>
      <c r="WHM78" s="209"/>
      <c r="WHN78" s="209"/>
      <c r="WHO78" s="209"/>
      <c r="WHP78" s="209"/>
      <c r="WHQ78" s="209"/>
      <c r="WHR78" s="209"/>
      <c r="WHS78" s="209"/>
      <c r="WHT78" s="209"/>
      <c r="WHU78" s="209"/>
      <c r="WHV78" s="209"/>
      <c r="WHW78" s="209"/>
      <c r="WHX78" s="209"/>
      <c r="WHY78" s="209"/>
      <c r="WHZ78" s="209"/>
      <c r="WIA78" s="209"/>
      <c r="WIB78" s="209"/>
      <c r="WIC78" s="209"/>
      <c r="WID78" s="209"/>
      <c r="WIE78" s="209"/>
      <c r="WIF78" s="209"/>
      <c r="WIG78" s="209"/>
      <c r="WIH78" s="209"/>
      <c r="WII78" s="209"/>
      <c r="WIJ78" s="209"/>
      <c r="WIK78" s="209"/>
      <c r="WIL78" s="209"/>
      <c r="WIM78" s="209"/>
      <c r="WIN78" s="209"/>
      <c r="WIO78" s="209"/>
      <c r="WIP78" s="209"/>
      <c r="WIQ78" s="209"/>
      <c r="WIR78" s="209"/>
      <c r="WIS78" s="209"/>
      <c r="WIT78" s="209"/>
      <c r="WIU78" s="209"/>
      <c r="WIV78" s="209"/>
      <c r="WIW78" s="209"/>
      <c r="WIX78" s="209"/>
      <c r="WIY78" s="209"/>
      <c r="WIZ78" s="209"/>
      <c r="WJA78" s="209"/>
      <c r="WJB78" s="209"/>
      <c r="WJC78" s="209"/>
      <c r="WJD78" s="209"/>
      <c r="WJE78" s="209"/>
      <c r="WJF78" s="209"/>
      <c r="WJG78" s="209"/>
      <c r="WJH78" s="209"/>
      <c r="WJI78" s="209"/>
      <c r="WJJ78" s="209"/>
      <c r="WJK78" s="209"/>
      <c r="WJL78" s="209"/>
      <c r="WJM78" s="209"/>
      <c r="WJN78" s="209"/>
      <c r="WJO78" s="209"/>
      <c r="WJP78" s="209"/>
      <c r="WJQ78" s="209"/>
      <c r="WJR78" s="209"/>
      <c r="WJS78" s="209"/>
      <c r="WJT78" s="209"/>
      <c r="WJU78" s="209"/>
      <c r="WJV78" s="209"/>
      <c r="WJW78" s="209"/>
      <c r="WJX78" s="209"/>
      <c r="WJY78" s="209"/>
      <c r="WJZ78" s="209"/>
      <c r="WKA78" s="209"/>
      <c r="WKB78" s="209"/>
      <c r="WKC78" s="209"/>
      <c r="WKD78" s="209"/>
      <c r="WKE78" s="209"/>
      <c r="WKF78" s="209"/>
      <c r="WKG78" s="209"/>
      <c r="WKH78" s="209"/>
      <c r="WKI78" s="209"/>
      <c r="WKJ78" s="209"/>
      <c r="WKK78" s="209"/>
      <c r="WKL78" s="209"/>
      <c r="WKM78" s="209"/>
      <c r="WKN78" s="209"/>
      <c r="WKO78" s="209"/>
      <c r="WKP78" s="209"/>
      <c r="WKQ78" s="209"/>
      <c r="WKR78" s="209"/>
      <c r="WKS78" s="209"/>
      <c r="WKT78" s="209"/>
      <c r="WKU78" s="209"/>
      <c r="WKV78" s="209"/>
      <c r="WKW78" s="209"/>
      <c r="WKX78" s="209"/>
      <c r="WKY78" s="209"/>
      <c r="WKZ78" s="209"/>
      <c r="WLA78" s="209"/>
      <c r="WLB78" s="209"/>
      <c r="WLC78" s="209"/>
      <c r="WLD78" s="209"/>
      <c r="WLE78" s="209"/>
      <c r="WLF78" s="209"/>
      <c r="WLG78" s="209"/>
      <c r="WLH78" s="209"/>
      <c r="WLI78" s="209"/>
      <c r="WLJ78" s="209"/>
      <c r="WLK78" s="209"/>
      <c r="WLL78" s="209"/>
      <c r="WLM78" s="209"/>
      <c r="WLN78" s="209"/>
      <c r="WLO78" s="209"/>
      <c r="WLP78" s="209"/>
      <c r="WLQ78" s="209"/>
      <c r="WLR78" s="209"/>
      <c r="WLS78" s="209"/>
      <c r="WLT78" s="209"/>
      <c r="WLU78" s="209"/>
      <c r="WLV78" s="209"/>
      <c r="WLW78" s="209"/>
      <c r="WLX78" s="209"/>
      <c r="WLY78" s="209"/>
      <c r="WLZ78" s="209"/>
      <c r="WMA78" s="209"/>
      <c r="WMB78" s="209"/>
      <c r="WMC78" s="209"/>
      <c r="WMD78" s="209"/>
      <c r="WME78" s="209"/>
      <c r="WMF78" s="209"/>
      <c r="WMG78" s="209"/>
      <c r="WMH78" s="209"/>
      <c r="WMI78" s="209"/>
      <c r="WMJ78" s="209"/>
      <c r="WMK78" s="209"/>
      <c r="WML78" s="209"/>
      <c r="WMM78" s="209"/>
      <c r="WMN78" s="209"/>
      <c r="WMO78" s="209"/>
      <c r="WMP78" s="209"/>
      <c r="WMQ78" s="209"/>
      <c r="WMR78" s="209"/>
      <c r="WMS78" s="209"/>
      <c r="WMT78" s="209"/>
      <c r="WMU78" s="209"/>
      <c r="WMV78" s="209"/>
      <c r="WMW78" s="209"/>
      <c r="WMX78" s="209"/>
      <c r="WMY78" s="209"/>
      <c r="WMZ78" s="209"/>
      <c r="WNA78" s="209"/>
      <c r="WNB78" s="209"/>
      <c r="WNC78" s="209"/>
      <c r="WND78" s="209"/>
      <c r="WNE78" s="209"/>
      <c r="WNF78" s="209"/>
      <c r="WNG78" s="209"/>
      <c r="WNH78" s="209"/>
      <c r="WNI78" s="209"/>
      <c r="WNJ78" s="209"/>
      <c r="WNK78" s="209"/>
      <c r="WNL78" s="209"/>
      <c r="WNM78" s="209"/>
      <c r="WNN78" s="209"/>
      <c r="WNO78" s="209"/>
      <c r="WNP78" s="209"/>
      <c r="WNQ78" s="209"/>
      <c r="WNR78" s="209"/>
      <c r="WNS78" s="209"/>
      <c r="WNT78" s="209"/>
      <c r="WNU78" s="209"/>
      <c r="WNV78" s="209"/>
      <c r="WNW78" s="209"/>
      <c r="WNX78" s="209"/>
      <c r="WNY78" s="209"/>
      <c r="WNZ78" s="209"/>
      <c r="WOA78" s="209"/>
      <c r="WOB78" s="209"/>
      <c r="WOC78" s="209"/>
      <c r="WOD78" s="209"/>
      <c r="WOE78" s="209"/>
      <c r="WOF78" s="209"/>
      <c r="WOG78" s="209"/>
      <c r="WOH78" s="209"/>
      <c r="WOI78" s="209"/>
      <c r="WOJ78" s="209"/>
      <c r="WOK78" s="209"/>
      <c r="WOL78" s="209"/>
      <c r="WOM78" s="209"/>
      <c r="WON78" s="209"/>
      <c r="WOO78" s="209"/>
      <c r="WOP78" s="209"/>
      <c r="WOQ78" s="209"/>
      <c r="WOR78" s="209"/>
      <c r="WOS78" s="209"/>
      <c r="WOT78" s="209"/>
      <c r="WOU78" s="209"/>
      <c r="WOV78" s="209"/>
      <c r="WOW78" s="209"/>
      <c r="WOX78" s="209"/>
      <c r="WOY78" s="209"/>
      <c r="WOZ78" s="209"/>
      <c r="WPA78" s="209"/>
      <c r="WPB78" s="209"/>
      <c r="WPC78" s="209"/>
      <c r="WPD78" s="209"/>
      <c r="WPE78" s="209"/>
      <c r="WPF78" s="209"/>
      <c r="WPG78" s="209"/>
      <c r="WPH78" s="209"/>
      <c r="WPI78" s="209"/>
      <c r="WPJ78" s="209"/>
      <c r="WPK78" s="209"/>
      <c r="WPL78" s="209"/>
      <c r="WPM78" s="209"/>
      <c r="WPN78" s="209"/>
      <c r="WPO78" s="209"/>
      <c r="WPP78" s="209"/>
      <c r="WPQ78" s="209"/>
      <c r="WPR78" s="209"/>
      <c r="WPS78" s="209"/>
      <c r="WPT78" s="209"/>
      <c r="WPU78" s="209"/>
      <c r="WPV78" s="209"/>
      <c r="WPW78" s="209"/>
      <c r="WPX78" s="209"/>
      <c r="WPY78" s="209"/>
      <c r="WPZ78" s="209"/>
      <c r="WQA78" s="209"/>
      <c r="WQB78" s="209"/>
      <c r="WQC78" s="209"/>
      <c r="WQD78" s="209"/>
      <c r="WQE78" s="209"/>
      <c r="WQF78" s="209"/>
      <c r="WQG78" s="209"/>
      <c r="WQH78" s="209"/>
      <c r="WQI78" s="209"/>
      <c r="WQJ78" s="209"/>
      <c r="WQK78" s="209"/>
      <c r="WQL78" s="209"/>
      <c r="WQM78" s="209"/>
      <c r="WQN78" s="209"/>
      <c r="WQO78" s="209"/>
      <c r="WQP78" s="209"/>
      <c r="WQQ78" s="209"/>
      <c r="WQR78" s="209"/>
      <c r="WQS78" s="209"/>
      <c r="WQT78" s="209"/>
      <c r="WQU78" s="209"/>
      <c r="WQV78" s="209"/>
      <c r="WQW78" s="209"/>
      <c r="WQX78" s="209"/>
      <c r="WQY78" s="209"/>
      <c r="WQZ78" s="209"/>
      <c r="WRA78" s="209"/>
      <c r="WRB78" s="209"/>
      <c r="WRC78" s="209"/>
      <c r="WRD78" s="209"/>
      <c r="WRE78" s="209"/>
      <c r="WRF78" s="209"/>
      <c r="WRG78" s="209"/>
      <c r="WRH78" s="209"/>
      <c r="WRI78" s="209"/>
      <c r="WRJ78" s="209"/>
      <c r="WRK78" s="209"/>
      <c r="WRL78" s="209"/>
      <c r="WRM78" s="209"/>
      <c r="WRN78" s="209"/>
      <c r="WRO78" s="209"/>
      <c r="WRP78" s="209"/>
      <c r="WRQ78" s="209"/>
      <c r="WRR78" s="209"/>
      <c r="WRS78" s="209"/>
      <c r="WRT78" s="209"/>
      <c r="WRU78" s="209"/>
      <c r="WRV78" s="209"/>
      <c r="WRW78" s="209"/>
      <c r="WRX78" s="209"/>
      <c r="WRY78" s="209"/>
      <c r="WRZ78" s="209"/>
      <c r="WSA78" s="209"/>
      <c r="WSB78" s="209"/>
      <c r="WSC78" s="209"/>
      <c r="WSD78" s="209"/>
      <c r="WSE78" s="209"/>
      <c r="WSF78" s="209"/>
      <c r="WSG78" s="209"/>
      <c r="WSH78" s="209"/>
      <c r="WSI78" s="209"/>
      <c r="WSJ78" s="209"/>
      <c r="WSK78" s="209"/>
      <c r="WSL78" s="209"/>
      <c r="WSM78" s="209"/>
      <c r="WSN78" s="209"/>
      <c r="WSO78" s="209"/>
      <c r="WSP78" s="209"/>
      <c r="WSQ78" s="209"/>
      <c r="WSR78" s="209"/>
      <c r="WSS78" s="209"/>
      <c r="WST78" s="209"/>
      <c r="WSU78" s="209"/>
      <c r="WSV78" s="209"/>
      <c r="WSW78" s="209"/>
      <c r="WSX78" s="209"/>
      <c r="WSY78" s="209"/>
      <c r="WSZ78" s="209"/>
      <c r="WTA78" s="209"/>
      <c r="WTB78" s="209"/>
      <c r="WTC78" s="209"/>
      <c r="WTD78" s="209"/>
      <c r="WTE78" s="209"/>
      <c r="WTF78" s="209"/>
      <c r="WTG78" s="209"/>
      <c r="WTH78" s="209"/>
      <c r="WTI78" s="209"/>
      <c r="WTJ78" s="209"/>
      <c r="WTK78" s="209"/>
      <c r="WTL78" s="209"/>
      <c r="WTM78" s="209"/>
      <c r="WTN78" s="209"/>
      <c r="WTO78" s="209"/>
      <c r="WTP78" s="209"/>
      <c r="WTQ78" s="209"/>
      <c r="WTR78" s="209"/>
      <c r="WTS78" s="209"/>
      <c r="WTT78" s="209"/>
      <c r="WTU78" s="209"/>
      <c r="WTV78" s="209"/>
      <c r="WTW78" s="209"/>
      <c r="WTX78" s="209"/>
      <c r="WTY78" s="209"/>
      <c r="WTZ78" s="209"/>
      <c r="WUA78" s="209"/>
      <c r="WUB78" s="209"/>
      <c r="WUC78" s="209"/>
      <c r="WUD78" s="209"/>
      <c r="WUE78" s="209"/>
      <c r="WUF78" s="209"/>
      <c r="WUG78" s="209"/>
      <c r="WUH78" s="209"/>
      <c r="WUI78" s="209"/>
      <c r="WUJ78" s="209"/>
      <c r="WUK78" s="209"/>
      <c r="WUL78" s="209"/>
      <c r="WUM78" s="209"/>
      <c r="WUN78" s="209"/>
      <c r="WUO78" s="209"/>
      <c r="WUP78" s="209"/>
      <c r="WUQ78" s="209"/>
      <c r="WUR78" s="209"/>
      <c r="WUS78" s="209"/>
      <c r="WUT78" s="209"/>
      <c r="WUU78" s="209"/>
      <c r="WUV78" s="209"/>
      <c r="WUW78" s="209"/>
      <c r="WUX78" s="209"/>
      <c r="WUY78" s="209"/>
      <c r="WUZ78" s="209"/>
      <c r="WVA78" s="209"/>
      <c r="WVB78" s="209"/>
      <c r="WVC78" s="209"/>
      <c r="WVD78" s="209"/>
      <c r="WVE78" s="209"/>
      <c r="WVF78" s="209"/>
      <c r="WVG78" s="209"/>
      <c r="WVH78" s="209"/>
      <c r="WVI78" s="209"/>
      <c r="WVJ78" s="209"/>
      <c r="WVK78" s="209"/>
      <c r="WVL78" s="209"/>
      <c r="WVM78" s="209"/>
      <c r="WVN78" s="209"/>
      <c r="WVO78" s="209"/>
      <c r="WVP78" s="209"/>
      <c r="WVQ78" s="209"/>
      <c r="WVR78" s="209"/>
      <c r="WVS78" s="209"/>
      <c r="WVT78" s="209"/>
      <c r="WVU78" s="209"/>
      <c r="WVV78" s="209"/>
      <c r="WVW78" s="209"/>
      <c r="WVX78" s="209"/>
      <c r="WVY78" s="209"/>
      <c r="WVZ78" s="209"/>
      <c r="WWA78" s="209"/>
      <c r="WWB78" s="209"/>
      <c r="WWC78" s="209"/>
      <c r="WWD78" s="209"/>
      <c r="WWE78" s="209"/>
      <c r="WWF78" s="209"/>
      <c r="WWG78" s="209"/>
      <c r="WWH78" s="209"/>
      <c r="WWI78" s="209"/>
      <c r="WWJ78" s="209"/>
      <c r="WWK78" s="209"/>
      <c r="WWL78" s="209"/>
      <c r="WWM78" s="209"/>
      <c r="WWN78" s="209"/>
      <c r="WWO78" s="209"/>
      <c r="WWP78" s="209"/>
      <c r="WWQ78" s="209"/>
      <c r="WWR78" s="209"/>
      <c r="WWS78" s="209"/>
      <c r="WWT78" s="209"/>
      <c r="WWU78" s="209"/>
      <c r="WWV78" s="209"/>
      <c r="WWW78" s="209"/>
      <c r="WWX78" s="209"/>
      <c r="WWY78" s="209"/>
      <c r="WWZ78" s="209"/>
      <c r="WXA78" s="209"/>
      <c r="WXB78" s="209"/>
      <c r="WXC78" s="209"/>
      <c r="WXD78" s="209"/>
      <c r="WXE78" s="209"/>
      <c r="WXF78" s="209"/>
      <c r="WXG78" s="209"/>
      <c r="WXH78" s="209"/>
      <c r="WXI78" s="209"/>
      <c r="WXJ78" s="209"/>
      <c r="WXK78" s="209"/>
      <c r="WXL78" s="209"/>
      <c r="WXM78" s="209"/>
      <c r="WXN78" s="209"/>
      <c r="WXO78" s="209"/>
      <c r="WXP78" s="209"/>
      <c r="WXQ78" s="209"/>
      <c r="WXR78" s="209"/>
      <c r="WXS78" s="209"/>
      <c r="WXT78" s="209"/>
      <c r="WXU78" s="209"/>
      <c r="WXV78" s="209"/>
      <c r="WXW78" s="209"/>
      <c r="WXX78" s="209"/>
      <c r="WXY78" s="209"/>
      <c r="WXZ78" s="209"/>
      <c r="WYA78" s="209"/>
      <c r="WYB78" s="209"/>
      <c r="WYC78" s="209"/>
      <c r="WYD78" s="209"/>
      <c r="WYE78" s="209"/>
      <c r="WYF78" s="209"/>
      <c r="WYG78" s="209"/>
      <c r="WYH78" s="209"/>
      <c r="WYI78" s="209"/>
      <c r="WYJ78" s="209"/>
      <c r="WYK78" s="209"/>
      <c r="WYL78" s="209"/>
      <c r="WYM78" s="209"/>
      <c r="WYN78" s="209"/>
      <c r="WYO78" s="209"/>
      <c r="WYP78" s="209"/>
      <c r="WYQ78" s="209"/>
      <c r="WYR78" s="209"/>
      <c r="WYS78" s="209"/>
      <c r="WYT78" s="209"/>
      <c r="WYU78" s="209"/>
      <c r="WYV78" s="209"/>
      <c r="WYW78" s="209"/>
      <c r="WYX78" s="209"/>
      <c r="WYY78" s="209"/>
      <c r="WYZ78" s="209"/>
      <c r="WZA78" s="209"/>
      <c r="WZB78" s="209"/>
      <c r="WZC78" s="209"/>
      <c r="WZD78" s="209"/>
      <c r="WZE78" s="209"/>
      <c r="WZF78" s="209"/>
      <c r="WZG78" s="209"/>
      <c r="WZH78" s="209"/>
      <c r="WZI78" s="209"/>
      <c r="WZJ78" s="209"/>
      <c r="WZK78" s="209"/>
      <c r="WZL78" s="209"/>
      <c r="WZM78" s="209"/>
      <c r="WZN78" s="209"/>
      <c r="WZO78" s="209"/>
      <c r="WZP78" s="209"/>
      <c r="WZQ78" s="209"/>
      <c r="WZR78" s="209"/>
      <c r="WZS78" s="209"/>
      <c r="WZT78" s="209"/>
      <c r="WZU78" s="209"/>
      <c r="WZV78" s="209"/>
      <c r="WZW78" s="209"/>
      <c r="WZX78" s="209"/>
      <c r="WZY78" s="209"/>
      <c r="WZZ78" s="209"/>
      <c r="XAA78" s="209"/>
      <c r="XAB78" s="209"/>
      <c r="XAC78" s="209"/>
      <c r="XAD78" s="209"/>
      <c r="XAE78" s="209"/>
      <c r="XAF78" s="209"/>
      <c r="XAG78" s="209"/>
      <c r="XAH78" s="209"/>
      <c r="XAI78" s="209"/>
      <c r="XAJ78" s="209"/>
      <c r="XAK78" s="209"/>
      <c r="XAL78" s="209"/>
      <c r="XAM78" s="209"/>
      <c r="XAN78" s="209"/>
      <c r="XAO78" s="209"/>
      <c r="XAP78" s="209"/>
      <c r="XAQ78" s="209"/>
      <c r="XAR78" s="209"/>
      <c r="XAS78" s="209"/>
      <c r="XAT78" s="209"/>
      <c r="XAU78" s="209"/>
      <c r="XAV78" s="209"/>
      <c r="XAW78" s="209"/>
      <c r="XAX78" s="209"/>
      <c r="XAY78" s="209"/>
      <c r="XAZ78" s="209"/>
      <c r="XBA78" s="209"/>
      <c r="XBB78" s="209"/>
      <c r="XBC78" s="209"/>
      <c r="XBD78" s="209"/>
      <c r="XBE78" s="209"/>
      <c r="XBF78" s="209"/>
      <c r="XBG78" s="209"/>
      <c r="XBH78" s="209"/>
      <c r="XBI78" s="209"/>
      <c r="XBJ78" s="209"/>
      <c r="XBK78" s="209"/>
      <c r="XBL78" s="209"/>
      <c r="XBM78" s="209"/>
      <c r="XBN78" s="209"/>
      <c r="XBO78" s="209"/>
      <c r="XBP78" s="209"/>
      <c r="XBQ78" s="209"/>
      <c r="XBR78" s="209"/>
      <c r="XBS78" s="209"/>
      <c r="XBT78" s="209"/>
      <c r="XBU78" s="209"/>
      <c r="XBV78" s="209"/>
      <c r="XBW78" s="209"/>
      <c r="XBX78" s="209"/>
      <c r="XBY78" s="209"/>
      <c r="XBZ78" s="209"/>
      <c r="XCA78" s="209"/>
      <c r="XCB78" s="209"/>
      <c r="XCC78" s="209"/>
      <c r="XCD78" s="209"/>
      <c r="XCE78" s="209"/>
      <c r="XCF78" s="209"/>
      <c r="XCG78" s="209"/>
      <c r="XCH78" s="209"/>
      <c r="XCI78" s="209"/>
      <c r="XCJ78" s="209"/>
      <c r="XCK78" s="209"/>
      <c r="XCL78" s="209"/>
      <c r="XCM78" s="209"/>
      <c r="XCN78" s="209"/>
      <c r="XCO78" s="209"/>
      <c r="XCP78" s="209"/>
      <c r="XCQ78" s="209"/>
      <c r="XCR78" s="209"/>
      <c r="XCS78" s="209"/>
      <c r="XCT78" s="209"/>
      <c r="XCU78" s="209"/>
      <c r="XCV78" s="209"/>
      <c r="XCW78" s="209"/>
      <c r="XCX78" s="209"/>
      <c r="XCY78" s="209"/>
      <c r="XCZ78" s="209"/>
      <c r="XDA78" s="209"/>
      <c r="XDB78" s="209"/>
      <c r="XDC78" s="209"/>
      <c r="XDD78" s="209"/>
      <c r="XDE78" s="209"/>
      <c r="XDF78" s="209"/>
      <c r="XDG78" s="209"/>
      <c r="XDH78" s="209"/>
      <c r="XDI78" s="209"/>
      <c r="XDJ78" s="209"/>
      <c r="XDK78" s="209"/>
      <c r="XDL78" s="209"/>
      <c r="XDM78" s="209"/>
      <c r="XDN78" s="209"/>
      <c r="XDO78" s="209"/>
      <c r="XDP78" s="209"/>
      <c r="XDQ78" s="209"/>
      <c r="XDR78" s="209"/>
      <c r="XDS78" s="209"/>
      <c r="XDT78" s="209"/>
      <c r="XDU78" s="209"/>
      <c r="XDV78" s="209"/>
      <c r="XDW78" s="209"/>
      <c r="XDX78" s="209"/>
      <c r="XDY78" s="209"/>
      <c r="XDZ78" s="209"/>
      <c r="XEA78" s="209"/>
      <c r="XEB78" s="209"/>
      <c r="XEC78" s="209"/>
      <c r="XED78" s="209"/>
      <c r="XEE78" s="209"/>
      <c r="XEF78" s="209"/>
      <c r="XEG78" s="209"/>
      <c r="XEH78" s="209"/>
      <c r="XEI78" s="209"/>
      <c r="XEJ78" s="209"/>
      <c r="XEK78" s="209"/>
      <c r="XEL78" s="209"/>
      <c r="XEM78" s="209"/>
      <c r="XEN78" s="209"/>
      <c r="XEO78" s="209"/>
      <c r="XEP78" s="209"/>
      <c r="XEQ78" s="209"/>
      <c r="XER78" s="209"/>
      <c r="XES78" s="209"/>
      <c r="XET78" s="209"/>
      <c r="XEU78" s="209"/>
      <c r="XEV78" s="209"/>
      <c r="XEW78" s="209"/>
      <c r="XEX78" s="209"/>
      <c r="XEY78" s="209"/>
      <c r="XEZ78" s="209"/>
      <c r="XFA78" s="209"/>
      <c r="XFB78" s="209"/>
      <c r="XFC78" s="209"/>
      <c r="XFD78" s="209"/>
    </row>
    <row r="79" spans="1:16384" ht="13.5" customHeight="1" x14ac:dyDescent="0.25">
      <c r="A79" s="59">
        <v>42957</v>
      </c>
      <c r="B79" s="217">
        <v>1208010</v>
      </c>
      <c r="C79" s="24" t="s">
        <v>17</v>
      </c>
      <c r="D79" s="27">
        <v>1</v>
      </c>
      <c r="E79" s="105">
        <f>D79*$L$2</f>
        <v>1470</v>
      </c>
      <c r="F79" s="2" t="s">
        <v>132</v>
      </c>
      <c r="G79" s="102" t="str">
        <f>VLOOKUP(B79,CÓDIGOS!$A$1:$B$1000,2)</f>
        <v>Filtro de aire CPAP/BPAP GI BMC Genérico</v>
      </c>
      <c r="H79" s="26"/>
      <c r="I79" s="26"/>
      <c r="J79" s="104">
        <v>3.5</v>
      </c>
      <c r="K79" s="187">
        <f>D79*$L$2*J79</f>
        <v>5145</v>
      </c>
      <c r="L79" s="188">
        <f t="shared" si="2"/>
        <v>5659.5000000000009</v>
      </c>
      <c r="M79" s="189">
        <f t="shared" si="3"/>
        <v>4287.5</v>
      </c>
      <c r="N79" s="3"/>
      <c r="O79" s="4"/>
    </row>
    <row r="80" spans="1:16384" ht="13.5" customHeight="1" x14ac:dyDescent="0.25">
      <c r="A80" s="84">
        <v>44992</v>
      </c>
      <c r="B80" s="210">
        <v>1208047</v>
      </c>
      <c r="C80" s="69" t="s">
        <v>17</v>
      </c>
      <c r="D80" s="105">
        <v>1</v>
      </c>
      <c r="E80" s="105">
        <f>D80*$L$2</f>
        <v>1470</v>
      </c>
      <c r="F80" s="102" t="s">
        <v>190</v>
      </c>
      <c r="G80" s="102" t="str">
        <f>VLOOKUP(B80,CÓDIGOS!$A$1:$B$1000,2)</f>
        <v>Filtro de aire CPAP/BPAP GII/G2S BMC Original</v>
      </c>
      <c r="H80" s="104"/>
      <c r="I80" s="104"/>
      <c r="J80" s="104">
        <v>3.5</v>
      </c>
      <c r="K80" s="187">
        <f>D80*$L$2*J80</f>
        <v>5145</v>
      </c>
      <c r="L80" s="188">
        <f t="shared" si="2"/>
        <v>5659.5000000000009</v>
      </c>
      <c r="M80" s="189">
        <f t="shared" si="3"/>
        <v>4287.5</v>
      </c>
      <c r="N80" s="65"/>
      <c r="O80" s="66"/>
    </row>
    <row r="81" spans="1:15" ht="13.5" customHeight="1" x14ac:dyDescent="0.25">
      <c r="A81" s="84">
        <v>44992</v>
      </c>
      <c r="B81" s="210">
        <v>1104012</v>
      </c>
      <c r="C81" s="69" t="s">
        <v>17</v>
      </c>
      <c r="D81" s="105">
        <v>20</v>
      </c>
      <c r="E81" s="105">
        <f>D81*$L$2</f>
        <v>29400</v>
      </c>
      <c r="F81" s="102" t="s">
        <v>192</v>
      </c>
      <c r="G81" s="102" t="e">
        <f>VLOOKUP(B81,CÓDIGOS!$A$1:$B$1000,2)</f>
        <v>#N/A</v>
      </c>
      <c r="H81" s="104"/>
      <c r="I81" s="104"/>
      <c r="J81" s="104">
        <v>1.5</v>
      </c>
      <c r="K81" s="187">
        <f>D81*$L$2*J81</f>
        <v>44100</v>
      </c>
      <c r="L81" s="188">
        <f t="shared" si="2"/>
        <v>48510.000000000007</v>
      </c>
      <c r="M81" s="189">
        <f t="shared" si="3"/>
        <v>36750</v>
      </c>
      <c r="N81" s="65"/>
      <c r="O81" s="66"/>
    </row>
    <row r="82" spans="1:15" ht="13.5" customHeight="1" x14ac:dyDescent="0.25">
      <c r="A82" s="84">
        <v>44992</v>
      </c>
      <c r="B82" s="210">
        <v>1219005</v>
      </c>
      <c r="C82" s="69" t="s">
        <v>17</v>
      </c>
      <c r="D82" s="105">
        <v>30</v>
      </c>
      <c r="E82" s="105">
        <f>D82*$L$2</f>
        <v>44100</v>
      </c>
      <c r="F82" s="102" t="s">
        <v>193</v>
      </c>
      <c r="G82" s="102" t="str">
        <f>VLOOKUP(B82,CÓDIGOS!$A$1:$B$1000,2)</f>
        <v>Bolso original BMC para modelo G3</v>
      </c>
      <c r="H82" s="104"/>
      <c r="I82" s="104"/>
      <c r="J82" s="104">
        <v>3.5</v>
      </c>
      <c r="K82" s="187">
        <f>D82*$L$2*J82</f>
        <v>154350</v>
      </c>
      <c r="L82" s="188">
        <f t="shared" si="2"/>
        <v>169785</v>
      </c>
      <c r="M82" s="189">
        <f t="shared" si="3"/>
        <v>128625</v>
      </c>
      <c r="N82" s="65"/>
      <c r="O82" s="66"/>
    </row>
    <row r="83" spans="1:15" ht="13.5" customHeight="1" x14ac:dyDescent="0.25">
      <c r="A83" s="84">
        <v>44992</v>
      </c>
      <c r="B83" s="210"/>
      <c r="C83" s="69" t="s">
        <v>17</v>
      </c>
      <c r="D83" s="105">
        <v>50</v>
      </c>
      <c r="E83" s="105">
        <f>D83*$L$2</f>
        <v>73500</v>
      </c>
      <c r="F83" s="102" t="s">
        <v>194</v>
      </c>
      <c r="G83" s="102" t="e">
        <f>VLOOKUP(B83,CÓDIGOS!$A$1:$B$1000,2)</f>
        <v>#N/A</v>
      </c>
      <c r="H83" s="104"/>
      <c r="I83" s="104"/>
      <c r="J83" s="104">
        <v>3.5</v>
      </c>
      <c r="K83" s="187">
        <f>D83*$L$2*J83</f>
        <v>257250</v>
      </c>
      <c r="L83" s="188">
        <f t="shared" si="2"/>
        <v>282975</v>
      </c>
      <c r="M83" s="189">
        <f t="shared" si="3"/>
        <v>214375</v>
      </c>
      <c r="N83" s="65"/>
      <c r="O83" s="66"/>
    </row>
    <row r="84" spans="1:15" ht="13.5" customHeight="1" x14ac:dyDescent="0.25">
      <c r="A84" s="84">
        <v>44992</v>
      </c>
      <c r="B84" s="210">
        <v>1205005</v>
      </c>
      <c r="C84" s="69" t="s">
        <v>17</v>
      </c>
      <c r="D84" s="105">
        <v>5</v>
      </c>
      <c r="E84" s="105">
        <f>D84*$L$2</f>
        <v>7350</v>
      </c>
      <c r="F84" s="102" t="s">
        <v>195</v>
      </c>
      <c r="G84" s="102" t="str">
        <f>VLOOKUP(B84,CÓDIGOS!$A$1:$B$1000,2)</f>
        <v>Cámara p/calentador BMC G3 Original</v>
      </c>
      <c r="H84" s="104"/>
      <c r="I84" s="104"/>
      <c r="J84" s="104">
        <v>3.5</v>
      </c>
      <c r="K84" s="187">
        <f>D84*$L$2*J84</f>
        <v>25725</v>
      </c>
      <c r="L84" s="188">
        <f t="shared" si="2"/>
        <v>28297.500000000004</v>
      </c>
      <c r="M84" s="189">
        <f t="shared" si="3"/>
        <v>21437.5</v>
      </c>
      <c r="N84" s="65"/>
      <c r="O84" s="66"/>
    </row>
    <row r="85" spans="1:15" ht="13.5" customHeight="1" x14ac:dyDescent="0.25">
      <c r="A85" s="84">
        <v>44992</v>
      </c>
      <c r="B85" s="210" t="s">
        <v>375</v>
      </c>
      <c r="C85" s="69" t="s">
        <v>17</v>
      </c>
      <c r="D85" s="105">
        <v>2</v>
      </c>
      <c r="E85" s="105">
        <f>D85*$L$2</f>
        <v>2940</v>
      </c>
      <c r="F85" s="102" t="s">
        <v>196</v>
      </c>
      <c r="G85" s="102" t="str">
        <f>VLOOKUP(B85,CÓDIGOS!$A$1:$B$1000,2)</f>
        <v>CABLE 1 X 1 MM ROJO</v>
      </c>
      <c r="H85" s="104"/>
      <c r="I85" s="104"/>
      <c r="J85" s="104">
        <v>3.5</v>
      </c>
      <c r="K85" s="187">
        <f>D85*$L$2*J85</f>
        <v>10290</v>
      </c>
      <c r="L85" s="188">
        <f t="shared" si="2"/>
        <v>11319.000000000002</v>
      </c>
      <c r="M85" s="189">
        <f t="shared" si="3"/>
        <v>8575</v>
      </c>
      <c r="N85" s="65"/>
      <c r="O85" s="66"/>
    </row>
    <row r="86" spans="1:15" ht="13.5" customHeight="1" x14ac:dyDescent="0.25">
      <c r="A86" s="84"/>
      <c r="B86" s="210">
        <v>1205001</v>
      </c>
      <c r="C86" s="69"/>
      <c r="D86" s="105">
        <v>45</v>
      </c>
      <c r="E86" s="105">
        <f>D86*$L$2</f>
        <v>66150</v>
      </c>
      <c r="F86" s="102" t="s">
        <v>299</v>
      </c>
      <c r="G86" s="102" t="str">
        <f>VLOOKUP(B86,CÓDIGOS!$A$1:$B$1000,2)</f>
        <v>Cámara p/calentador BMC GII H-60 Genérico</v>
      </c>
      <c r="H86" s="104"/>
      <c r="I86" s="104"/>
      <c r="J86" s="104">
        <v>1</v>
      </c>
      <c r="K86" s="187">
        <f>D86*$L$2*J86</f>
        <v>66150</v>
      </c>
      <c r="L86" s="188">
        <f t="shared" si="2"/>
        <v>72765</v>
      </c>
      <c r="M86" s="189">
        <f t="shared" si="3"/>
        <v>55125</v>
      </c>
      <c r="N86" s="65"/>
      <c r="O86" s="66"/>
    </row>
    <row r="87" spans="1:15" ht="12.75" customHeight="1" x14ac:dyDescent="0.25">
      <c r="A87" s="140"/>
      <c r="B87" s="218">
        <v>1105005</v>
      </c>
      <c r="C87" s="218"/>
      <c r="D87" s="142">
        <v>90</v>
      </c>
      <c r="E87" s="105">
        <f>D87*$L$2</f>
        <v>132300</v>
      </c>
      <c r="F87" s="143" t="s">
        <v>300</v>
      </c>
      <c r="G87" s="102" t="e">
        <f>VLOOKUP(B87,CÓDIGOS!$A$1:$B$1000,2)</f>
        <v>#N/A</v>
      </c>
      <c r="H87" s="144"/>
      <c r="I87" s="144"/>
      <c r="J87" s="144">
        <v>1</v>
      </c>
      <c r="K87" s="192">
        <f>D87*$L$2*J87</f>
        <v>132300</v>
      </c>
      <c r="L87" s="188">
        <f>K87*1.1</f>
        <v>145530</v>
      </c>
      <c r="M87" s="189">
        <f>K87*5/6</f>
        <v>110250</v>
      </c>
      <c r="N87" s="145"/>
      <c r="O87" s="146"/>
    </row>
    <row r="88" spans="1:15" ht="12.75" customHeight="1" x14ac:dyDescent="0.25">
      <c r="A88" s="259"/>
      <c r="B88" s="210">
        <v>1205005</v>
      </c>
      <c r="C88" s="218"/>
      <c r="D88" s="142"/>
      <c r="E88" s="105">
        <f t="shared" ref="E88:E89" si="6">D88*$L$2</f>
        <v>0</v>
      </c>
      <c r="F88" s="143" t="s">
        <v>2044</v>
      </c>
      <c r="G88" s="102" t="str">
        <f>VLOOKUP(B88,CÓDIGOS!$A$1:$B$1000,2)</f>
        <v>Cámara p/calentador BMC G3 Original</v>
      </c>
      <c r="H88" s="144"/>
      <c r="I88" s="144"/>
      <c r="J88" s="144">
        <v>2</v>
      </c>
      <c r="K88" s="192">
        <f t="shared" ref="K88:K89" si="7">D88*$L$2*J88</f>
        <v>0</v>
      </c>
      <c r="L88" s="188">
        <f t="shared" ref="L88:L89" si="8">K88*1.1</f>
        <v>0</v>
      </c>
      <c r="M88" s="189">
        <f t="shared" ref="M88:M89" si="9">K88*5/6</f>
        <v>0</v>
      </c>
      <c r="N88" s="145"/>
      <c r="O88" s="146"/>
    </row>
    <row r="89" spans="1:15" ht="15.75" thickBot="1" x14ac:dyDescent="0.3">
      <c r="B89" s="210">
        <v>1205005</v>
      </c>
      <c r="C89" s="218"/>
      <c r="D89" s="142"/>
      <c r="E89" s="105">
        <f t="shared" si="6"/>
        <v>0</v>
      </c>
      <c r="F89" s="143" t="s">
        <v>2044</v>
      </c>
      <c r="G89" s="102" t="str">
        <f>VLOOKUP(B89,CÓDIGOS!$A$1:$B$1000,2)</f>
        <v>Cámara p/calentador BMC G3 Original</v>
      </c>
      <c r="H89" s="144"/>
      <c r="I89" s="144"/>
      <c r="J89" s="144">
        <v>3</v>
      </c>
      <c r="K89" s="192">
        <f t="shared" si="7"/>
        <v>0</v>
      </c>
      <c r="L89" s="188">
        <f t="shared" si="8"/>
        <v>0</v>
      </c>
      <c r="M89" s="189">
        <f t="shared" si="9"/>
        <v>0</v>
      </c>
      <c r="N89" s="145"/>
      <c r="O89" s="146"/>
    </row>
    <row r="90" spans="1:15" ht="13.5" customHeight="1" thickBot="1" x14ac:dyDescent="0.3">
      <c r="A90" s="154"/>
      <c r="B90" s="219">
        <v>1205015</v>
      </c>
      <c r="C90" s="155"/>
      <c r="D90" s="155"/>
      <c r="E90" s="105">
        <f>D90*$L$2</f>
        <v>0</v>
      </c>
      <c r="F90" s="156" t="s">
        <v>23</v>
      </c>
      <c r="G90" s="102" t="str">
        <f>VLOOKUP(B90,CÓDIGOS!$A$1:$B$1000,2)</f>
        <v>Cámara p/calentador BMC G3 Genérico</v>
      </c>
      <c r="H90" s="157"/>
      <c r="I90" s="157"/>
      <c r="J90" s="157"/>
      <c r="K90" s="193"/>
      <c r="L90" s="188">
        <f t="shared" si="2"/>
        <v>0</v>
      </c>
      <c r="M90" s="189">
        <f t="shared" si="3"/>
        <v>0</v>
      </c>
      <c r="N90" s="158"/>
      <c r="O90" s="159"/>
    </row>
    <row r="91" spans="1:15" ht="13.5" customHeight="1" x14ac:dyDescent="0.25">
      <c r="A91" s="147">
        <v>40162</v>
      </c>
      <c r="B91" s="220" t="s">
        <v>376</v>
      </c>
      <c r="C91" s="148" t="s">
        <v>9</v>
      </c>
      <c r="D91" s="149">
        <v>40.5</v>
      </c>
      <c r="E91" s="105">
        <f>D91*$L$2</f>
        <v>59535</v>
      </c>
      <c r="F91" s="150" t="s">
        <v>24</v>
      </c>
      <c r="G91" s="102" t="str">
        <f>VLOOKUP(B91,CÓDIGOS!$A$1:$B$1000,2)</f>
        <v>FILTRO DE AIRE INCUBADORA TR-307 (PACK X 4)</v>
      </c>
      <c r="H91" s="151" t="s">
        <v>16</v>
      </c>
      <c r="I91" s="151" t="s">
        <v>25</v>
      </c>
      <c r="J91" s="151">
        <v>1.2</v>
      </c>
      <c r="K91" s="194">
        <f>D91*$L$2*J91</f>
        <v>71442</v>
      </c>
      <c r="L91" s="188">
        <f t="shared" si="2"/>
        <v>78586.200000000012</v>
      </c>
      <c r="M91" s="189">
        <f t="shared" si="3"/>
        <v>59535</v>
      </c>
      <c r="N91" s="152">
        <f>D91*$C$5*1.4</f>
        <v>0</v>
      </c>
      <c r="O91" s="153">
        <f>D91*$C$5*1.5*1.21</f>
        <v>0</v>
      </c>
    </row>
    <row r="92" spans="1:15" ht="13.5" customHeight="1" x14ac:dyDescent="0.25">
      <c r="A92" s="29">
        <v>40151</v>
      </c>
      <c r="B92" s="221">
        <v>1208011</v>
      </c>
      <c r="C92" s="25" t="s">
        <v>11</v>
      </c>
      <c r="D92" s="27">
        <v>42</v>
      </c>
      <c r="E92" s="105">
        <f>D92*$L$2</f>
        <v>61740</v>
      </c>
      <c r="F92" s="2" t="s">
        <v>26</v>
      </c>
      <c r="G92" s="102" t="str">
        <f>VLOOKUP(B92,CÓDIGOS!$A$1:$B$1000,2)</f>
        <v>Filtro de aire CPAP/BPAP G3 Genérico</v>
      </c>
      <c r="H92" s="26" t="s">
        <v>27</v>
      </c>
      <c r="I92" s="26" t="s">
        <v>28</v>
      </c>
      <c r="J92" s="104">
        <v>1.2</v>
      </c>
      <c r="K92" s="187">
        <f>D92*$L$2*J92</f>
        <v>74088</v>
      </c>
      <c r="L92" s="188">
        <f t="shared" si="2"/>
        <v>81496.800000000003</v>
      </c>
      <c r="M92" s="189">
        <f t="shared" si="3"/>
        <v>61740</v>
      </c>
      <c r="N92" s="3">
        <f>D92*$C$5*1.4</f>
        <v>0</v>
      </c>
      <c r="O92" s="4">
        <f>D92*$C$5*1.5*1.21</f>
        <v>0</v>
      </c>
    </row>
    <row r="93" spans="1:15" ht="13.5" customHeight="1" x14ac:dyDescent="0.25">
      <c r="A93" s="29">
        <v>40151</v>
      </c>
      <c r="B93" s="221">
        <v>1208052</v>
      </c>
      <c r="C93" s="25" t="s">
        <v>11</v>
      </c>
      <c r="D93" s="27">
        <v>4.08</v>
      </c>
      <c r="E93" s="105">
        <f>D93*$L$2</f>
        <v>5997.6</v>
      </c>
      <c r="F93" s="2" t="s">
        <v>29</v>
      </c>
      <c r="G93" s="102" t="str">
        <f>VLOOKUP(B93,CÓDIGOS!$A$1:$B$1000,2)</f>
        <v>FILTRO HYGROBAC S ELECST HME 352/5877</v>
      </c>
      <c r="H93" s="26" t="s">
        <v>27</v>
      </c>
      <c r="I93" s="26" t="s">
        <v>30</v>
      </c>
      <c r="J93" s="104">
        <v>1.2</v>
      </c>
      <c r="K93" s="187">
        <f>D93*$L$2*J93</f>
        <v>7197.12</v>
      </c>
      <c r="L93" s="188">
        <f t="shared" si="2"/>
        <v>7916.8320000000003</v>
      </c>
      <c r="M93" s="189">
        <f t="shared" si="3"/>
        <v>5997.5999999999995</v>
      </c>
      <c r="N93" s="3">
        <f>D93*$C$5*1.4</f>
        <v>0</v>
      </c>
      <c r="O93" s="4">
        <f>D93*$C$5*1.5*1.21</f>
        <v>0</v>
      </c>
    </row>
    <row r="94" spans="1:15" ht="13.5" customHeight="1" x14ac:dyDescent="0.25">
      <c r="A94" s="30">
        <v>41086</v>
      </c>
      <c r="B94" s="222">
        <v>1208007</v>
      </c>
      <c r="C94" s="25" t="s">
        <v>11</v>
      </c>
      <c r="D94" s="27">
        <v>33</v>
      </c>
      <c r="E94" s="105">
        <f>D94*$L$2</f>
        <v>48510</v>
      </c>
      <c r="F94" s="2" t="s">
        <v>26</v>
      </c>
      <c r="G94" s="102" t="str">
        <f>VLOOKUP(B94,CÓDIGOS!$A$1:$B$1000,2)</f>
        <v>Filtro de aire CPAP/BPAP GII/G2S Genérico</v>
      </c>
      <c r="H94" s="26" t="s">
        <v>27</v>
      </c>
      <c r="I94" s="26">
        <v>525</v>
      </c>
      <c r="J94" s="104">
        <v>1.2</v>
      </c>
      <c r="K94" s="187">
        <f>D94*$L$2*J94</f>
        <v>58212</v>
      </c>
      <c r="L94" s="188">
        <f t="shared" si="2"/>
        <v>64033.200000000004</v>
      </c>
      <c r="M94" s="189">
        <f t="shared" si="3"/>
        <v>48510</v>
      </c>
      <c r="N94" s="3">
        <f>D94*$C$5*1.4</f>
        <v>0</v>
      </c>
      <c r="O94" s="4">
        <f>D94*$C$5*1.5*1.21</f>
        <v>0</v>
      </c>
    </row>
    <row r="95" spans="1:15" ht="13.5" customHeight="1" x14ac:dyDescent="0.25">
      <c r="A95" s="30">
        <v>41228</v>
      </c>
      <c r="B95" s="222">
        <v>1208004</v>
      </c>
      <c r="C95" s="25" t="s">
        <v>11</v>
      </c>
      <c r="D95" s="27">
        <v>38</v>
      </c>
      <c r="E95" s="105">
        <f>D95*$L$2</f>
        <v>55860</v>
      </c>
      <c r="F95" s="2" t="s">
        <v>26</v>
      </c>
      <c r="G95" s="102" t="str">
        <f>VLOOKUP(B95,CÓDIGOS!$A$1:$B$1000,2)</f>
        <v>Filtro de aire Auto CPAP BMC MINI Genérico</v>
      </c>
      <c r="H95" s="26" t="s">
        <v>27</v>
      </c>
      <c r="I95" s="26">
        <v>515</v>
      </c>
      <c r="J95" s="104">
        <v>1.2</v>
      </c>
      <c r="K95" s="187">
        <f>D95*$L$2*J95</f>
        <v>67032</v>
      </c>
      <c r="L95" s="188">
        <f t="shared" si="2"/>
        <v>73735.200000000012</v>
      </c>
      <c r="M95" s="189">
        <f t="shared" si="3"/>
        <v>55860</v>
      </c>
      <c r="N95" s="3">
        <f>D95*$C$5*1.4</f>
        <v>0</v>
      </c>
      <c r="O95" s="4">
        <f>D95*$C$5*1.5*1.21</f>
        <v>0</v>
      </c>
    </row>
    <row r="96" spans="1:15" ht="13.5" customHeight="1" x14ac:dyDescent="0.25">
      <c r="A96" s="28">
        <v>40336</v>
      </c>
      <c r="B96" s="223" t="s">
        <v>417</v>
      </c>
      <c r="C96" s="25" t="s">
        <v>9</v>
      </c>
      <c r="D96" s="27">
        <v>17.239999999999998</v>
      </c>
      <c r="E96" s="105">
        <f>D96*$L$2</f>
        <v>25342.799999999999</v>
      </c>
      <c r="F96" s="2" t="s">
        <v>31</v>
      </c>
      <c r="G96" s="102" t="str">
        <f>VLOOKUP(B96,CÓDIGOS!$A$1:$B$1000,2)</f>
        <v>Filtro de aire Incubadora Medix PC-305 Pack X4</v>
      </c>
      <c r="H96" s="26" t="s">
        <v>16</v>
      </c>
      <c r="I96" s="26" t="s">
        <v>32</v>
      </c>
      <c r="J96" s="104">
        <v>1.1999999999999997</v>
      </c>
      <c r="K96" s="187">
        <f>D96*$L$2*J96</f>
        <v>30411.359999999993</v>
      </c>
      <c r="L96" s="188">
        <f t="shared" si="2"/>
        <v>33452.495999999992</v>
      </c>
      <c r="M96" s="189">
        <f t="shared" si="3"/>
        <v>25342.799999999992</v>
      </c>
      <c r="N96" s="3">
        <f>D96*$C$5*1.4</f>
        <v>0</v>
      </c>
      <c r="O96" s="4">
        <f>D96*$C$5*1.5*1.21</f>
        <v>0</v>
      </c>
    </row>
    <row r="97" spans="1:15" ht="13.5" customHeight="1" x14ac:dyDescent="0.25">
      <c r="A97" s="34">
        <v>41893</v>
      </c>
      <c r="B97" s="224">
        <v>1208016</v>
      </c>
      <c r="C97" s="25" t="s">
        <v>35</v>
      </c>
      <c r="D97" s="27">
        <v>5</v>
      </c>
      <c r="E97" s="105">
        <f>D97*$L$2</f>
        <v>7350</v>
      </c>
      <c r="F97" s="2" t="s">
        <v>138</v>
      </c>
      <c r="G97" s="102" t="str">
        <f>VLOOKUP(B97,CÓDIGOS!$A$1:$B$1000,2)</f>
        <v>Filtro de aire interno AIR SEP NEW LIFE</v>
      </c>
      <c r="H97" s="35" t="s">
        <v>35</v>
      </c>
      <c r="I97" s="26" t="s">
        <v>36</v>
      </c>
      <c r="J97" s="104">
        <v>1.2</v>
      </c>
      <c r="K97" s="187">
        <f>D97*$L$2*J97</f>
        <v>8820</v>
      </c>
      <c r="L97" s="188">
        <f t="shared" si="2"/>
        <v>9702</v>
      </c>
      <c r="M97" s="189">
        <f t="shared" si="3"/>
        <v>7350</v>
      </c>
      <c r="N97" s="3">
        <f>D97*$C$5*1.4</f>
        <v>0</v>
      </c>
      <c r="O97" s="4">
        <f>D97*$C$5*1.5*1.21</f>
        <v>0</v>
      </c>
    </row>
    <row r="98" spans="1:15" ht="13.5" customHeight="1" x14ac:dyDescent="0.25">
      <c r="A98" s="28">
        <v>40220</v>
      </c>
      <c r="B98" s="223">
        <v>1208012</v>
      </c>
      <c r="C98" s="25" t="s">
        <v>35</v>
      </c>
      <c r="D98" s="27">
        <v>3</v>
      </c>
      <c r="E98" s="105">
        <f>D98*$L$2</f>
        <v>4410</v>
      </c>
      <c r="F98" s="2" t="s">
        <v>37</v>
      </c>
      <c r="G98" s="102" t="str">
        <f>VLOOKUP(B98,CÓDIGOS!$A$1:$B$1000,2)</f>
        <v>Filtro de aire externo AIR SEP NEW LIFE</v>
      </c>
      <c r="H98" s="26" t="s">
        <v>35</v>
      </c>
      <c r="I98" s="26" t="s">
        <v>38</v>
      </c>
      <c r="J98" s="104">
        <v>1.2</v>
      </c>
      <c r="K98" s="187">
        <f>D98*$L$2*J98</f>
        <v>5292</v>
      </c>
      <c r="L98" s="188">
        <f t="shared" si="2"/>
        <v>5821.2000000000007</v>
      </c>
      <c r="M98" s="189">
        <f t="shared" si="3"/>
        <v>4410</v>
      </c>
      <c r="N98" s="3">
        <f>D98*$C$5*1.4</f>
        <v>0</v>
      </c>
      <c r="O98" s="4">
        <f>D98*$C$5*1.5*1.21</f>
        <v>0</v>
      </c>
    </row>
    <row r="99" spans="1:15" ht="13.5" customHeight="1" x14ac:dyDescent="0.25">
      <c r="A99" s="28">
        <v>40220</v>
      </c>
      <c r="B99" s="223">
        <v>1208027</v>
      </c>
      <c r="C99" s="25" t="s">
        <v>35</v>
      </c>
      <c r="D99" s="27">
        <v>3</v>
      </c>
      <c r="E99" s="105">
        <f>D99*$L$2</f>
        <v>4410</v>
      </c>
      <c r="F99" s="2" t="s">
        <v>39</v>
      </c>
      <c r="G99" s="102" t="str">
        <f>VLOOKUP(B99,CÓDIGOS!$A$1:$B$1000,2)</f>
        <v>Filtro interno respirador ASTRAL 27939</v>
      </c>
      <c r="H99" s="26" t="s">
        <v>35</v>
      </c>
      <c r="I99" s="26" t="s">
        <v>40</v>
      </c>
      <c r="J99" s="104">
        <v>1.2</v>
      </c>
      <c r="K99" s="187">
        <f>D99*$L$2*J99</f>
        <v>5292</v>
      </c>
      <c r="L99" s="188">
        <f t="shared" si="2"/>
        <v>5821.2000000000007</v>
      </c>
      <c r="M99" s="189">
        <f t="shared" si="3"/>
        <v>4410</v>
      </c>
      <c r="N99" s="3">
        <f>D99*$C$5*1.4</f>
        <v>0</v>
      </c>
      <c r="O99" s="4">
        <f>D99*$C$5*1.5*1.21</f>
        <v>0</v>
      </c>
    </row>
    <row r="100" spans="1:15" ht="13.5" customHeight="1" x14ac:dyDescent="0.25">
      <c r="A100" s="28">
        <v>40319</v>
      </c>
      <c r="B100" s="223">
        <v>1208022</v>
      </c>
      <c r="C100" s="25" t="s">
        <v>35</v>
      </c>
      <c r="D100" s="27">
        <v>1.7</v>
      </c>
      <c r="E100" s="105">
        <f>D100*$L$2</f>
        <v>2499</v>
      </c>
      <c r="F100" s="2" t="s">
        <v>41</v>
      </c>
      <c r="G100" s="102" t="str">
        <f>VLOOKUP(B100,CÓDIGOS!$A$1:$B$1000,2)</f>
        <v>Filtro interno respirador ASTRAL 27939</v>
      </c>
      <c r="H100" s="26" t="s">
        <v>35</v>
      </c>
      <c r="I100" s="26" t="s">
        <v>42</v>
      </c>
      <c r="J100" s="104">
        <v>1.2</v>
      </c>
      <c r="K100" s="187">
        <f>D100*$L$2*J100</f>
        <v>2998.7999999999997</v>
      </c>
      <c r="L100" s="188">
        <f t="shared" si="2"/>
        <v>3298.68</v>
      </c>
      <c r="M100" s="189">
        <f t="shared" si="3"/>
        <v>2498.9999999999995</v>
      </c>
      <c r="N100" s="3">
        <f>D100*$C$5*1.4</f>
        <v>0</v>
      </c>
      <c r="O100" s="4">
        <f>D100*$C$5*1.5*1.21</f>
        <v>0</v>
      </c>
    </row>
    <row r="101" spans="1:15" ht="13.5" customHeight="1" thickBot="1" x14ac:dyDescent="0.3">
      <c r="A101" s="36">
        <v>40352</v>
      </c>
      <c r="B101" s="225">
        <v>1208053</v>
      </c>
      <c r="C101" s="25" t="s">
        <v>35</v>
      </c>
      <c r="D101" s="27">
        <v>1.28</v>
      </c>
      <c r="E101" s="105">
        <f>D101*$L$2</f>
        <v>1881.6000000000001</v>
      </c>
      <c r="F101" s="2" t="s">
        <v>43</v>
      </c>
      <c r="G101" s="102" t="str">
        <f>VLOOKUP(B101,CÓDIGOS!$A$1:$B$1000,2)</f>
        <v>Filtro HYGROBOY ELECST HME 355/5430</v>
      </c>
      <c r="H101" s="26" t="s">
        <v>35</v>
      </c>
      <c r="I101" s="26" t="s">
        <v>44</v>
      </c>
      <c r="J101" s="104">
        <v>1.2</v>
      </c>
      <c r="K101" s="187">
        <f>D101*$L$2*J101</f>
        <v>2257.92</v>
      </c>
      <c r="L101" s="188">
        <f t="shared" si="2"/>
        <v>2483.7120000000004</v>
      </c>
      <c r="M101" s="189">
        <f t="shared" si="3"/>
        <v>1881.6000000000001</v>
      </c>
      <c r="N101" s="3">
        <f>D101*$C$5*1.4</f>
        <v>0</v>
      </c>
      <c r="O101" s="4">
        <f>D101*$C$5*1.5*1.21</f>
        <v>0</v>
      </c>
    </row>
    <row r="102" spans="1:15" ht="13.5" customHeight="1" thickBot="1" x14ac:dyDescent="0.3">
      <c r="A102" s="37">
        <v>42019</v>
      </c>
      <c r="B102" s="226">
        <v>1208042</v>
      </c>
      <c r="C102" s="38" t="s">
        <v>15</v>
      </c>
      <c r="D102" s="27">
        <v>32</v>
      </c>
      <c r="E102" s="105">
        <f>D102*$L$2</f>
        <v>47040</v>
      </c>
      <c r="F102" s="2" t="s">
        <v>45</v>
      </c>
      <c r="G102" s="102" t="str">
        <f>VLOOKUP(B102,CÓDIGOS!$A$1:$B$1000,2)</f>
        <v>Carcaza cuerpo filtro comp. conc. G3 SP-516</v>
      </c>
      <c r="H102" s="26"/>
      <c r="I102" s="26"/>
      <c r="J102" s="104">
        <v>1.2</v>
      </c>
      <c r="K102" s="187">
        <f>D102*$L$2*J102</f>
        <v>56448</v>
      </c>
      <c r="L102" s="188">
        <f t="shared" si="2"/>
        <v>62092.800000000003</v>
      </c>
      <c r="M102" s="189">
        <f t="shared" si="3"/>
        <v>47040</v>
      </c>
      <c r="N102" s="3">
        <f>D102*$C$5*1.4</f>
        <v>0</v>
      </c>
      <c r="O102" s="4">
        <f>D102*$C$5*1.5*1.21</f>
        <v>0</v>
      </c>
    </row>
    <row r="103" spans="1:15" ht="13.5" customHeight="1" x14ac:dyDescent="0.25">
      <c r="A103" s="39">
        <v>41212</v>
      </c>
      <c r="B103" s="227">
        <v>1212003</v>
      </c>
      <c r="C103" s="25" t="s">
        <v>35</v>
      </c>
      <c r="D103" s="27">
        <v>2.2999999999999998</v>
      </c>
      <c r="E103" s="105">
        <f>D103*$L$2</f>
        <v>3380.9999999999995</v>
      </c>
      <c r="F103" s="2" t="s">
        <v>46</v>
      </c>
      <c r="G103" s="102" t="str">
        <f>VLOOKUP(B103,CÓDIGOS!$A$1:$B$1000,2)</f>
        <v>Sensor de saturación BMC Medical p/G3</v>
      </c>
      <c r="H103" s="26" t="s">
        <v>35</v>
      </c>
      <c r="I103" s="26" t="s">
        <v>47</v>
      </c>
      <c r="J103" s="104">
        <v>1.1999999999999997</v>
      </c>
      <c r="K103" s="187">
        <f>D103*$L$2*J103</f>
        <v>4057.1999999999985</v>
      </c>
      <c r="L103" s="188">
        <f t="shared" si="2"/>
        <v>4462.9199999999983</v>
      </c>
      <c r="M103" s="189">
        <f t="shared" si="3"/>
        <v>3380.9999999999986</v>
      </c>
      <c r="N103" s="3">
        <f>D103*$C$5*1.4</f>
        <v>0</v>
      </c>
      <c r="O103" s="4">
        <f>D103*$C$5*1.5*1.21</f>
        <v>0</v>
      </c>
    </row>
    <row r="104" spans="1:15" ht="13.5" customHeight="1" x14ac:dyDescent="0.25">
      <c r="A104" s="28">
        <v>40336</v>
      </c>
      <c r="B104" s="223">
        <v>1104017</v>
      </c>
      <c r="C104" s="25" t="s">
        <v>9</v>
      </c>
      <c r="D104" s="27">
        <v>2.42</v>
      </c>
      <c r="E104" s="105">
        <f>D104*$L$2</f>
        <v>3557.4</v>
      </c>
      <c r="F104" s="2" t="s">
        <v>46</v>
      </c>
      <c r="G104" s="102" t="e">
        <f>VLOOKUP(B104,CÓDIGOS!$A$1:$B$1000,2)</f>
        <v>#N/A</v>
      </c>
      <c r="H104" s="26" t="s">
        <v>16</v>
      </c>
      <c r="I104" s="26" t="s">
        <v>48</v>
      </c>
      <c r="J104" s="104">
        <v>1.2</v>
      </c>
      <c r="K104" s="187">
        <f>D104*$L$2*J104</f>
        <v>4268.88</v>
      </c>
      <c r="L104" s="188">
        <f t="shared" si="2"/>
        <v>4695.7680000000009</v>
      </c>
      <c r="M104" s="189">
        <f t="shared" si="3"/>
        <v>3557.4</v>
      </c>
      <c r="N104" s="3">
        <f>D104*$C$5*1.4</f>
        <v>0</v>
      </c>
      <c r="O104" s="4">
        <f>D104*$C$5*1.5*1.21</f>
        <v>0</v>
      </c>
    </row>
    <row r="105" spans="1:15" ht="13.5" customHeight="1" x14ac:dyDescent="0.25">
      <c r="A105" s="28">
        <v>40319</v>
      </c>
      <c r="B105" s="223" t="s">
        <v>430</v>
      </c>
      <c r="C105" s="25" t="s">
        <v>35</v>
      </c>
      <c r="D105" s="27">
        <v>1.8</v>
      </c>
      <c r="E105" s="105">
        <f>D105*$L$2</f>
        <v>2646</v>
      </c>
      <c r="F105" s="2" t="s">
        <v>49</v>
      </c>
      <c r="G105" s="102" t="str">
        <f>VLOOKUP(B105,CÓDIGOS!$A$1:$B$1000,2)</f>
        <v>Filtro compresor G3</v>
      </c>
      <c r="H105" s="26" t="s">
        <v>35</v>
      </c>
      <c r="I105" s="26" t="s">
        <v>50</v>
      </c>
      <c r="J105" s="104">
        <v>1.2</v>
      </c>
      <c r="K105" s="187">
        <f>D105*$L$2*J105</f>
        <v>3175.2</v>
      </c>
      <c r="L105" s="188">
        <f t="shared" si="2"/>
        <v>3492.7200000000003</v>
      </c>
      <c r="M105" s="189">
        <f t="shared" si="3"/>
        <v>2646</v>
      </c>
      <c r="N105" s="3">
        <f>D105*$C$5*1.4</f>
        <v>0</v>
      </c>
      <c r="O105" s="4">
        <f>D105*$C$5*1.5*1.21</f>
        <v>0</v>
      </c>
    </row>
    <row r="106" spans="1:15" ht="13.5" customHeight="1" x14ac:dyDescent="0.25">
      <c r="A106" s="28">
        <v>41159</v>
      </c>
      <c r="B106" s="223" t="s">
        <v>377</v>
      </c>
      <c r="C106" s="25" t="s">
        <v>15</v>
      </c>
      <c r="D106" s="27">
        <v>10</v>
      </c>
      <c r="E106" s="105">
        <f>D106*$L$2</f>
        <v>14700</v>
      </c>
      <c r="F106" s="2" t="s">
        <v>51</v>
      </c>
      <c r="G106" s="102" t="str">
        <f>VLOOKUP(B106,CÓDIGOS!$A$1:$B$1000,2)</f>
        <v>Filtro Tubo de entrada Ans Kit de cubierta USB G5</v>
      </c>
      <c r="H106" s="26" t="s">
        <v>16</v>
      </c>
      <c r="I106" s="26">
        <v>1029416</v>
      </c>
      <c r="J106" s="104">
        <v>1.2</v>
      </c>
      <c r="K106" s="187">
        <f>D106*$L$2*J106</f>
        <v>17640</v>
      </c>
      <c r="L106" s="188">
        <f t="shared" si="2"/>
        <v>19404</v>
      </c>
      <c r="M106" s="189">
        <f t="shared" si="3"/>
        <v>14700</v>
      </c>
      <c r="N106" s="3">
        <f>D106*$C$5*1.4</f>
        <v>0</v>
      </c>
      <c r="O106" s="4">
        <f>D106*$C$5*1.5*1.21</f>
        <v>0</v>
      </c>
    </row>
    <row r="107" spans="1:15" ht="13.5" customHeight="1" x14ac:dyDescent="0.25">
      <c r="A107" s="36">
        <v>42817</v>
      </c>
      <c r="B107" s="225">
        <v>1208046</v>
      </c>
      <c r="C107" s="25" t="s">
        <v>35</v>
      </c>
      <c r="D107" s="27">
        <v>4</v>
      </c>
      <c r="E107" s="105">
        <f>D107*$L$2</f>
        <v>5880</v>
      </c>
      <c r="F107" s="2" t="s">
        <v>112</v>
      </c>
      <c r="G107" s="102" t="str">
        <f>VLOOKUP(B107,CÓDIGOS!$A$1:$B$1000,2)</f>
        <v>Filtro p/conc. portátil LONGFIAN JAY-10D</v>
      </c>
      <c r="H107" s="26" t="s">
        <v>113</v>
      </c>
      <c r="I107" s="26" t="s">
        <v>114</v>
      </c>
      <c r="J107" s="104">
        <v>1.2</v>
      </c>
      <c r="K107" s="187">
        <f>D107*$L$2*J107</f>
        <v>7056</v>
      </c>
      <c r="L107" s="188">
        <f t="shared" si="2"/>
        <v>7761.6</v>
      </c>
      <c r="M107" s="189">
        <f t="shared" si="3"/>
        <v>5880</v>
      </c>
      <c r="N107" s="3">
        <f>D107*$C$5*1.4</f>
        <v>0</v>
      </c>
      <c r="O107" s="4">
        <f>D107*$C$5*1.5*1.21</f>
        <v>0</v>
      </c>
    </row>
    <row r="108" spans="1:15" ht="13.5" customHeight="1" x14ac:dyDescent="0.25">
      <c r="A108" s="36">
        <v>42817</v>
      </c>
      <c r="B108" s="225">
        <v>1208024</v>
      </c>
      <c r="C108" s="25" t="s">
        <v>35</v>
      </c>
      <c r="D108" s="27">
        <v>1.5</v>
      </c>
      <c r="E108" s="105">
        <f>D108*$L$2</f>
        <v>2205</v>
      </c>
      <c r="F108" s="2" t="s">
        <v>115</v>
      </c>
      <c r="G108" s="102" t="str">
        <f>VLOOKUP(B108,CÓDIGOS!$A$1:$B$1000,2)</f>
        <v>Filtro interno respirador ASTRAL 27939</v>
      </c>
      <c r="H108" s="26" t="s">
        <v>113</v>
      </c>
      <c r="I108" s="26" t="s">
        <v>116</v>
      </c>
      <c r="J108" s="104">
        <v>1.2</v>
      </c>
      <c r="K108" s="187">
        <f>D108*$L$2*J108</f>
        <v>2646</v>
      </c>
      <c r="L108" s="188">
        <f t="shared" si="2"/>
        <v>2910.6000000000004</v>
      </c>
      <c r="M108" s="189">
        <f t="shared" si="3"/>
        <v>2205</v>
      </c>
      <c r="N108" s="3">
        <f>D108*$C$5*1.4</f>
        <v>0</v>
      </c>
      <c r="O108" s="4">
        <f>D108*$C$5*1.5*1.21</f>
        <v>0</v>
      </c>
    </row>
    <row r="109" spans="1:15" ht="13.5" customHeight="1" x14ac:dyDescent="0.25">
      <c r="A109" s="36">
        <v>42817</v>
      </c>
      <c r="B109" s="225">
        <v>1208017</v>
      </c>
      <c r="C109" s="25" t="s">
        <v>35</v>
      </c>
      <c r="D109" s="27">
        <v>1.2</v>
      </c>
      <c r="E109" s="105">
        <f>D109*$L$2</f>
        <v>1764</v>
      </c>
      <c r="F109" s="2" t="s">
        <v>115</v>
      </c>
      <c r="G109" s="102" t="str">
        <f>VLOOKUP(B109,CÓDIGOS!$A$1:$B$1000,2)</f>
        <v>Filtro de aire interno JAY5 / JAY10 / JAY5Q</v>
      </c>
      <c r="H109" s="26" t="s">
        <v>113</v>
      </c>
      <c r="I109" s="26" t="s">
        <v>117</v>
      </c>
      <c r="J109" s="104">
        <v>1.2</v>
      </c>
      <c r="K109" s="187">
        <f>D109*$L$2*J109</f>
        <v>2116.7999999999997</v>
      </c>
      <c r="L109" s="188">
        <f t="shared" si="2"/>
        <v>2328.48</v>
      </c>
      <c r="M109" s="189">
        <f t="shared" si="3"/>
        <v>1763.9999999999998</v>
      </c>
      <c r="N109" s="3">
        <f>D109*$C$5*1.4</f>
        <v>0</v>
      </c>
      <c r="O109" s="4">
        <f>D109*$C$5*1.5*1.21</f>
        <v>0</v>
      </c>
    </row>
    <row r="110" spans="1:15" ht="13.5" customHeight="1" thickBot="1" x14ac:dyDescent="0.3">
      <c r="A110" s="36">
        <v>42817</v>
      </c>
      <c r="B110" s="225" t="s">
        <v>406</v>
      </c>
      <c r="C110" s="173" t="s">
        <v>35</v>
      </c>
      <c r="D110" s="142">
        <v>1.2</v>
      </c>
      <c r="E110" s="105">
        <f>D110*$L$2</f>
        <v>1764</v>
      </c>
      <c r="F110" s="143" t="s">
        <v>118</v>
      </c>
      <c r="G110" s="102" t="str">
        <f>VLOOKUP(B110,CÓDIGOS!$A$1:$B$1000,2)</f>
        <v>Cuerpo del filtro inogen G3</v>
      </c>
      <c r="H110" s="144" t="s">
        <v>17</v>
      </c>
      <c r="I110" s="144" t="s">
        <v>119</v>
      </c>
      <c r="J110" s="144">
        <v>1.2</v>
      </c>
      <c r="K110" s="192">
        <f>D110*$L$2*J110</f>
        <v>2116.7999999999997</v>
      </c>
      <c r="L110" s="188">
        <f t="shared" si="2"/>
        <v>2328.48</v>
      </c>
      <c r="M110" s="189">
        <f t="shared" si="3"/>
        <v>1763.9999999999998</v>
      </c>
      <c r="N110" s="145">
        <f>D110*$C$5*1.4</f>
        <v>0</v>
      </c>
      <c r="O110" s="146">
        <f>D110*$C$5*1.5*1.21</f>
        <v>0</v>
      </c>
    </row>
    <row r="111" spans="1:15" ht="13.5" customHeight="1" thickBot="1" x14ac:dyDescent="0.3">
      <c r="A111" s="178"/>
      <c r="B111" s="228">
        <v>1104009</v>
      </c>
      <c r="C111" s="155"/>
      <c r="D111" s="179"/>
      <c r="E111" s="105">
        <f>D111*$L$2</f>
        <v>0</v>
      </c>
      <c r="F111" s="156" t="s">
        <v>167</v>
      </c>
      <c r="G111" s="102" t="e">
        <f>VLOOKUP(B111,CÓDIGOS!$A$1:$B$1000,2)</f>
        <v>#N/A</v>
      </c>
      <c r="H111" s="157"/>
      <c r="I111" s="157"/>
      <c r="J111" s="157"/>
      <c r="K111" s="195">
        <f>D111*$L$2*J111</f>
        <v>0</v>
      </c>
      <c r="L111" s="188">
        <f t="shared" si="2"/>
        <v>0</v>
      </c>
      <c r="M111" s="189">
        <f t="shared" si="3"/>
        <v>0</v>
      </c>
      <c r="N111" s="158"/>
      <c r="O111" s="159"/>
    </row>
    <row r="112" spans="1:15" ht="13.5" customHeight="1" x14ac:dyDescent="0.25">
      <c r="A112" s="174">
        <v>44985</v>
      </c>
      <c r="B112" s="229"/>
      <c r="C112" s="175" t="s">
        <v>6</v>
      </c>
      <c r="D112" s="149">
        <v>25.5</v>
      </c>
      <c r="E112" s="105">
        <f>D112*$L$2</f>
        <v>37485</v>
      </c>
      <c r="F112" s="176" t="s">
        <v>168</v>
      </c>
      <c r="G112" s="102" t="e">
        <f>VLOOKUP(B112,CÓDIGOS!$A$1:$B$1000,2)</f>
        <v>#N/A</v>
      </c>
      <c r="H112" s="177"/>
      <c r="J112" s="151">
        <v>1.2</v>
      </c>
      <c r="K112" s="194">
        <f>D112*$L$2*J112</f>
        <v>44982</v>
      </c>
      <c r="L112" s="188">
        <f t="shared" si="2"/>
        <v>49480.200000000004</v>
      </c>
      <c r="M112" s="189">
        <f t="shared" si="3"/>
        <v>37485</v>
      </c>
      <c r="N112" s="152">
        <f>D112*$C$5*1.4</f>
        <v>0</v>
      </c>
      <c r="O112" s="153">
        <f>D112*$C$5*1.5*1.21</f>
        <v>0</v>
      </c>
    </row>
    <row r="113" spans="1:15" ht="13.5" customHeight="1" x14ac:dyDescent="0.25">
      <c r="A113" s="79">
        <v>44985</v>
      </c>
      <c r="B113" s="230"/>
      <c r="C113" s="38" t="s">
        <v>6</v>
      </c>
      <c r="D113" s="105">
        <v>300</v>
      </c>
      <c r="E113" s="105">
        <f>D113*$L$2</f>
        <v>441000</v>
      </c>
      <c r="F113" s="82" t="s">
        <v>169</v>
      </c>
      <c r="G113" s="102" t="e">
        <f>VLOOKUP(B113,CÓDIGOS!$A$1:$B$1000,2)</f>
        <v>#N/A</v>
      </c>
      <c r="H113" s="81"/>
      <c r="J113" s="104">
        <v>1.2</v>
      </c>
      <c r="K113" s="187">
        <f>D113*$L$2*J113</f>
        <v>529200</v>
      </c>
      <c r="L113" s="188">
        <f t="shared" si="2"/>
        <v>582120</v>
      </c>
      <c r="M113" s="189">
        <f t="shared" si="3"/>
        <v>441000</v>
      </c>
      <c r="N113" s="3">
        <f>D113*$C$5*1.4</f>
        <v>0</v>
      </c>
      <c r="O113" s="4">
        <f>D113*$C$5*1.5*1.21</f>
        <v>0</v>
      </c>
    </row>
    <row r="114" spans="1:15" ht="13.5" customHeight="1" x14ac:dyDescent="0.25">
      <c r="A114" s="79">
        <v>44985</v>
      </c>
      <c r="B114" s="230"/>
      <c r="C114" s="38" t="s">
        <v>6</v>
      </c>
      <c r="D114" s="105">
        <v>15</v>
      </c>
      <c r="E114" s="105">
        <f>D114*$L$2</f>
        <v>22050</v>
      </c>
      <c r="F114" s="82" t="s">
        <v>170</v>
      </c>
      <c r="G114" s="102" t="e">
        <f>VLOOKUP(B114,CÓDIGOS!$A$1:$B$1000,2)</f>
        <v>#N/A</v>
      </c>
      <c r="H114" s="81"/>
      <c r="J114" s="104">
        <v>1.2</v>
      </c>
      <c r="K114" s="187">
        <f>D114*$L$2*J114</f>
        <v>26460</v>
      </c>
      <c r="L114" s="188">
        <f t="shared" si="2"/>
        <v>29106.000000000004</v>
      </c>
      <c r="M114" s="189">
        <f t="shared" si="3"/>
        <v>22050</v>
      </c>
      <c r="N114" s="3">
        <f>D114*$C$5*1.4</f>
        <v>0</v>
      </c>
      <c r="O114" s="4">
        <f>D114*$C$5*1.5*1.21</f>
        <v>0</v>
      </c>
    </row>
    <row r="115" spans="1:15" ht="13.5" customHeight="1" x14ac:dyDescent="0.25">
      <c r="A115" s="79">
        <v>44985</v>
      </c>
      <c r="B115" s="231"/>
      <c r="C115" s="38" t="s">
        <v>6</v>
      </c>
      <c r="D115" s="105">
        <v>12</v>
      </c>
      <c r="E115" s="105">
        <f>D115*$L$2</f>
        <v>17640</v>
      </c>
      <c r="F115" s="80" t="s">
        <v>182</v>
      </c>
      <c r="G115" s="102" t="e">
        <f>VLOOKUP(B115,CÓDIGOS!$A$1:$B$1000,2)</f>
        <v>#N/A</v>
      </c>
      <c r="H115" s="81"/>
      <c r="J115" s="104">
        <v>1.2</v>
      </c>
      <c r="K115" s="187">
        <f>D115*$L$2*J115</f>
        <v>21168</v>
      </c>
      <c r="L115" s="188">
        <f t="shared" si="2"/>
        <v>23284.800000000003</v>
      </c>
      <c r="M115" s="189">
        <f t="shared" si="3"/>
        <v>17640</v>
      </c>
      <c r="N115" s="3">
        <f>D115*$C$5*1.4</f>
        <v>0</v>
      </c>
      <c r="O115" s="4">
        <f>D115*$C$5*1.5*1.21</f>
        <v>0</v>
      </c>
    </row>
    <row r="116" spans="1:15" ht="13.5" customHeight="1" x14ac:dyDescent="0.25">
      <c r="A116" s="79">
        <v>44985</v>
      </c>
      <c r="B116" s="231"/>
      <c r="C116" s="38" t="s">
        <v>6</v>
      </c>
      <c r="D116" s="105">
        <v>25</v>
      </c>
      <c r="E116" s="105">
        <f>D116*$L$2</f>
        <v>36750</v>
      </c>
      <c r="F116" s="80" t="s">
        <v>183</v>
      </c>
      <c r="G116" s="102" t="e">
        <f>VLOOKUP(B116,CÓDIGOS!$A$1:$B$1000,2)</f>
        <v>#N/A</v>
      </c>
      <c r="H116" s="81"/>
      <c r="J116" s="104">
        <v>1.2</v>
      </c>
      <c r="K116" s="187">
        <f>D116*$L$2*J116</f>
        <v>44100</v>
      </c>
      <c r="L116" s="188">
        <f t="shared" si="2"/>
        <v>48510.000000000007</v>
      </c>
      <c r="M116" s="189">
        <f t="shared" si="3"/>
        <v>36750</v>
      </c>
      <c r="N116" s="3">
        <f>D116*$C$5*1.4</f>
        <v>0</v>
      </c>
      <c r="O116" s="4">
        <f>D116*$C$5*1.5*1.21</f>
        <v>0</v>
      </c>
    </row>
    <row r="117" spans="1:15" ht="13.5" customHeight="1" x14ac:dyDescent="0.25">
      <c r="A117" s="79">
        <v>44985</v>
      </c>
      <c r="B117" s="231"/>
      <c r="C117" s="38" t="s">
        <v>6</v>
      </c>
      <c r="D117" s="105">
        <v>10</v>
      </c>
      <c r="E117" s="105">
        <f>D117*$L$2</f>
        <v>14700</v>
      </c>
      <c r="F117" s="80" t="s">
        <v>184</v>
      </c>
      <c r="G117" s="102" t="e">
        <f>VLOOKUP(B117,CÓDIGOS!$A$1:$B$1000,2)</f>
        <v>#N/A</v>
      </c>
      <c r="H117" s="81"/>
      <c r="J117" s="104">
        <v>1.2</v>
      </c>
      <c r="K117" s="187">
        <f>D117*$L$2*J117</f>
        <v>17640</v>
      </c>
      <c r="L117" s="188">
        <f t="shared" si="2"/>
        <v>19404</v>
      </c>
      <c r="M117" s="189">
        <f t="shared" si="3"/>
        <v>14700</v>
      </c>
      <c r="N117" s="3">
        <f>D117*$C$5*1.4</f>
        <v>0</v>
      </c>
      <c r="O117" s="4">
        <f>D117*$C$5*1.5*1.21</f>
        <v>0</v>
      </c>
    </row>
    <row r="118" spans="1:15" ht="13.5" customHeight="1" x14ac:dyDescent="0.25">
      <c r="A118" s="79">
        <v>44985</v>
      </c>
      <c r="B118" s="231"/>
      <c r="C118" s="38" t="s">
        <v>6</v>
      </c>
      <c r="D118" s="105">
        <v>40</v>
      </c>
      <c r="E118" s="105">
        <f>D118*$L$2</f>
        <v>58800</v>
      </c>
      <c r="F118" s="80" t="s">
        <v>185</v>
      </c>
      <c r="G118" s="102" t="e">
        <f>VLOOKUP(B118,CÓDIGOS!$A$1:$B$1000,2)</f>
        <v>#N/A</v>
      </c>
      <c r="H118" s="81"/>
      <c r="J118" s="104">
        <v>1.2</v>
      </c>
      <c r="K118" s="187">
        <f>D118*$L$2*J118</f>
        <v>70560</v>
      </c>
      <c r="L118" s="188">
        <f t="shared" si="2"/>
        <v>77616</v>
      </c>
      <c r="M118" s="189">
        <f t="shared" si="3"/>
        <v>58800</v>
      </c>
      <c r="N118" s="3">
        <f>D118*$C$5*1.4</f>
        <v>0</v>
      </c>
      <c r="O118" s="4">
        <f>D118*$C$5*1.5*1.21</f>
        <v>0</v>
      </c>
    </row>
    <row r="119" spans="1:15" ht="13.5" customHeight="1" x14ac:dyDescent="0.25">
      <c r="A119" s="79">
        <v>44985</v>
      </c>
      <c r="B119" s="231"/>
      <c r="C119" s="38" t="s">
        <v>6</v>
      </c>
      <c r="D119" s="105">
        <v>100</v>
      </c>
      <c r="E119" s="105">
        <f>D119*$L$2</f>
        <v>147000</v>
      </c>
      <c r="F119" s="80" t="s">
        <v>186</v>
      </c>
      <c r="G119" s="102" t="e">
        <f>VLOOKUP(B119,CÓDIGOS!$A$1:$B$1000,2)</f>
        <v>#N/A</v>
      </c>
      <c r="H119" s="81"/>
      <c r="J119" s="104">
        <v>1.2</v>
      </c>
      <c r="K119" s="187">
        <f>D119*$L$2*J119</f>
        <v>176400</v>
      </c>
      <c r="L119" s="188">
        <f t="shared" si="2"/>
        <v>194040.00000000003</v>
      </c>
      <c r="M119" s="189">
        <f t="shared" si="3"/>
        <v>147000</v>
      </c>
      <c r="N119" s="3">
        <f>D119*$C$5*1.4</f>
        <v>0</v>
      </c>
      <c r="O119" s="4">
        <f>D119*$C$5*1.5*1.21</f>
        <v>0</v>
      </c>
    </row>
    <row r="120" spans="1:15" ht="13.5" customHeight="1" x14ac:dyDescent="0.25">
      <c r="A120" s="79">
        <v>44985</v>
      </c>
      <c r="B120" s="231"/>
      <c r="C120" s="38" t="s">
        <v>6</v>
      </c>
      <c r="D120" s="105">
        <v>25</v>
      </c>
      <c r="E120" s="105">
        <f>D120*$L$2</f>
        <v>36750</v>
      </c>
      <c r="F120" s="80" t="s">
        <v>187</v>
      </c>
      <c r="G120" s="102" t="e">
        <f>VLOOKUP(B120,CÓDIGOS!$A$1:$B$1000,2)</f>
        <v>#N/A</v>
      </c>
      <c r="H120" s="81"/>
      <c r="J120" s="104">
        <v>1.2</v>
      </c>
      <c r="K120" s="187">
        <f>D120*$L$2*J120</f>
        <v>44100</v>
      </c>
      <c r="L120" s="188">
        <f t="shared" si="2"/>
        <v>48510.000000000007</v>
      </c>
      <c r="M120" s="189">
        <f t="shared" si="3"/>
        <v>36750</v>
      </c>
      <c r="N120" s="3">
        <f>D120*$C$5*1.4</f>
        <v>0</v>
      </c>
      <c r="O120" s="4">
        <f>D120*$C$5*1.5*1.21</f>
        <v>0</v>
      </c>
    </row>
    <row r="121" spans="1:15" ht="13.5" customHeight="1" x14ac:dyDescent="0.25">
      <c r="A121" s="79">
        <v>44985</v>
      </c>
      <c r="B121" s="231"/>
      <c r="C121" s="38" t="s">
        <v>6</v>
      </c>
      <c r="D121" s="105">
        <v>6</v>
      </c>
      <c r="E121" s="105">
        <f>D121*$L$2</f>
        <v>8820</v>
      </c>
      <c r="F121" s="80" t="s">
        <v>188</v>
      </c>
      <c r="G121" s="102" t="e">
        <f>VLOOKUP(B121,CÓDIGOS!$A$1:$B$1000,2)</f>
        <v>#N/A</v>
      </c>
      <c r="H121" s="81"/>
      <c r="J121" s="104">
        <v>1.2</v>
      </c>
      <c r="K121" s="187">
        <f>D121*$L$2*J121</f>
        <v>10584</v>
      </c>
      <c r="L121" s="188">
        <f t="shared" si="2"/>
        <v>11642.400000000001</v>
      </c>
      <c r="M121" s="189">
        <f t="shared" si="3"/>
        <v>8820</v>
      </c>
      <c r="N121" s="3">
        <f>D121*$C$5*1.4</f>
        <v>0</v>
      </c>
      <c r="O121" s="4">
        <f>D121*$C$5*1.5*1.21</f>
        <v>0</v>
      </c>
    </row>
    <row r="122" spans="1:15" ht="13.5" customHeight="1" x14ac:dyDescent="0.25">
      <c r="A122" s="79">
        <v>44985</v>
      </c>
      <c r="B122" s="231"/>
      <c r="C122" s="38" t="s">
        <v>6</v>
      </c>
      <c r="D122" s="105">
        <v>165</v>
      </c>
      <c r="E122" s="105">
        <f>D122*$L$2</f>
        <v>242550</v>
      </c>
      <c r="F122" s="80" t="s">
        <v>189</v>
      </c>
      <c r="G122" s="102" t="e">
        <f>VLOOKUP(B122,CÓDIGOS!$A$1:$B$1000,2)</f>
        <v>#N/A</v>
      </c>
      <c r="H122" s="81"/>
      <c r="J122" s="104">
        <v>1.2</v>
      </c>
      <c r="K122" s="187">
        <f>D122*$L$2*J122</f>
        <v>291060</v>
      </c>
      <c r="L122" s="188">
        <f t="shared" si="2"/>
        <v>320166</v>
      </c>
      <c r="M122" s="189">
        <f t="shared" si="3"/>
        <v>242550</v>
      </c>
      <c r="N122" s="3">
        <f>D122*$C$5*1.4</f>
        <v>0</v>
      </c>
      <c r="O122" s="4">
        <f>D122*$C$5*1.5*1.21</f>
        <v>0</v>
      </c>
    </row>
    <row r="123" spans="1:15" ht="13.5" customHeight="1" x14ac:dyDescent="0.25">
      <c r="A123" s="79">
        <v>45107</v>
      </c>
      <c r="B123" s="232"/>
      <c r="C123" s="38" t="s">
        <v>6</v>
      </c>
      <c r="D123" s="105">
        <v>938</v>
      </c>
      <c r="E123" s="105">
        <f>D123*$L$2</f>
        <v>1378860</v>
      </c>
      <c r="F123" s="80" t="s">
        <v>225</v>
      </c>
      <c r="G123" s="102" t="e">
        <f>VLOOKUP(B123,CÓDIGOS!$A$1:$B$1000,2)</f>
        <v>#N/A</v>
      </c>
      <c r="H123" s="81"/>
      <c r="I123" s="81"/>
      <c r="J123" s="104">
        <v>1.1999999999999997</v>
      </c>
      <c r="K123" s="187">
        <f>D123*$L$2*J123</f>
        <v>1654631.9999999995</v>
      </c>
      <c r="L123" s="188">
        <f t="shared" si="2"/>
        <v>1820095.1999999997</v>
      </c>
      <c r="M123" s="189">
        <f t="shared" si="3"/>
        <v>1378859.9999999998</v>
      </c>
      <c r="N123" s="65">
        <f>D123*$C$5*1.4</f>
        <v>0</v>
      </c>
      <c r="O123" s="66">
        <f>D123*$C$5*1.5*1.21</f>
        <v>0</v>
      </c>
    </row>
    <row r="124" spans="1:15" ht="13.5" customHeight="1" x14ac:dyDescent="0.25">
      <c r="A124" s="79">
        <v>45107</v>
      </c>
      <c r="B124" s="232">
        <v>1104010</v>
      </c>
      <c r="C124" s="38" t="s">
        <v>6</v>
      </c>
      <c r="D124" s="105">
        <v>21</v>
      </c>
      <c r="E124" s="105">
        <f>D124*$L$2</f>
        <v>30870</v>
      </c>
      <c r="F124" s="80" t="s">
        <v>226</v>
      </c>
      <c r="G124" s="102" t="e">
        <f>VLOOKUP(B124,CÓDIGOS!$A$1:$B$1000,2)</f>
        <v>#N/A</v>
      </c>
      <c r="H124" s="81"/>
      <c r="I124" s="81"/>
      <c r="J124" s="104">
        <v>1.2</v>
      </c>
      <c r="K124" s="187">
        <f>D124*$L$2*J124</f>
        <v>37044</v>
      </c>
      <c r="L124" s="188">
        <f t="shared" si="2"/>
        <v>40748.400000000001</v>
      </c>
      <c r="M124" s="189">
        <f t="shared" si="3"/>
        <v>30870</v>
      </c>
      <c r="N124" s="65">
        <f>D124*$C$5*1.4</f>
        <v>0</v>
      </c>
      <c r="O124" s="66">
        <f>D124*$C$5*1.5*1.21</f>
        <v>0</v>
      </c>
    </row>
    <row r="125" spans="1:15" ht="13.5" customHeight="1" x14ac:dyDescent="0.25">
      <c r="A125" s="79">
        <v>45107</v>
      </c>
      <c r="B125" s="232"/>
      <c r="C125" s="38" t="s">
        <v>6</v>
      </c>
      <c r="D125" s="105">
        <v>126</v>
      </c>
      <c r="E125" s="105">
        <f>D125*$L$2</f>
        <v>185220</v>
      </c>
      <c r="F125" s="80" t="s">
        <v>227</v>
      </c>
      <c r="G125" s="102" t="e">
        <f>VLOOKUP(B125,CÓDIGOS!$A$1:$B$1000,2)</f>
        <v>#N/A</v>
      </c>
      <c r="H125" s="81"/>
      <c r="I125" s="81"/>
      <c r="J125" s="104">
        <v>1.1999999999999997</v>
      </c>
      <c r="K125" s="187">
        <f>D125*$L$2*J125</f>
        <v>222263.99999999994</v>
      </c>
      <c r="L125" s="188">
        <f t="shared" si="2"/>
        <v>244490.39999999997</v>
      </c>
      <c r="M125" s="189">
        <f t="shared" si="3"/>
        <v>185219.99999999997</v>
      </c>
      <c r="N125" s="65">
        <f>D125*$C$5*1.4</f>
        <v>0</v>
      </c>
      <c r="O125" s="66">
        <f>D125*$C$5*1.5*1.21</f>
        <v>0</v>
      </c>
    </row>
    <row r="126" spans="1:15" ht="13.5" customHeight="1" x14ac:dyDescent="0.25">
      <c r="A126" s="79">
        <v>45107</v>
      </c>
      <c r="B126" s="232">
        <v>1104019</v>
      </c>
      <c r="C126" s="38" t="s">
        <v>6</v>
      </c>
      <c r="D126" s="105">
        <v>11.5</v>
      </c>
      <c r="E126" s="105">
        <f>D126*$L$2</f>
        <v>16905</v>
      </c>
      <c r="F126" s="80" t="s">
        <v>228</v>
      </c>
      <c r="G126" s="102" t="e">
        <f>VLOOKUP(B126,CÓDIGOS!$A$1:$B$1000,2)</f>
        <v>#N/A</v>
      </c>
      <c r="H126" s="81"/>
      <c r="I126" s="81"/>
      <c r="J126" s="104">
        <v>1.2</v>
      </c>
      <c r="K126" s="187">
        <f>D126*$L$2*J126</f>
        <v>20286</v>
      </c>
      <c r="L126" s="188">
        <f t="shared" si="2"/>
        <v>22314.600000000002</v>
      </c>
      <c r="M126" s="189">
        <f t="shared" si="3"/>
        <v>16905</v>
      </c>
      <c r="N126" s="65">
        <f>D126*$C$5*1.4</f>
        <v>0</v>
      </c>
      <c r="O126" s="66">
        <f>D126*$C$5*1.5*1.21</f>
        <v>0</v>
      </c>
    </row>
    <row r="127" spans="1:15" ht="13.5" customHeight="1" x14ac:dyDescent="0.25">
      <c r="A127" s="79">
        <v>45107</v>
      </c>
      <c r="B127" s="232">
        <v>1104028</v>
      </c>
      <c r="C127" s="38" t="s">
        <v>6</v>
      </c>
      <c r="D127" s="105">
        <v>73</v>
      </c>
      <c r="E127" s="105">
        <f>D127*$L$2</f>
        <v>107310</v>
      </c>
      <c r="F127" s="80" t="s">
        <v>229</v>
      </c>
      <c r="G127" s="102" t="e">
        <f>VLOOKUP(B127,CÓDIGOS!$A$1:$B$1000,2)</f>
        <v>#N/A</v>
      </c>
      <c r="H127" s="81"/>
      <c r="I127" s="81"/>
      <c r="J127" s="104">
        <v>1.1999999999999997</v>
      </c>
      <c r="K127" s="187">
        <f>D127*$L$2*J127</f>
        <v>128771.99999999997</v>
      </c>
      <c r="L127" s="188">
        <f t="shared" si="2"/>
        <v>141649.19999999998</v>
      </c>
      <c r="M127" s="189">
        <f t="shared" si="3"/>
        <v>107309.99999999999</v>
      </c>
      <c r="N127" s="65">
        <f>D127*$C$5*1.4</f>
        <v>0</v>
      </c>
      <c r="O127" s="66">
        <f>D127*$C$5*1.5*1.21</f>
        <v>0</v>
      </c>
    </row>
    <row r="128" spans="1:15" ht="13.5" customHeight="1" x14ac:dyDescent="0.25">
      <c r="A128" s="79">
        <v>45107</v>
      </c>
      <c r="B128" s="232">
        <v>1104024</v>
      </c>
      <c r="C128" s="38" t="s">
        <v>6</v>
      </c>
      <c r="D128" s="105">
        <v>8.5</v>
      </c>
      <c r="E128" s="105">
        <f>D128*$L$2</f>
        <v>12495</v>
      </c>
      <c r="F128" s="80" t="s">
        <v>230</v>
      </c>
      <c r="G128" s="102" t="e">
        <f>VLOOKUP(B128,CÓDIGOS!$A$1:$B$1000,2)</f>
        <v>#N/A</v>
      </c>
      <c r="H128" s="81"/>
      <c r="I128" s="81"/>
      <c r="J128" s="104">
        <v>1.1999999999999997</v>
      </c>
      <c r="K128" s="187">
        <f>D128*$L$2*J128</f>
        <v>14993.999999999996</v>
      </c>
      <c r="L128" s="188">
        <f t="shared" si="2"/>
        <v>16493.399999999998</v>
      </c>
      <c r="M128" s="189">
        <f t="shared" si="3"/>
        <v>12494.999999999998</v>
      </c>
      <c r="N128" s="65">
        <f>D128*$C$5*1.4</f>
        <v>0</v>
      </c>
      <c r="O128" s="66">
        <f>D128*$C$5*1.5*1.21</f>
        <v>0</v>
      </c>
    </row>
    <row r="129" spans="1:15" ht="13.5" customHeight="1" x14ac:dyDescent="0.25">
      <c r="A129" s="79">
        <v>45107</v>
      </c>
      <c r="B129" s="232">
        <v>1104031</v>
      </c>
      <c r="C129" s="38" t="s">
        <v>6</v>
      </c>
      <c r="D129" s="105">
        <v>7</v>
      </c>
      <c r="E129" s="105">
        <f>D129*$L$2</f>
        <v>10290</v>
      </c>
      <c r="F129" s="80" t="s">
        <v>231</v>
      </c>
      <c r="G129" s="102" t="e">
        <f>VLOOKUP(B129,CÓDIGOS!$A$1:$B$1000,2)</f>
        <v>#N/A</v>
      </c>
      <c r="H129" s="81"/>
      <c r="I129" s="81"/>
      <c r="J129" s="104">
        <v>1.2</v>
      </c>
      <c r="K129" s="187">
        <f>D129*$L$2*J129</f>
        <v>12348</v>
      </c>
      <c r="L129" s="188">
        <f t="shared" si="2"/>
        <v>13582.800000000001</v>
      </c>
      <c r="M129" s="189">
        <f t="shared" si="3"/>
        <v>10290</v>
      </c>
      <c r="N129" s="65">
        <f>D129*$C$5*1.4</f>
        <v>0</v>
      </c>
      <c r="O129" s="66">
        <f>D129*$C$5*1.5*1.21</f>
        <v>0</v>
      </c>
    </row>
    <row r="130" spans="1:15" ht="13.5" customHeight="1" x14ac:dyDescent="0.25">
      <c r="A130" s="19"/>
      <c r="B130" s="233"/>
      <c r="C130" s="19"/>
      <c r="D130" s="19"/>
      <c r="E130" s="105">
        <f>D130*$L$2</f>
        <v>0</v>
      </c>
      <c r="F130" s="20" t="s">
        <v>19</v>
      </c>
      <c r="G130" s="102" t="e">
        <f>VLOOKUP(B130,CÓDIGOS!$A$1:$B$1000,2)</f>
        <v>#N/A</v>
      </c>
      <c r="H130" s="20"/>
      <c r="I130" s="20"/>
      <c r="J130" s="20"/>
      <c r="K130" s="196">
        <f>D130*1.2</f>
        <v>0</v>
      </c>
      <c r="L130" s="188">
        <f t="shared" si="2"/>
        <v>0</v>
      </c>
      <c r="M130" s="189">
        <f t="shared" si="3"/>
        <v>0</v>
      </c>
      <c r="N130" s="21">
        <f>D130*1.4</f>
        <v>0</v>
      </c>
      <c r="O130" s="22"/>
    </row>
    <row r="131" spans="1:15" ht="13.5" customHeight="1" x14ac:dyDescent="0.25">
      <c r="A131" s="41">
        <v>41653</v>
      </c>
      <c r="B131" s="234"/>
      <c r="C131" s="24" t="s">
        <v>53</v>
      </c>
      <c r="D131" s="27">
        <v>13.7</v>
      </c>
      <c r="E131" s="105">
        <f>D131*$L$2</f>
        <v>20139</v>
      </c>
      <c r="F131" s="2" t="s">
        <v>54</v>
      </c>
      <c r="G131" s="102" t="e">
        <f>VLOOKUP(B131,CÓDIGOS!$A$1:$B$1000,2)</f>
        <v>#N/A</v>
      </c>
      <c r="H131" s="26" t="s">
        <v>53</v>
      </c>
      <c r="I131" s="26"/>
      <c r="J131" s="104">
        <v>1.1999999999999997</v>
      </c>
      <c r="K131" s="187">
        <f>D131*$L$2*J131</f>
        <v>24166.799999999996</v>
      </c>
      <c r="L131" s="188">
        <f t="shared" si="2"/>
        <v>26583.479999999996</v>
      </c>
      <c r="M131" s="189">
        <f t="shared" si="3"/>
        <v>20138.999999999996</v>
      </c>
      <c r="N131" s="3">
        <f>D131*$C$5*1.4</f>
        <v>0</v>
      </c>
      <c r="O131" s="4">
        <f>D131*$C$5*1.5*1.21</f>
        <v>0</v>
      </c>
    </row>
    <row r="132" spans="1:15" ht="13.5" customHeight="1" x14ac:dyDescent="0.25">
      <c r="A132" s="23">
        <v>40711</v>
      </c>
      <c r="B132" s="208" t="s">
        <v>381</v>
      </c>
      <c r="C132" s="24" t="s">
        <v>53</v>
      </c>
      <c r="D132" s="27">
        <v>35.700000000000003</v>
      </c>
      <c r="E132" s="105">
        <f>D132*$L$2</f>
        <v>52479.000000000007</v>
      </c>
      <c r="F132" s="2" t="s">
        <v>57</v>
      </c>
      <c r="G132" s="102" t="str">
        <f>VLOOKUP(B132,CÓDIGOS!$A$1:$B$1000,2)</f>
        <v>Fuente de alimentación genérica 12,5 V 3A MOVI VAC</v>
      </c>
      <c r="H132" s="26" t="s">
        <v>53</v>
      </c>
      <c r="I132" s="26" t="s">
        <v>58</v>
      </c>
      <c r="J132" s="104">
        <v>1.2</v>
      </c>
      <c r="K132" s="187">
        <f>D132*$L$2*J132</f>
        <v>62974.8</v>
      </c>
      <c r="L132" s="188">
        <f t="shared" si="2"/>
        <v>69272.280000000013</v>
      </c>
      <c r="M132" s="189">
        <f t="shared" si="3"/>
        <v>52479</v>
      </c>
      <c r="N132" s="3">
        <f>D132*$C$5*1.4</f>
        <v>0</v>
      </c>
      <c r="O132" s="4">
        <f>D132*$C$5*1.5*1.21</f>
        <v>0</v>
      </c>
    </row>
    <row r="133" spans="1:15" ht="13.5" customHeight="1" x14ac:dyDescent="0.25">
      <c r="A133" s="30">
        <v>40972</v>
      </c>
      <c r="B133" s="235" t="s">
        <v>382</v>
      </c>
      <c r="C133" s="24" t="s">
        <v>53</v>
      </c>
      <c r="D133" s="27">
        <v>40</v>
      </c>
      <c r="E133" s="105">
        <f>D133*$L$2</f>
        <v>58800</v>
      </c>
      <c r="F133" s="2" t="s">
        <v>98</v>
      </c>
      <c r="G133" s="102" t="str">
        <f>VLOOKUP(B133,CÓDIGOS!$A$1:$B$1000,2)</f>
        <v>Fuente de alimentación ext. 12,5 V 3A p/MOVI VAC</v>
      </c>
      <c r="H133" s="26" t="s">
        <v>53</v>
      </c>
      <c r="I133" s="26" t="s">
        <v>59</v>
      </c>
      <c r="J133" s="104">
        <v>1.2</v>
      </c>
      <c r="K133" s="187">
        <f>D133*$L$2*J133</f>
        <v>70560</v>
      </c>
      <c r="L133" s="188">
        <f t="shared" si="2"/>
        <v>77616</v>
      </c>
      <c r="M133" s="189">
        <f t="shared" si="3"/>
        <v>58800</v>
      </c>
      <c r="N133" s="3">
        <f>D133*$C$5*1.4</f>
        <v>0</v>
      </c>
      <c r="O133" s="4">
        <f>D133*$C$5*1.5*1.21</f>
        <v>0</v>
      </c>
    </row>
    <row r="134" spans="1:15" ht="13.5" customHeight="1" x14ac:dyDescent="0.25">
      <c r="A134" s="30">
        <v>41848</v>
      </c>
      <c r="B134" s="235" t="s">
        <v>432</v>
      </c>
      <c r="C134" s="24" t="s">
        <v>156</v>
      </c>
      <c r="D134" s="27">
        <v>39.799999999999997</v>
      </c>
      <c r="E134" s="105">
        <f>D134*$L$2</f>
        <v>58505.999999999993</v>
      </c>
      <c r="F134" s="2" t="s">
        <v>99</v>
      </c>
      <c r="G134" s="102" t="str">
        <f>VLOOKUP(B134,CÓDIGOS!$A$1:$B$1000,2)</f>
        <v>Fuente de alimentacion generica 19V1.4A M1 MINI</v>
      </c>
      <c r="H134" s="26" t="s">
        <v>156</v>
      </c>
      <c r="I134" s="26"/>
      <c r="J134" s="104">
        <v>1.2</v>
      </c>
      <c r="K134" s="187">
        <f>D134*$L$2*J134</f>
        <v>70207.199999999983</v>
      </c>
      <c r="L134" s="188">
        <f t="shared" si="2"/>
        <v>77227.919999999984</v>
      </c>
      <c r="M134" s="189">
        <f t="shared" si="3"/>
        <v>58505.999999999978</v>
      </c>
      <c r="N134" s="3">
        <f>D134*$C$5*1.4</f>
        <v>0</v>
      </c>
      <c r="O134" s="4">
        <f>D134*$C$5*1.5*1.21</f>
        <v>0</v>
      </c>
    </row>
    <row r="135" spans="1:15" ht="13.5" customHeight="1" x14ac:dyDescent="0.25">
      <c r="A135" s="67"/>
      <c r="B135" s="235" t="s">
        <v>383</v>
      </c>
      <c r="C135" s="24" t="s">
        <v>156</v>
      </c>
      <c r="D135" s="105">
        <v>53</v>
      </c>
      <c r="E135" s="105">
        <f>D135*$L$2</f>
        <v>77910</v>
      </c>
      <c r="F135" s="102" t="s">
        <v>164</v>
      </c>
      <c r="G135" s="102" t="str">
        <f>VLOOKUP(B135,CÓDIGOS!$A$1:$B$1000,2)</f>
        <v>Base cargador de batería G3 c/fuente ext.</v>
      </c>
      <c r="H135" s="104" t="s">
        <v>156</v>
      </c>
      <c r="I135" s="104"/>
      <c r="J135" s="104">
        <v>1.2</v>
      </c>
      <c r="K135" s="187">
        <f>D135*$L$2*J135</f>
        <v>93492</v>
      </c>
      <c r="L135" s="188">
        <f t="shared" si="2"/>
        <v>102841.20000000001</v>
      </c>
      <c r="M135" s="189">
        <f t="shared" si="3"/>
        <v>77910</v>
      </c>
      <c r="N135" s="65">
        <f>D135*$C$5*1.4</f>
        <v>0</v>
      </c>
      <c r="O135" s="66">
        <f>D135*$C$5*1.5*1.21</f>
        <v>0</v>
      </c>
    </row>
    <row r="136" spans="1:15" ht="13.5" customHeight="1" x14ac:dyDescent="0.25">
      <c r="A136" s="67"/>
      <c r="B136" s="235">
        <v>1213017</v>
      </c>
      <c r="C136" s="24" t="s">
        <v>156</v>
      </c>
      <c r="D136" s="105">
        <v>90</v>
      </c>
      <c r="E136" s="105">
        <f>D136*$L$2</f>
        <v>132300</v>
      </c>
      <c r="F136" s="102" t="s">
        <v>157</v>
      </c>
      <c r="G136" s="102" t="str">
        <f>VLOOKUP(B136,CÓDIGOS!$A$1:$B$1000,2)</f>
        <v>Fuente de alimentación original BMC G2-G2S</v>
      </c>
      <c r="H136" s="26" t="s">
        <v>156</v>
      </c>
      <c r="I136" s="104"/>
      <c r="J136" s="104">
        <v>1.2</v>
      </c>
      <c r="K136" s="187">
        <f>D136*$L$2*J136</f>
        <v>158760</v>
      </c>
      <c r="L136" s="188">
        <f t="shared" si="2"/>
        <v>174636</v>
      </c>
      <c r="M136" s="189">
        <f t="shared" si="3"/>
        <v>132300</v>
      </c>
      <c r="N136" s="65">
        <f>D136*$C$5*1.4</f>
        <v>0</v>
      </c>
      <c r="O136" s="66">
        <f>D136*$C$5*1.5*1.21</f>
        <v>0</v>
      </c>
    </row>
    <row r="137" spans="1:15" ht="13.5" customHeight="1" x14ac:dyDescent="0.25">
      <c r="A137" s="67"/>
      <c r="B137" s="235">
        <v>1213043</v>
      </c>
      <c r="C137" s="69" t="s">
        <v>156</v>
      </c>
      <c r="D137" s="105">
        <v>30</v>
      </c>
      <c r="E137" s="105">
        <f>D137*$L$2</f>
        <v>44100</v>
      </c>
      <c r="F137" s="102" t="s">
        <v>353</v>
      </c>
      <c r="G137" s="102" t="str">
        <f>VLOOKUP(B137,CÓDIGOS!$A$1:$B$1000,2)</f>
        <v>Fuente de aliment. DC Inogen One G3, G4, G5 BA-306</v>
      </c>
      <c r="H137" s="26" t="s">
        <v>156</v>
      </c>
      <c r="I137" s="104"/>
      <c r="J137" s="104">
        <v>1.5</v>
      </c>
      <c r="K137" s="187">
        <f>D137*$L$2*J137</f>
        <v>66150</v>
      </c>
      <c r="L137" s="188">
        <f t="shared" si="2"/>
        <v>72765</v>
      </c>
      <c r="M137" s="189">
        <f t="shared" si="3"/>
        <v>55125</v>
      </c>
      <c r="N137" s="65"/>
      <c r="O137" s="66"/>
    </row>
    <row r="138" spans="1:15" ht="13.5" customHeight="1" x14ac:dyDescent="0.25">
      <c r="A138" s="30">
        <v>43595</v>
      </c>
      <c r="B138" s="235" t="s">
        <v>408</v>
      </c>
      <c r="C138" s="24" t="s">
        <v>53</v>
      </c>
      <c r="D138" s="27">
        <v>22</v>
      </c>
      <c r="E138" s="105">
        <f>D138*$L$2</f>
        <v>32340</v>
      </c>
      <c r="F138" s="2" t="s">
        <v>159</v>
      </c>
      <c r="G138" s="102" t="str">
        <f>VLOOKUP(B138,CÓDIGOS!$A$1:$B$1000,2)</f>
        <v>Fuente de alimentación externa G3, G4, G5</v>
      </c>
      <c r="H138" s="26" t="s">
        <v>53</v>
      </c>
      <c r="I138" s="26"/>
      <c r="J138" s="104">
        <v>1.2</v>
      </c>
      <c r="K138" s="187">
        <f>D138*$L$2*J138</f>
        <v>38808</v>
      </c>
      <c r="L138" s="188">
        <f t="shared" si="2"/>
        <v>42688.800000000003</v>
      </c>
      <c r="M138" s="189">
        <f t="shared" si="3"/>
        <v>32340</v>
      </c>
      <c r="N138" s="3">
        <f>D138*$C$5*1.4</f>
        <v>0</v>
      </c>
      <c r="O138" s="4">
        <f>D138*$C$5*1.5*1.21</f>
        <v>0</v>
      </c>
    </row>
    <row r="139" spans="1:15" ht="13.5" customHeight="1" x14ac:dyDescent="0.25">
      <c r="A139" s="28">
        <v>40326</v>
      </c>
      <c r="B139" s="236">
        <v>1104013</v>
      </c>
      <c r="C139" s="24" t="s">
        <v>11</v>
      </c>
      <c r="D139" s="27">
        <v>98</v>
      </c>
      <c r="E139" s="105">
        <f>D139*$L$2</f>
        <v>144060</v>
      </c>
      <c r="F139" s="2" t="s">
        <v>60</v>
      </c>
      <c r="G139" s="102" t="e">
        <f>VLOOKUP(B139,CÓDIGOS!$A$1:$B$1000,2)</f>
        <v>#N/A</v>
      </c>
      <c r="H139" s="26" t="s">
        <v>27</v>
      </c>
      <c r="I139" s="26"/>
      <c r="J139" s="104">
        <v>1.1999999999999997</v>
      </c>
      <c r="K139" s="187">
        <f>D139*$L$2*J139</f>
        <v>172871.99999999997</v>
      </c>
      <c r="L139" s="188">
        <f t="shared" si="2"/>
        <v>190159.19999999998</v>
      </c>
      <c r="M139" s="189">
        <f t="shared" si="3"/>
        <v>144059.99999999997</v>
      </c>
      <c r="N139" s="3">
        <f>D139*$C$5*1.4</f>
        <v>0</v>
      </c>
      <c r="O139" s="4">
        <f>D139*$C$5*1.5*1.21</f>
        <v>0</v>
      </c>
    </row>
    <row r="140" spans="1:15" ht="13.5" customHeight="1" x14ac:dyDescent="0.25">
      <c r="A140" s="60"/>
      <c r="B140" s="237"/>
      <c r="C140" s="55"/>
      <c r="D140" s="56"/>
      <c r="E140" s="105">
        <f>D140*$L$2</f>
        <v>0</v>
      </c>
      <c r="F140" s="61" t="s">
        <v>449</v>
      </c>
      <c r="G140" s="102" t="e">
        <f>VLOOKUP(B140,CÓDIGOS!$A$1:$B$1000,2)</f>
        <v>#N/A</v>
      </c>
      <c r="H140" s="57"/>
      <c r="I140" s="57"/>
      <c r="J140" s="57"/>
      <c r="K140" s="197"/>
      <c r="L140" s="188">
        <f t="shared" ref="L140:L141" si="10">K140*1.1</f>
        <v>0</v>
      </c>
      <c r="M140" s="189">
        <f t="shared" ref="M140:M141" si="11">K140*5/6</f>
        <v>0</v>
      </c>
      <c r="N140" s="58"/>
      <c r="O140" s="58"/>
    </row>
    <row r="141" spans="1:15" ht="13.5" customHeight="1" x14ac:dyDescent="0.25">
      <c r="A141" s="72"/>
      <c r="B141" s="236"/>
      <c r="C141" s="69" t="s">
        <v>327</v>
      </c>
      <c r="D141" s="105">
        <v>65</v>
      </c>
      <c r="E141" s="105">
        <f>D141*$L$2</f>
        <v>95550</v>
      </c>
      <c r="F141" s="102" t="s">
        <v>452</v>
      </c>
      <c r="G141" s="102" t="e">
        <f>VLOOKUP(B141,CÓDIGOS!$A$1:$B$1000,2)</f>
        <v>#N/A</v>
      </c>
      <c r="H141" s="104"/>
      <c r="I141" s="104"/>
      <c r="J141" s="104">
        <v>1.35</v>
      </c>
      <c r="K141" s="191">
        <f>D141*$L$2*J141</f>
        <v>128992.50000000001</v>
      </c>
      <c r="L141" s="188">
        <f t="shared" si="10"/>
        <v>141891.75000000003</v>
      </c>
      <c r="M141" s="189">
        <f t="shared" si="11"/>
        <v>107493.75000000001</v>
      </c>
      <c r="N141" s="65"/>
      <c r="O141" s="66"/>
    </row>
    <row r="142" spans="1:15" ht="13.5" customHeight="1" x14ac:dyDescent="0.25">
      <c r="B142" s="248">
        <v>1208008</v>
      </c>
      <c r="C142" s="25" t="s">
        <v>9</v>
      </c>
      <c r="D142" s="27">
        <v>40.5</v>
      </c>
      <c r="F142" s="2" t="s">
        <v>450</v>
      </c>
      <c r="G142" s="102" t="str">
        <f>VLOOKUP(B142,CÓDIGOS!$A$1:$B$1000,2)</f>
        <v>Filtro de aire interno EVERFLO original 1038831</v>
      </c>
      <c r="H142" s="26"/>
      <c r="I142" s="26"/>
      <c r="J142" s="26">
        <v>1.35</v>
      </c>
      <c r="K142" s="191">
        <f>D142*$L$2*J142</f>
        <v>80372.25</v>
      </c>
      <c r="L142" s="188">
        <f>K142*1.1</f>
        <v>88409.475000000006</v>
      </c>
      <c r="M142" s="189">
        <f>K142*5/6</f>
        <v>66976.875</v>
      </c>
    </row>
    <row r="143" spans="1:15" ht="13.5" customHeight="1" x14ac:dyDescent="0.25">
      <c r="B143" s="248">
        <v>1208021</v>
      </c>
      <c r="C143" s="38" t="s">
        <v>15</v>
      </c>
      <c r="D143" s="27">
        <v>32</v>
      </c>
      <c r="F143" s="2" t="s">
        <v>451</v>
      </c>
      <c r="G143" s="102" t="str">
        <f>VLOOKUP(B143,CÓDIGOS!$A$1:$B$1000,2)</f>
        <v>Filtro interno respirador ASTRAL 27939</v>
      </c>
      <c r="H143" s="26"/>
      <c r="I143" s="104"/>
      <c r="J143" s="26">
        <v>1.35</v>
      </c>
      <c r="K143" s="191">
        <f>D143*$L$2*J143</f>
        <v>63504.000000000007</v>
      </c>
      <c r="L143" s="188">
        <f>K143*1.1</f>
        <v>69854.400000000009</v>
      </c>
      <c r="M143" s="189">
        <f>K143*5/6</f>
        <v>52920.000000000007</v>
      </c>
    </row>
    <row r="144" spans="1:15" ht="13.5" customHeight="1" x14ac:dyDescent="0.25">
      <c r="A144" s="60"/>
      <c r="B144" s="237"/>
      <c r="C144" s="55"/>
      <c r="D144" s="56"/>
      <c r="E144" s="105">
        <f>D144*$L$2</f>
        <v>0</v>
      </c>
      <c r="F144" s="61" t="s">
        <v>326</v>
      </c>
      <c r="G144" s="102" t="e">
        <f>VLOOKUP(B144,CÓDIGOS!$A$1:$B$1000,2)</f>
        <v>#N/A</v>
      </c>
      <c r="H144" s="57"/>
      <c r="I144" s="57"/>
      <c r="J144" s="57"/>
      <c r="K144" s="197"/>
      <c r="L144" s="188">
        <f t="shared" ref="L144:L210" si="12">K144*1.1</f>
        <v>0</v>
      </c>
      <c r="M144" s="189">
        <f t="shared" ref="M144:M210" si="13">K144*5/6</f>
        <v>0</v>
      </c>
      <c r="N144" s="58"/>
      <c r="O144" s="58"/>
    </row>
    <row r="145" spans="1:15" ht="13.5" customHeight="1" x14ac:dyDescent="0.25">
      <c r="A145" s="72"/>
      <c r="B145" s="236">
        <v>1504008</v>
      </c>
      <c r="C145" s="69" t="s">
        <v>327</v>
      </c>
      <c r="D145" s="105">
        <v>100</v>
      </c>
      <c r="E145" s="105">
        <f>D145*$L$2</f>
        <v>147000</v>
      </c>
      <c r="F145" s="102" t="s">
        <v>448</v>
      </c>
      <c r="G145" s="102" t="str">
        <f>VLOOKUP(B145,CÓDIGOS!$A$1:$B$1000,2)</f>
        <v>Canister zeolita AIRSEP NEWLIFE</v>
      </c>
      <c r="H145" s="104"/>
      <c r="I145" s="104"/>
      <c r="J145" s="104">
        <v>1.35</v>
      </c>
      <c r="K145" s="191">
        <f>D145*$L$2*J145</f>
        <v>198450</v>
      </c>
      <c r="L145" s="188">
        <f t="shared" si="12"/>
        <v>218295.00000000003</v>
      </c>
      <c r="M145" s="189">
        <f t="shared" si="13"/>
        <v>165375</v>
      </c>
      <c r="N145" s="65"/>
      <c r="O145" s="66"/>
    </row>
    <row r="146" spans="1:15" ht="13.5" customHeight="1" x14ac:dyDescent="0.25">
      <c r="A146" s="60"/>
      <c r="B146" s="237"/>
      <c r="C146" s="55"/>
      <c r="D146" s="56"/>
      <c r="E146" s="105">
        <f>D146*$L$2</f>
        <v>0</v>
      </c>
      <c r="F146" s="61" t="s">
        <v>139</v>
      </c>
      <c r="G146" s="102" t="e">
        <f>VLOOKUP(B146,CÓDIGOS!$A$1:$B$1000,2)</f>
        <v>#N/A</v>
      </c>
      <c r="H146" s="57"/>
      <c r="I146" s="57"/>
      <c r="J146" s="57"/>
      <c r="K146" s="197"/>
      <c r="L146" s="188">
        <f t="shared" si="12"/>
        <v>0</v>
      </c>
      <c r="M146" s="189">
        <f t="shared" si="13"/>
        <v>0</v>
      </c>
      <c r="N146" s="58"/>
      <c r="O146" s="58"/>
    </row>
    <row r="147" spans="1:15" ht="13.5" customHeight="1" x14ac:dyDescent="0.25">
      <c r="A147" s="30"/>
      <c r="B147" s="235" t="s">
        <v>384</v>
      </c>
      <c r="C147" s="24" t="s">
        <v>113</v>
      </c>
      <c r="D147" s="27">
        <v>50</v>
      </c>
      <c r="E147" s="105">
        <f>D147*$L$2</f>
        <v>73500</v>
      </c>
      <c r="F147" s="2" t="s">
        <v>140</v>
      </c>
      <c r="G147" s="102" t="str">
        <f>VLOOKUP(B147,CÓDIGOS!$A$1:$B$1000,2)</f>
        <v>CARCAZA INFERIOR BASE MARBEL GRANDE</v>
      </c>
      <c r="H147" s="26" t="s">
        <v>113</v>
      </c>
      <c r="I147" s="26"/>
      <c r="J147" s="104">
        <v>1.35</v>
      </c>
      <c r="K147" s="187">
        <f>D147*$L$2*J147</f>
        <v>99225</v>
      </c>
      <c r="L147" s="188">
        <f t="shared" si="12"/>
        <v>109147.50000000001</v>
      </c>
      <c r="M147" s="189">
        <f t="shared" si="13"/>
        <v>82687.5</v>
      </c>
      <c r="N147" s="3"/>
      <c r="O147" s="4"/>
    </row>
    <row r="148" spans="1:15" ht="13.5" customHeight="1" x14ac:dyDescent="0.25">
      <c r="A148" s="30"/>
      <c r="B148" s="235" t="s">
        <v>385</v>
      </c>
      <c r="C148" s="24" t="s">
        <v>113</v>
      </c>
      <c r="D148" s="27">
        <v>10</v>
      </c>
      <c r="E148" s="105">
        <f>D148*$L$2</f>
        <v>14700</v>
      </c>
      <c r="F148" s="2" t="s">
        <v>141</v>
      </c>
      <c r="G148" s="102" t="str">
        <f>VLOOKUP(B148,CÓDIGOS!$A$1:$B$1000,2)</f>
        <v>CONECTOR TIPO JAPONES 2 VIAS MACHO A CHASIS</v>
      </c>
      <c r="H148" s="26" t="s">
        <v>113</v>
      </c>
      <c r="I148" s="26"/>
      <c r="J148" s="104">
        <v>1.35</v>
      </c>
      <c r="K148" s="187">
        <f>D148*$L$2*J148</f>
        <v>19845</v>
      </c>
      <c r="L148" s="188">
        <f t="shared" si="12"/>
        <v>21829.5</v>
      </c>
      <c r="M148" s="189">
        <f t="shared" si="13"/>
        <v>16537.5</v>
      </c>
      <c r="N148" s="3"/>
      <c r="O148" s="4"/>
    </row>
    <row r="149" spans="1:15" ht="13.5" customHeight="1" x14ac:dyDescent="0.25">
      <c r="A149" s="30"/>
      <c r="B149" s="235" t="s">
        <v>433</v>
      </c>
      <c r="C149" s="24" t="s">
        <v>113</v>
      </c>
      <c r="D149" s="27">
        <v>1</v>
      </c>
      <c r="E149" s="105">
        <f>D149*$L$2</f>
        <v>1470</v>
      </c>
      <c r="F149" s="2" t="s">
        <v>146</v>
      </c>
      <c r="G149" s="102" t="str">
        <f>VLOOKUP(B149,CÓDIGOS!$A$1:$B$1000,2)</f>
        <v>CABLEADO LLAVE DE ENCENDIDO</v>
      </c>
      <c r="H149" s="26" t="s">
        <v>113</v>
      </c>
      <c r="I149" s="26"/>
      <c r="J149" s="104">
        <v>1.35</v>
      </c>
      <c r="K149" s="187">
        <f>D149*$L$2*J149</f>
        <v>1984.5000000000002</v>
      </c>
      <c r="L149" s="188">
        <f t="shared" si="12"/>
        <v>2182.9500000000003</v>
      </c>
      <c r="M149" s="189">
        <f t="shared" si="13"/>
        <v>1653.7500000000002</v>
      </c>
      <c r="N149" s="3"/>
      <c r="O149" s="4"/>
    </row>
    <row r="150" spans="1:15" ht="13.5" customHeight="1" x14ac:dyDescent="0.25">
      <c r="A150" s="30"/>
      <c r="B150" s="235">
        <v>1504004</v>
      </c>
      <c r="C150" s="24" t="s">
        <v>113</v>
      </c>
      <c r="D150" s="27">
        <v>90</v>
      </c>
      <c r="E150" s="105">
        <f>D150*$L$2</f>
        <v>132300</v>
      </c>
      <c r="F150" s="2" t="s">
        <v>443</v>
      </c>
      <c r="G150" s="102" t="str">
        <f>VLOOKUP(B150,CÓDIGOS!$A$1:$B$1000,2)</f>
        <v>Canister zeolita LONGFIAN JAY-5</v>
      </c>
      <c r="H150" s="26" t="s">
        <v>113</v>
      </c>
      <c r="I150" s="26"/>
      <c r="J150" s="104">
        <v>1.35</v>
      </c>
      <c r="K150" s="187">
        <f>D150*$L$2*J150</f>
        <v>178605</v>
      </c>
      <c r="L150" s="188">
        <f t="shared" si="12"/>
        <v>196465.50000000003</v>
      </c>
      <c r="M150" s="189">
        <f t="shared" si="13"/>
        <v>148837.5</v>
      </c>
      <c r="N150" s="3"/>
      <c r="O150" s="4"/>
    </row>
    <row r="151" spans="1:15" ht="13.5" customHeight="1" x14ac:dyDescent="0.25">
      <c r="A151" s="67"/>
      <c r="B151" s="235" t="s">
        <v>387</v>
      </c>
      <c r="C151" s="24" t="s">
        <v>113</v>
      </c>
      <c r="D151" s="105">
        <v>105</v>
      </c>
      <c r="E151" s="105">
        <f>D151*$L$2</f>
        <v>154350</v>
      </c>
      <c r="F151" s="102" t="s">
        <v>444</v>
      </c>
      <c r="G151" s="102" t="str">
        <f>VLOOKUP(B151,CÓDIGOS!$A$1:$B$1000,2)</f>
        <v>Canister ciolita JAY-5Q</v>
      </c>
      <c r="H151" s="26" t="s">
        <v>113</v>
      </c>
      <c r="I151" s="104"/>
      <c r="J151" s="104">
        <v>1.25</v>
      </c>
      <c r="K151" s="187">
        <f>D151*$L$2*J151</f>
        <v>192937.5</v>
      </c>
      <c r="L151" s="188">
        <f t="shared" si="12"/>
        <v>212231.25000000003</v>
      </c>
      <c r="M151" s="189">
        <f t="shared" si="13"/>
        <v>160781.25</v>
      </c>
      <c r="N151" s="65"/>
      <c r="O151" s="66"/>
    </row>
    <row r="152" spans="1:15" ht="13.5" customHeight="1" x14ac:dyDescent="0.25">
      <c r="A152" s="30"/>
      <c r="B152" s="235">
        <v>1104018</v>
      </c>
      <c r="C152" s="24" t="s">
        <v>113</v>
      </c>
      <c r="D152" s="27">
        <v>7</v>
      </c>
      <c r="E152" s="105">
        <f>D152*$L$2</f>
        <v>10290</v>
      </c>
      <c r="F152" s="2" t="s">
        <v>147</v>
      </c>
      <c r="G152" s="102" t="e">
        <f>VLOOKUP(B152,CÓDIGOS!$A$1:$B$1000,2)</f>
        <v>#N/A</v>
      </c>
      <c r="H152" s="26" t="s">
        <v>113</v>
      </c>
      <c r="I152" s="26"/>
      <c r="J152" s="104">
        <v>1.35</v>
      </c>
      <c r="K152" s="187">
        <f>D152*$L$2*J152</f>
        <v>13891.500000000002</v>
      </c>
      <c r="L152" s="188">
        <f t="shared" si="12"/>
        <v>15280.650000000003</v>
      </c>
      <c r="M152" s="189">
        <f t="shared" si="13"/>
        <v>11576.250000000002</v>
      </c>
      <c r="N152" s="3"/>
      <c r="O152" s="4"/>
    </row>
    <row r="153" spans="1:15" ht="13.5" customHeight="1" x14ac:dyDescent="0.25">
      <c r="A153" s="30"/>
      <c r="B153" s="235">
        <v>1106004</v>
      </c>
      <c r="C153" s="24" t="s">
        <v>113</v>
      </c>
      <c r="D153" s="27">
        <v>6</v>
      </c>
      <c r="E153" s="105">
        <f>D153*$L$2</f>
        <v>8820</v>
      </c>
      <c r="F153" s="2" t="s">
        <v>148</v>
      </c>
      <c r="G153" s="102" t="e">
        <f>VLOOKUP(B153,CÓDIGOS!$A$1:$B$1000,2)</f>
        <v>#N/A</v>
      </c>
      <c r="H153" s="26" t="s">
        <v>113</v>
      </c>
      <c r="I153" s="26"/>
      <c r="J153" s="104">
        <v>1.35</v>
      </c>
      <c r="K153" s="187">
        <f>D153*$L$2*J153</f>
        <v>11907</v>
      </c>
      <c r="L153" s="188">
        <f t="shared" si="12"/>
        <v>13097.7</v>
      </c>
      <c r="M153" s="189">
        <f t="shared" si="13"/>
        <v>9922.5</v>
      </c>
      <c r="N153" s="3"/>
      <c r="O153" s="4"/>
    </row>
    <row r="154" spans="1:15" ht="13.5" customHeight="1" x14ac:dyDescent="0.25">
      <c r="A154" s="30"/>
      <c r="B154" s="235">
        <v>1514001</v>
      </c>
      <c r="C154" s="24" t="s">
        <v>113</v>
      </c>
      <c r="D154" s="27">
        <v>6</v>
      </c>
      <c r="E154" s="105">
        <f>D154*$L$2</f>
        <v>8820</v>
      </c>
      <c r="F154" s="2" t="s">
        <v>149</v>
      </c>
      <c r="G154" s="102" t="str">
        <f>VLOOKUP(B154,CÓDIGOS!$A$1:$B$1000,2)</f>
        <v>Compresor LONGFIAN JAY-5AW</v>
      </c>
      <c r="H154" s="26" t="s">
        <v>113</v>
      </c>
      <c r="I154" s="26"/>
      <c r="J154" s="104">
        <v>1.35</v>
      </c>
      <c r="K154" s="187">
        <f>D154*$L$2*J154</f>
        <v>11907</v>
      </c>
      <c r="L154" s="188">
        <f t="shared" si="12"/>
        <v>13097.7</v>
      </c>
      <c r="M154" s="189">
        <f t="shared" si="13"/>
        <v>9922.5</v>
      </c>
      <c r="N154" s="3"/>
      <c r="O154" s="4"/>
    </row>
    <row r="155" spans="1:15" ht="13.5" customHeight="1" x14ac:dyDescent="0.25">
      <c r="A155" s="67"/>
      <c r="B155" s="235">
        <v>1504006</v>
      </c>
      <c r="C155" s="24" t="s">
        <v>113</v>
      </c>
      <c r="D155" s="105">
        <v>165</v>
      </c>
      <c r="E155" s="105">
        <f>D155*$L$2</f>
        <v>242550</v>
      </c>
      <c r="F155" s="102" t="s">
        <v>445</v>
      </c>
      <c r="G155" s="102" t="str">
        <f>VLOOKUP(B155,CÓDIGOS!$A$1:$B$1000,2)</f>
        <v>Canister zeolita LONGFIAN JAY-10</v>
      </c>
      <c r="H155" s="26" t="s">
        <v>113</v>
      </c>
      <c r="I155" s="104"/>
      <c r="J155" s="104">
        <v>1.35</v>
      </c>
      <c r="K155" s="187">
        <f>D155*$L$2*J155</f>
        <v>327442.5</v>
      </c>
      <c r="L155" s="188">
        <f t="shared" si="12"/>
        <v>360186.75</v>
      </c>
      <c r="M155" s="189">
        <f t="shared" si="13"/>
        <v>272868.75</v>
      </c>
      <c r="N155" s="65"/>
      <c r="O155" s="66"/>
    </row>
    <row r="156" spans="1:15" ht="13.5" customHeight="1" x14ac:dyDescent="0.25">
      <c r="A156" s="67"/>
      <c r="B156" s="235" t="s">
        <v>434</v>
      </c>
      <c r="C156" s="24" t="s">
        <v>113</v>
      </c>
      <c r="D156" s="105">
        <v>19</v>
      </c>
      <c r="E156" s="105">
        <f>D156*$L$2</f>
        <v>27930</v>
      </c>
      <c r="F156" s="102" t="s">
        <v>163</v>
      </c>
      <c r="G156" s="102" t="str">
        <f>VLOOKUP(B156,CÓDIGOS!$A$1:$B$1000,2)</f>
        <v>Compresor completo JAY-5Q (AW)</v>
      </c>
      <c r="H156" s="26" t="s">
        <v>113</v>
      </c>
      <c r="I156" s="104"/>
      <c r="J156" s="104">
        <v>1.35</v>
      </c>
      <c r="K156" s="187">
        <f>D156*$L$2*J156</f>
        <v>37705.5</v>
      </c>
      <c r="L156" s="188">
        <f t="shared" si="12"/>
        <v>41476.050000000003</v>
      </c>
      <c r="M156" s="189">
        <f t="shared" si="13"/>
        <v>31421.25</v>
      </c>
      <c r="N156" s="65"/>
      <c r="O156" s="66"/>
    </row>
    <row r="157" spans="1:15" ht="13.5" customHeight="1" x14ac:dyDescent="0.25">
      <c r="A157" s="67"/>
      <c r="B157" s="235">
        <v>1208025</v>
      </c>
      <c r="C157" s="24" t="s">
        <v>113</v>
      </c>
      <c r="D157" s="105">
        <v>1</v>
      </c>
      <c r="E157" s="105">
        <f>D157*$L$2</f>
        <v>1470</v>
      </c>
      <c r="F157" s="102" t="s">
        <v>152</v>
      </c>
      <c r="G157" s="102" t="str">
        <f>VLOOKUP(B157,CÓDIGOS!$A$1:$B$1000,2)</f>
        <v>Filtro interno respirador ASTRAL 27939</v>
      </c>
      <c r="H157" s="26" t="s">
        <v>113</v>
      </c>
      <c r="I157" s="104"/>
      <c r="J157" s="104">
        <v>1.35</v>
      </c>
      <c r="K157" s="187">
        <f>D157*$L$2*J157</f>
        <v>1984.5000000000002</v>
      </c>
      <c r="L157" s="188">
        <f t="shared" si="12"/>
        <v>2182.9500000000003</v>
      </c>
      <c r="M157" s="189">
        <f t="shared" si="13"/>
        <v>1653.7500000000002</v>
      </c>
      <c r="N157" s="65"/>
      <c r="O157" s="66"/>
    </row>
    <row r="158" spans="1:15" ht="13.5" customHeight="1" x14ac:dyDescent="0.25">
      <c r="A158" s="67"/>
      <c r="B158" s="235">
        <v>1208020</v>
      </c>
      <c r="C158" s="24" t="s">
        <v>113</v>
      </c>
      <c r="D158" s="105">
        <v>2.2000000000000002</v>
      </c>
      <c r="E158" s="105">
        <f>D158*$L$2</f>
        <v>3234.0000000000005</v>
      </c>
      <c r="F158" s="102" t="s">
        <v>154</v>
      </c>
      <c r="G158" s="102" t="str">
        <f>VLOOKUP(B158,CÓDIGOS!$A$1:$B$1000,2)</f>
        <v>Filtro interno respirador ASTRAL 27939</v>
      </c>
      <c r="H158" s="26" t="s">
        <v>113</v>
      </c>
      <c r="I158" s="104"/>
      <c r="J158" s="104">
        <v>1.35</v>
      </c>
      <c r="K158" s="187">
        <f>D158*$L$2*J158</f>
        <v>4365.9000000000005</v>
      </c>
      <c r="L158" s="188">
        <f t="shared" si="12"/>
        <v>4802.4900000000007</v>
      </c>
      <c r="M158" s="189">
        <f t="shared" si="13"/>
        <v>3638.2500000000005</v>
      </c>
      <c r="N158" s="65"/>
      <c r="O158" s="66"/>
    </row>
    <row r="159" spans="1:15" ht="13.5" customHeight="1" x14ac:dyDescent="0.25">
      <c r="A159" s="67"/>
      <c r="B159" s="235">
        <v>1208009</v>
      </c>
      <c r="C159" s="24" t="s">
        <v>113</v>
      </c>
      <c r="D159" s="105">
        <v>3</v>
      </c>
      <c r="E159" s="105">
        <f>D159*$L$2</f>
        <v>4410</v>
      </c>
      <c r="F159" s="102" t="s">
        <v>153</v>
      </c>
      <c r="G159" s="102" t="str">
        <f>VLOOKUP(B159,CÓDIGOS!$A$1:$B$1000,2)</f>
        <v>Filtro p/ aspirador SILFAB FI13</v>
      </c>
      <c r="H159" s="26" t="s">
        <v>113</v>
      </c>
      <c r="I159" s="104"/>
      <c r="J159" s="104">
        <v>1.35</v>
      </c>
      <c r="K159" s="187">
        <f>D159*$L$2*J159</f>
        <v>5953.5</v>
      </c>
      <c r="L159" s="188">
        <f t="shared" si="12"/>
        <v>6548.85</v>
      </c>
      <c r="M159" s="189">
        <f t="shared" si="13"/>
        <v>4961.25</v>
      </c>
      <c r="N159" s="65"/>
      <c r="O159" s="66"/>
    </row>
    <row r="160" spans="1:15" ht="13.5" customHeight="1" x14ac:dyDescent="0.25">
      <c r="A160" s="67"/>
      <c r="B160" s="235" t="s">
        <v>389</v>
      </c>
      <c r="C160" s="24" t="s">
        <v>113</v>
      </c>
      <c r="D160" s="105">
        <v>80</v>
      </c>
      <c r="E160" s="105">
        <f>D160*$L$2</f>
        <v>117600</v>
      </c>
      <c r="F160" s="102" t="s">
        <v>160</v>
      </c>
      <c r="G160" s="102" t="str">
        <f>VLOOKUP(B160,CÓDIGOS!$A$1:$B$1000,2)</f>
        <v>SILENT BLOCK COMPRESOR</v>
      </c>
      <c r="H160" s="26" t="s">
        <v>113</v>
      </c>
      <c r="I160" s="104"/>
      <c r="J160" s="104">
        <v>1.35</v>
      </c>
      <c r="K160" s="187">
        <f>D160*$L$2*J160</f>
        <v>158760</v>
      </c>
      <c r="L160" s="188">
        <f t="shared" si="12"/>
        <v>174636</v>
      </c>
      <c r="M160" s="189">
        <f t="shared" si="13"/>
        <v>132300</v>
      </c>
      <c r="N160" s="65"/>
      <c r="O160" s="66"/>
    </row>
    <row r="161" spans="1:18" ht="13.5" customHeight="1" x14ac:dyDescent="0.25">
      <c r="A161" s="67"/>
      <c r="B161" s="235" t="s">
        <v>398</v>
      </c>
      <c r="C161" s="24" t="s">
        <v>113</v>
      </c>
      <c r="D161" s="105">
        <v>95</v>
      </c>
      <c r="E161" s="105">
        <f>D161*$L$2</f>
        <v>139650</v>
      </c>
      <c r="F161" s="102" t="s">
        <v>161</v>
      </c>
      <c r="G161" s="102" t="str">
        <f>VLOOKUP(B161,CÓDIGOS!$A$1:$B$1000,2)</f>
        <v>MINI COMPRESOR 12 V ORIGEN CHINO</v>
      </c>
      <c r="H161" s="26" t="s">
        <v>113</v>
      </c>
      <c r="I161" s="104"/>
      <c r="J161" s="104">
        <v>1.35</v>
      </c>
      <c r="K161" s="187">
        <f>D161*$L$2*J161</f>
        <v>188527.5</v>
      </c>
      <c r="L161" s="188">
        <f t="shared" si="12"/>
        <v>207380.25000000003</v>
      </c>
      <c r="M161" s="189">
        <f t="shared" si="13"/>
        <v>157106.25</v>
      </c>
      <c r="N161" s="65"/>
      <c r="O161" s="66"/>
      <c r="R161" s="128">
        <v>0</v>
      </c>
    </row>
    <row r="162" spans="1:18" ht="13.5" customHeight="1" x14ac:dyDescent="0.25">
      <c r="A162" s="67"/>
      <c r="B162" s="235" t="s">
        <v>390</v>
      </c>
      <c r="C162" s="24" t="s">
        <v>113</v>
      </c>
      <c r="D162" s="105">
        <v>22</v>
      </c>
      <c r="E162" s="105">
        <f>D162*$L$2</f>
        <v>32340</v>
      </c>
      <c r="F162" s="102" t="s">
        <v>162</v>
      </c>
      <c r="G162" s="102" t="str">
        <f>VLOOKUP(B162,CÓDIGOS!$A$1:$B$1000,2)</f>
        <v>VALVULA HONGO</v>
      </c>
      <c r="H162" s="26" t="s">
        <v>113</v>
      </c>
      <c r="I162" s="104"/>
      <c r="J162" s="104">
        <v>1.35</v>
      </c>
      <c r="K162" s="187">
        <f>D162*$L$2*J162</f>
        <v>43659</v>
      </c>
      <c r="L162" s="188">
        <f t="shared" si="12"/>
        <v>48024.9</v>
      </c>
      <c r="M162" s="189">
        <f t="shared" si="13"/>
        <v>36382.5</v>
      </c>
      <c r="N162" s="65"/>
      <c r="O162" s="66"/>
    </row>
    <row r="163" spans="1:18" ht="13.5" customHeight="1" x14ac:dyDescent="0.25">
      <c r="A163" s="67"/>
      <c r="B163" s="235">
        <v>1104029</v>
      </c>
      <c r="C163" s="24" t="s">
        <v>113</v>
      </c>
      <c r="D163" s="105">
        <v>15</v>
      </c>
      <c r="E163" s="105">
        <f>D163*$L$2</f>
        <v>22050</v>
      </c>
      <c r="F163" s="102" t="s">
        <v>166</v>
      </c>
      <c r="G163" s="102" t="e">
        <f>VLOOKUP(B163,CÓDIGOS!$A$1:$B$1000,2)</f>
        <v>#N/A</v>
      </c>
      <c r="H163" s="26" t="s">
        <v>113</v>
      </c>
      <c r="I163" s="104"/>
      <c r="J163" s="104">
        <v>1.35</v>
      </c>
      <c r="K163" s="187">
        <f>D163*$L$2*J163</f>
        <v>29767.500000000004</v>
      </c>
      <c r="L163" s="188">
        <f t="shared" si="12"/>
        <v>32744.250000000007</v>
      </c>
      <c r="M163" s="189">
        <f t="shared" si="13"/>
        <v>24806.250000000004</v>
      </c>
      <c r="N163" s="65"/>
      <c r="O163" s="66"/>
    </row>
    <row r="164" spans="1:18" ht="13.5" customHeight="1" x14ac:dyDescent="0.25">
      <c r="A164" s="67"/>
      <c r="B164" s="235" t="s">
        <v>391</v>
      </c>
      <c r="C164" s="24" t="s">
        <v>113</v>
      </c>
      <c r="D164" s="105">
        <v>140</v>
      </c>
      <c r="E164" s="105">
        <f>D164*$L$2</f>
        <v>205800</v>
      </c>
      <c r="F164" s="102" t="s">
        <v>165</v>
      </c>
      <c r="G164" s="102" t="str">
        <f>VLOOKUP(B164,CÓDIGOS!$A$1:$B$1000,2)</f>
        <v>Compresor para JAY-10</v>
      </c>
      <c r="H164" s="26" t="s">
        <v>113</v>
      </c>
      <c r="I164" s="104"/>
      <c r="J164" s="104">
        <v>1.35</v>
      </c>
      <c r="K164" s="187">
        <f>D164*$L$2*J164</f>
        <v>277830</v>
      </c>
      <c r="L164" s="188">
        <f t="shared" si="12"/>
        <v>305613</v>
      </c>
      <c r="M164" s="189">
        <f t="shared" si="13"/>
        <v>231525</v>
      </c>
      <c r="N164" s="65"/>
      <c r="O164" s="66"/>
    </row>
    <row r="165" spans="1:18" ht="13.5" customHeight="1" x14ac:dyDescent="0.25">
      <c r="A165" s="67"/>
      <c r="B165" s="235" t="s">
        <v>392</v>
      </c>
      <c r="C165" s="24" t="s">
        <v>113</v>
      </c>
      <c r="D165" s="105">
        <v>5</v>
      </c>
      <c r="E165" s="105">
        <f>D165*$L$2</f>
        <v>7350</v>
      </c>
      <c r="F165" s="102" t="s">
        <v>355</v>
      </c>
      <c r="G165" s="102" t="str">
        <f>VLOOKUP(B165,CÓDIGOS!$A$1:$B$1000,2)</f>
        <v>Rodamiento 30 x 55 SKF</v>
      </c>
      <c r="H165" s="26" t="s">
        <v>113</v>
      </c>
      <c r="I165" s="104"/>
      <c r="J165" s="104">
        <v>1.35</v>
      </c>
      <c r="K165" s="187">
        <f>D165*$L$2*J165</f>
        <v>9922.5</v>
      </c>
      <c r="L165" s="188">
        <f t="shared" si="12"/>
        <v>10914.75</v>
      </c>
      <c r="M165" s="189">
        <f t="shared" si="13"/>
        <v>8268.75</v>
      </c>
      <c r="N165" s="65"/>
      <c r="O165" s="66"/>
    </row>
    <row r="166" spans="1:18" ht="13.5" customHeight="1" x14ac:dyDescent="0.25">
      <c r="A166" s="67"/>
      <c r="B166" s="235" t="s">
        <v>393</v>
      </c>
      <c r="C166" s="24" t="s">
        <v>113</v>
      </c>
      <c r="D166" s="105">
        <v>6</v>
      </c>
      <c r="E166" s="105">
        <f>D166*$L$2</f>
        <v>8820</v>
      </c>
      <c r="F166" s="102" t="s">
        <v>356</v>
      </c>
      <c r="G166" s="102" t="str">
        <f>VLOOKUP(B166,CÓDIGOS!$A$1:$B$1000,2)</f>
        <v>Rodamiento 26x9x8</v>
      </c>
      <c r="H166" s="26" t="s">
        <v>113</v>
      </c>
      <c r="I166" s="104"/>
      <c r="J166" s="104">
        <v>1.35</v>
      </c>
      <c r="K166" s="187">
        <f>D166*$L$2*J166</f>
        <v>11907</v>
      </c>
      <c r="L166" s="188">
        <f t="shared" si="12"/>
        <v>13097.7</v>
      </c>
      <c r="M166" s="189">
        <f t="shared" si="13"/>
        <v>9922.5</v>
      </c>
      <c r="N166" s="65"/>
      <c r="O166" s="66"/>
    </row>
    <row r="167" spans="1:18" ht="13.5" customHeight="1" x14ac:dyDescent="0.25">
      <c r="A167" s="67"/>
      <c r="B167" s="210"/>
      <c r="C167" s="24"/>
      <c r="D167" s="105">
        <v>18</v>
      </c>
      <c r="E167" s="105">
        <f>D167*$L$2</f>
        <v>26460</v>
      </c>
      <c r="F167" s="102" t="s">
        <v>442</v>
      </c>
      <c r="G167" s="102" t="e">
        <f>VLOOKUP(B167,CÓDIGOS!$A$1:$B$1000,2)</f>
        <v>#N/A</v>
      </c>
      <c r="H167" s="104"/>
      <c r="I167" s="104"/>
      <c r="J167" s="104">
        <v>1.35</v>
      </c>
      <c r="K167" s="187">
        <f>D167*$L$2*J167</f>
        <v>35721</v>
      </c>
      <c r="L167" s="188">
        <f t="shared" si="12"/>
        <v>39293.100000000006</v>
      </c>
      <c r="M167" s="189">
        <f t="shared" si="13"/>
        <v>29767.5</v>
      </c>
      <c r="N167" s="65"/>
      <c r="O167" s="66"/>
    </row>
    <row r="168" spans="1:18" ht="13.5" customHeight="1" x14ac:dyDescent="0.25">
      <c r="A168" s="43"/>
      <c r="B168" s="238" t="s">
        <v>394</v>
      </c>
      <c r="C168" s="31"/>
      <c r="D168" s="40"/>
      <c r="E168" s="105">
        <f>D168*$L$2</f>
        <v>0</v>
      </c>
      <c r="F168" s="20" t="s">
        <v>63</v>
      </c>
      <c r="G168" s="102" t="str">
        <f>VLOOKUP(B168,CÓDIGOS!$A$1:$B$1000,2)</f>
        <v>FLAPPER BOMBA DE VACIO MOVI VAC</v>
      </c>
      <c r="H168" s="32"/>
      <c r="I168" s="32"/>
      <c r="J168" s="32"/>
      <c r="K168" s="198"/>
      <c r="L168" s="188">
        <f t="shared" si="12"/>
        <v>0</v>
      </c>
      <c r="M168" s="189">
        <f t="shared" si="13"/>
        <v>0</v>
      </c>
      <c r="N168" s="22"/>
      <c r="O168" s="22"/>
    </row>
    <row r="169" spans="1:18" ht="13.5" customHeight="1" x14ac:dyDescent="0.25">
      <c r="A169" s="29">
        <v>40535</v>
      </c>
      <c r="B169" s="221">
        <v>1223018</v>
      </c>
      <c r="C169" s="25" t="s">
        <v>18</v>
      </c>
      <c r="D169" s="27">
        <v>47.2</v>
      </c>
      <c r="E169" s="105">
        <f>D169*$L$2</f>
        <v>69384</v>
      </c>
      <c r="F169" s="2" t="s">
        <v>64</v>
      </c>
      <c r="G169" s="102" t="str">
        <f>VLOOKUP(B169,CÓDIGOS!$A$1:$B$1000,2)</f>
        <v>Sensor SPO2 broche ped. AURORA KONSUNG original</v>
      </c>
      <c r="H169" s="26" t="s">
        <v>18</v>
      </c>
      <c r="I169" s="26" t="s">
        <v>62</v>
      </c>
      <c r="J169" s="104">
        <v>3.3</v>
      </c>
      <c r="K169" s="187">
        <f>D169*$L$2*J169</f>
        <v>228967.19999999998</v>
      </c>
      <c r="L169" s="188">
        <f t="shared" si="12"/>
        <v>251863.92</v>
      </c>
      <c r="M169" s="189">
        <f t="shared" si="13"/>
        <v>190806</v>
      </c>
      <c r="N169" s="3"/>
      <c r="O169" s="4"/>
    </row>
    <row r="170" spans="1:18" ht="13.5" customHeight="1" x14ac:dyDescent="0.25">
      <c r="A170" s="29">
        <v>40816</v>
      </c>
      <c r="B170" s="221">
        <v>1212012</v>
      </c>
      <c r="C170" s="25" t="s">
        <v>6</v>
      </c>
      <c r="D170" s="27">
        <v>189.8</v>
      </c>
      <c r="E170" s="105">
        <f>D170*$L$2</f>
        <v>279006</v>
      </c>
      <c r="F170" s="2" t="s">
        <v>65</v>
      </c>
      <c r="G170" s="102" t="str">
        <f>VLOOKUP(B170,CÓDIGOS!$A$1:$B$1000,2)</f>
        <v>Sensor de sat. reus. adulto p/MEDITECH 3m SPO2GMAD</v>
      </c>
      <c r="H170" s="26" t="s">
        <v>66</v>
      </c>
      <c r="I170" s="26">
        <v>707</v>
      </c>
      <c r="J170" s="104">
        <v>0</v>
      </c>
      <c r="K170" s="187"/>
      <c r="L170" s="188">
        <f t="shared" si="12"/>
        <v>0</v>
      </c>
      <c r="M170" s="189">
        <f t="shared" si="13"/>
        <v>0</v>
      </c>
      <c r="N170" s="3">
        <f>D170*$C$5*1.4</f>
        <v>0</v>
      </c>
      <c r="O170" s="4">
        <f>D170*$C$5*1.5*1.21</f>
        <v>0</v>
      </c>
    </row>
    <row r="171" spans="1:18" ht="13.5" customHeight="1" x14ac:dyDescent="0.25">
      <c r="A171" s="43"/>
      <c r="B171" s="238">
        <v>1113003</v>
      </c>
      <c r="C171" s="31"/>
      <c r="D171" s="40"/>
      <c r="E171" s="105">
        <f>D171*$L$2</f>
        <v>0</v>
      </c>
      <c r="F171" s="20" t="s">
        <v>67</v>
      </c>
      <c r="G171" s="102" t="e">
        <f>VLOOKUP(B171,CÓDIGOS!$A$1:$B$1000,2)</f>
        <v>#N/A</v>
      </c>
      <c r="H171" s="32"/>
      <c r="I171" s="32"/>
      <c r="J171" s="32"/>
      <c r="K171" s="198"/>
      <c r="L171" s="188">
        <f t="shared" si="12"/>
        <v>0</v>
      </c>
      <c r="M171" s="189">
        <f t="shared" si="13"/>
        <v>0</v>
      </c>
      <c r="N171" s="22"/>
      <c r="O171" s="22"/>
    </row>
    <row r="172" spans="1:18" ht="13.5" customHeight="1" x14ac:dyDescent="0.25">
      <c r="A172" s="29"/>
      <c r="B172" s="221">
        <v>1213013</v>
      </c>
      <c r="C172" s="25" t="s">
        <v>68</v>
      </c>
      <c r="D172" s="27">
        <v>10</v>
      </c>
      <c r="E172" s="105">
        <f>D172*$L$2</f>
        <v>14700</v>
      </c>
      <c r="F172" s="2" t="s">
        <v>69</v>
      </c>
      <c r="G172" s="102" t="str">
        <f>VLOOKUP(B172,CÓDIGOS!$A$1:$B$1000,2)</f>
        <v>Par de clips p/máscara nasal BMC N2</v>
      </c>
      <c r="H172" s="26"/>
      <c r="I172" s="26"/>
      <c r="J172" s="104">
        <v>2</v>
      </c>
      <c r="K172" s="187">
        <f>D172*$L$2*J172</f>
        <v>29400</v>
      </c>
      <c r="L172" s="188">
        <f t="shared" si="12"/>
        <v>32340.000000000004</v>
      </c>
      <c r="M172" s="189">
        <f t="shared" si="13"/>
        <v>24500</v>
      </c>
      <c r="N172" s="3"/>
      <c r="O172" s="4"/>
    </row>
    <row r="173" spans="1:18" ht="13.5" customHeight="1" x14ac:dyDescent="0.25">
      <c r="A173" s="86"/>
      <c r="B173" s="221" t="s">
        <v>395</v>
      </c>
      <c r="C173" s="103" t="s">
        <v>206</v>
      </c>
      <c r="D173" s="105">
        <v>33.799999999999997</v>
      </c>
      <c r="E173" s="105">
        <f>D173*$L$2</f>
        <v>49685.999999999993</v>
      </c>
      <c r="F173" s="102" t="s">
        <v>205</v>
      </c>
      <c r="G173" s="102" t="str">
        <f>VLOOKUP(B173,CÓDIGOS!$A$1:$B$1000,2)</f>
        <v>Pack Bateria 3,6V 80mA Ni-Mh 2 Pines</v>
      </c>
      <c r="H173" s="104"/>
      <c r="I173" s="104"/>
      <c r="J173" s="104">
        <v>1.35</v>
      </c>
      <c r="K173" s="187">
        <f>D173*$L$2*J173</f>
        <v>67076.099999999991</v>
      </c>
      <c r="L173" s="188">
        <f t="shared" si="12"/>
        <v>73783.709999999992</v>
      </c>
      <c r="M173" s="189">
        <f t="shared" si="13"/>
        <v>55896.749999999993</v>
      </c>
      <c r="N173" s="65"/>
      <c r="O173" s="66"/>
    </row>
    <row r="174" spans="1:18" ht="13.5" customHeight="1" x14ac:dyDescent="0.25">
      <c r="A174" s="29"/>
      <c r="B174" s="221">
        <v>1104014</v>
      </c>
      <c r="C174" s="25" t="s">
        <v>61</v>
      </c>
      <c r="D174" s="27">
        <v>19</v>
      </c>
      <c r="E174" s="105">
        <f>D174*$L$2</f>
        <v>27930</v>
      </c>
      <c r="F174" s="2" t="s">
        <v>70</v>
      </c>
      <c r="G174" s="102" t="e">
        <f>VLOOKUP(B174,CÓDIGOS!$A$1:$B$1000,2)</f>
        <v>#N/A</v>
      </c>
      <c r="H174" s="26"/>
      <c r="I174" s="26"/>
      <c r="J174" s="104">
        <v>2</v>
      </c>
      <c r="K174" s="187">
        <f>D174*$L$2*J174</f>
        <v>55860</v>
      </c>
      <c r="L174" s="188">
        <f t="shared" si="12"/>
        <v>61446.000000000007</v>
      </c>
      <c r="M174" s="189">
        <f t="shared" si="13"/>
        <v>46550</v>
      </c>
      <c r="N174" s="3"/>
      <c r="O174" s="4"/>
    </row>
    <row r="175" spans="1:18" ht="13.5" customHeight="1" x14ac:dyDescent="0.25">
      <c r="A175" s="29"/>
      <c r="B175" s="221" t="s">
        <v>396</v>
      </c>
      <c r="C175" s="25" t="s">
        <v>8</v>
      </c>
      <c r="D175" s="27">
        <v>16</v>
      </c>
      <c r="E175" s="105">
        <f>D175*$L$2</f>
        <v>23520</v>
      </c>
      <c r="F175" s="2" t="s">
        <v>137</v>
      </c>
      <c r="G175" s="102" t="str">
        <f>VLOOKUP(B175,CÓDIGOS!$A$1:$B$1000,2)</f>
        <v>SOPORTE BASE</v>
      </c>
      <c r="H175" s="26"/>
      <c r="I175" s="26"/>
      <c r="J175" s="104">
        <v>2</v>
      </c>
      <c r="K175" s="187">
        <f>D175*$L$2*J175</f>
        <v>47040</v>
      </c>
      <c r="L175" s="188">
        <f t="shared" si="12"/>
        <v>51744.000000000007</v>
      </c>
      <c r="M175" s="189">
        <f t="shared" si="13"/>
        <v>39200</v>
      </c>
      <c r="N175" s="3"/>
      <c r="O175" s="4"/>
    </row>
    <row r="176" spans="1:18" ht="13.5" customHeight="1" x14ac:dyDescent="0.25">
      <c r="A176" s="29"/>
      <c r="B176" s="221">
        <v>1104015</v>
      </c>
      <c r="C176" s="25" t="s">
        <v>8</v>
      </c>
      <c r="D176" s="27">
        <v>6.5</v>
      </c>
      <c r="E176" s="105">
        <f>D176*$L$2</f>
        <v>9555</v>
      </c>
      <c r="F176" s="2" t="s">
        <v>136</v>
      </c>
      <c r="G176" s="102" t="e">
        <f>VLOOKUP(B176,CÓDIGOS!$A$1:$B$1000,2)</f>
        <v>#N/A</v>
      </c>
      <c r="H176" s="26"/>
      <c r="I176" s="26"/>
      <c r="J176" s="104">
        <v>2</v>
      </c>
      <c r="K176" s="187">
        <f>D176*$L$2*J176</f>
        <v>19110</v>
      </c>
      <c r="L176" s="188">
        <f t="shared" si="12"/>
        <v>21021</v>
      </c>
      <c r="M176" s="189">
        <f t="shared" si="13"/>
        <v>15925</v>
      </c>
      <c r="N176" s="3"/>
      <c r="O176" s="4"/>
    </row>
    <row r="177" spans="1:15" ht="13.5" customHeight="1" x14ac:dyDescent="0.25">
      <c r="A177" s="43"/>
      <c r="B177" s="238">
        <v>1201018</v>
      </c>
      <c r="C177" s="31"/>
      <c r="D177" s="40"/>
      <c r="E177" s="105">
        <f>D177*$L$2</f>
        <v>0</v>
      </c>
      <c r="F177" s="20" t="s">
        <v>71</v>
      </c>
      <c r="G177" s="102" t="str">
        <f>VLOOKUP(B177,CÓDIGOS!$A$1:$B$1000,2)</f>
        <v>Desfibrilador externo automatico DEA</v>
      </c>
      <c r="H177" s="32"/>
      <c r="I177" s="32"/>
      <c r="J177" s="32"/>
      <c r="K177" s="22"/>
      <c r="L177" s="188">
        <f t="shared" si="12"/>
        <v>0</v>
      </c>
      <c r="M177" s="189">
        <f t="shared" si="13"/>
        <v>0</v>
      </c>
      <c r="N177" s="22"/>
      <c r="O177" s="22"/>
    </row>
    <row r="178" spans="1:15" ht="13.5" customHeight="1" x14ac:dyDescent="0.25">
      <c r="A178" s="29"/>
      <c r="B178" s="221">
        <v>1201028</v>
      </c>
      <c r="C178" s="25" t="s">
        <v>7</v>
      </c>
      <c r="D178" s="27">
        <v>8</v>
      </c>
      <c r="E178" s="105">
        <f>D178*$L$2</f>
        <v>11760</v>
      </c>
      <c r="F178" s="44" t="s">
        <v>72</v>
      </c>
      <c r="G178" s="102" t="str">
        <f>VLOOKUP(B178,CÓDIGOS!$A$1:$B$1000,2)</f>
        <v>Desfibrilador externo automatico DEA</v>
      </c>
      <c r="H178" s="26"/>
      <c r="I178" s="26"/>
      <c r="J178" s="104">
        <v>1.8</v>
      </c>
      <c r="K178" s="187">
        <f>D178*$L$2*J178</f>
        <v>21168</v>
      </c>
      <c r="L178" s="188">
        <f t="shared" si="12"/>
        <v>23284.800000000003</v>
      </c>
      <c r="M178" s="189">
        <f t="shared" si="13"/>
        <v>17640</v>
      </c>
      <c r="N178" s="3"/>
      <c r="O178" s="4"/>
    </row>
    <row r="179" spans="1:15" ht="13.5" customHeight="1" x14ac:dyDescent="0.25">
      <c r="A179" s="29"/>
      <c r="B179" s="221">
        <v>1115006</v>
      </c>
      <c r="C179" s="25" t="s">
        <v>7</v>
      </c>
      <c r="D179" s="27">
        <v>50</v>
      </c>
      <c r="E179" s="105">
        <f>D179*$L$2</f>
        <v>73500</v>
      </c>
      <c r="F179" s="2" t="s">
        <v>73</v>
      </c>
      <c r="G179" s="102" t="e">
        <f>VLOOKUP(B179,CÓDIGOS!$A$1:$B$1000,2)</f>
        <v>#N/A</v>
      </c>
      <c r="H179" s="26"/>
      <c r="I179" s="26"/>
      <c r="J179" s="104">
        <v>1.8</v>
      </c>
      <c r="K179" s="187">
        <f>D179*$L$2*J179</f>
        <v>132300</v>
      </c>
      <c r="L179" s="188">
        <f t="shared" si="12"/>
        <v>145530</v>
      </c>
      <c r="M179" s="189">
        <f t="shared" si="13"/>
        <v>110250</v>
      </c>
      <c r="N179" s="3"/>
      <c r="O179" s="4"/>
    </row>
    <row r="180" spans="1:15" ht="13.5" customHeight="1" x14ac:dyDescent="0.25">
      <c r="A180" s="43"/>
      <c r="B180" s="238">
        <v>1211001</v>
      </c>
      <c r="C180" s="31"/>
      <c r="D180" s="40"/>
      <c r="E180" s="105">
        <f>D180*$L$2</f>
        <v>0</v>
      </c>
      <c r="F180" s="20" t="s">
        <v>74</v>
      </c>
      <c r="G180" s="102" t="str">
        <f>VLOOKUP(B180,CÓDIGOS!$A$1:$B$1000,2)</f>
        <v>Banda torácica BMC</v>
      </c>
      <c r="H180" s="32"/>
      <c r="I180" s="32"/>
      <c r="J180" s="32"/>
      <c r="K180" s="198"/>
      <c r="L180" s="188">
        <f t="shared" si="12"/>
        <v>0</v>
      </c>
      <c r="M180" s="189">
        <f t="shared" si="13"/>
        <v>0</v>
      </c>
      <c r="N180" s="22"/>
      <c r="O180" s="22"/>
    </row>
    <row r="181" spans="1:15" ht="13.5" customHeight="1" x14ac:dyDescent="0.25">
      <c r="A181" s="29">
        <v>40576</v>
      </c>
      <c r="B181" s="221">
        <v>1510002</v>
      </c>
      <c r="C181" s="45" t="s">
        <v>75</v>
      </c>
      <c r="D181" s="27">
        <v>29.95</v>
      </c>
      <c r="E181" s="105">
        <f>D181*$L$2</f>
        <v>44026.5</v>
      </c>
      <c r="F181" s="2" t="s">
        <v>76</v>
      </c>
      <c r="G181" s="102" t="str">
        <f>VLOOKUP(B181,CÓDIGOS!$A$1:$B$1000,2)</f>
        <v>Kit de compresor p/Inogen At Home SP-615</v>
      </c>
      <c r="H181" s="26" t="s">
        <v>77</v>
      </c>
      <c r="I181" s="26" t="s">
        <v>78</v>
      </c>
      <c r="J181" s="104">
        <v>3.3000000000000003</v>
      </c>
      <c r="K181" s="187">
        <f>D181*$L$2*J181</f>
        <v>145287.45000000001</v>
      </c>
      <c r="L181" s="188">
        <f t="shared" si="12"/>
        <v>159816.19500000004</v>
      </c>
      <c r="M181" s="189">
        <f t="shared" si="13"/>
        <v>121072.875</v>
      </c>
      <c r="N181" s="3"/>
      <c r="O181" s="4"/>
    </row>
    <row r="182" spans="1:15" ht="13.5" customHeight="1" x14ac:dyDescent="0.25">
      <c r="A182" s="29">
        <v>40576</v>
      </c>
      <c r="B182" s="221" t="s">
        <v>397</v>
      </c>
      <c r="C182" s="45" t="s">
        <v>75</v>
      </c>
      <c r="D182" s="27">
        <v>33</v>
      </c>
      <c r="E182" s="105">
        <f>D182*$L$2</f>
        <v>48510</v>
      </c>
      <c r="F182" s="2" t="s">
        <v>79</v>
      </c>
      <c r="G182" s="102" t="str">
        <f>VLOOKUP(B182,CÓDIGOS!$A$1:$B$1000,2)</f>
        <v>Kit de caja de compresor G5</v>
      </c>
      <c r="H182" s="26" t="s">
        <v>77</v>
      </c>
      <c r="I182" s="26">
        <v>2650</v>
      </c>
      <c r="J182" s="104">
        <v>3.3</v>
      </c>
      <c r="K182" s="187">
        <f>D182*$L$2*J182</f>
        <v>160083</v>
      </c>
      <c r="L182" s="188">
        <f t="shared" si="12"/>
        <v>176091.30000000002</v>
      </c>
      <c r="M182" s="189">
        <f t="shared" si="13"/>
        <v>133402.5</v>
      </c>
      <c r="N182" s="3"/>
      <c r="O182" s="4"/>
    </row>
    <row r="183" spans="1:15" ht="13.5" customHeight="1" x14ac:dyDescent="0.25">
      <c r="A183" s="29">
        <v>40576</v>
      </c>
      <c r="B183" s="221" t="s">
        <v>399</v>
      </c>
      <c r="C183" s="45" t="s">
        <v>75</v>
      </c>
      <c r="D183" s="27">
        <v>23</v>
      </c>
      <c r="E183" s="105">
        <f>D183*$L$2</f>
        <v>33810</v>
      </c>
      <c r="F183" s="2" t="s">
        <v>80</v>
      </c>
      <c r="G183" s="102" t="str">
        <f>VLOOKUP(B183,CÓDIGOS!$A$1:$B$1000,2)</f>
        <v>SOPORTE SUPERIOR COMPRESOR</v>
      </c>
      <c r="H183" s="26" t="s">
        <v>77</v>
      </c>
      <c r="I183" s="26" t="s">
        <v>78</v>
      </c>
      <c r="J183" s="104">
        <v>3.3</v>
      </c>
      <c r="K183" s="187">
        <f>D183*$L$2*J183</f>
        <v>111573</v>
      </c>
      <c r="L183" s="188">
        <f t="shared" si="12"/>
        <v>122730.3</v>
      </c>
      <c r="M183" s="189">
        <f t="shared" si="13"/>
        <v>92977.5</v>
      </c>
      <c r="N183" s="3"/>
      <c r="O183" s="4"/>
    </row>
    <row r="184" spans="1:15" ht="13.5" customHeight="1" x14ac:dyDescent="0.25">
      <c r="A184" s="29">
        <v>40576</v>
      </c>
      <c r="B184" s="221" t="s">
        <v>412</v>
      </c>
      <c r="C184" s="45" t="s">
        <v>75</v>
      </c>
      <c r="D184" s="27">
        <v>25</v>
      </c>
      <c r="E184" s="105">
        <f>D184*$L$2</f>
        <v>36750</v>
      </c>
      <c r="F184" s="2" t="s">
        <v>81</v>
      </c>
      <c r="G184" s="102" t="str">
        <f>VLOOKUP(B184,CÓDIGOS!$A$1:$B$1000,2)</f>
        <v>SOPORTE INFERIOR COMPRESOR</v>
      </c>
      <c r="H184" s="26" t="s">
        <v>77</v>
      </c>
      <c r="I184" s="26">
        <v>2650</v>
      </c>
      <c r="J184" s="104">
        <v>3.3000000000000003</v>
      </c>
      <c r="K184" s="187">
        <f>D184*$L$2*J184</f>
        <v>121275.00000000001</v>
      </c>
      <c r="L184" s="188">
        <f t="shared" si="12"/>
        <v>133402.50000000003</v>
      </c>
      <c r="M184" s="189">
        <f t="shared" si="13"/>
        <v>101062.50000000001</v>
      </c>
      <c r="N184" s="3"/>
      <c r="O184" s="4"/>
    </row>
    <row r="185" spans="1:15" ht="13.5" customHeight="1" x14ac:dyDescent="0.25">
      <c r="A185" s="29">
        <v>40576</v>
      </c>
      <c r="B185" s="221">
        <v>1205013</v>
      </c>
      <c r="C185" s="45" t="s">
        <v>75</v>
      </c>
      <c r="D185" s="27">
        <v>16</v>
      </c>
      <c r="E185" s="105">
        <f>D185*$L$2</f>
        <v>23520</v>
      </c>
      <c r="F185" s="2" t="s">
        <v>82</v>
      </c>
      <c r="G185" s="102" t="str">
        <f>VLOOKUP(B185,CÓDIGOS!$A$1:$B$1000,2)</f>
        <v>Cámara p/calentador BMC GII H-60 Original</v>
      </c>
      <c r="H185" s="26" t="s">
        <v>77</v>
      </c>
      <c r="I185" s="26" t="s">
        <v>78</v>
      </c>
      <c r="J185" s="104">
        <v>3.3</v>
      </c>
      <c r="K185" s="187">
        <f>D185*$L$2*J185</f>
        <v>77616</v>
      </c>
      <c r="L185" s="188">
        <f t="shared" si="12"/>
        <v>85377.600000000006</v>
      </c>
      <c r="M185" s="189">
        <f t="shared" si="13"/>
        <v>64680</v>
      </c>
      <c r="N185" s="3"/>
      <c r="O185" s="4"/>
    </row>
    <row r="186" spans="1:15" ht="13.5" customHeight="1" x14ac:dyDescent="0.25">
      <c r="A186" s="29">
        <v>40576</v>
      </c>
      <c r="B186" s="221">
        <v>1206005</v>
      </c>
      <c r="C186" s="45" t="s">
        <v>75</v>
      </c>
      <c r="D186" s="27">
        <v>24</v>
      </c>
      <c r="E186" s="105">
        <f>D186*$L$2</f>
        <v>35280</v>
      </c>
      <c r="F186" s="2" t="s">
        <v>82</v>
      </c>
      <c r="G186" s="102" t="str">
        <f>VLOOKUP(B186,CÓDIGOS!$A$1:$B$1000,2)</f>
        <v>Cámara para Calentador Humidificador RH-800</v>
      </c>
      <c r="H186" s="26" t="s">
        <v>77</v>
      </c>
      <c r="I186" s="26">
        <v>2650</v>
      </c>
      <c r="J186" s="104">
        <v>3.3</v>
      </c>
      <c r="K186" s="187">
        <f>D186*$L$2*J186</f>
        <v>116424</v>
      </c>
      <c r="L186" s="188">
        <f t="shared" si="12"/>
        <v>128066.40000000001</v>
      </c>
      <c r="M186" s="189">
        <f t="shared" si="13"/>
        <v>97020</v>
      </c>
      <c r="N186" s="3"/>
      <c r="O186" s="4"/>
    </row>
    <row r="187" spans="1:15" ht="13.5" customHeight="1" x14ac:dyDescent="0.25">
      <c r="A187" s="43"/>
      <c r="B187" s="238">
        <v>1219001</v>
      </c>
      <c r="C187" s="31"/>
      <c r="D187" s="40"/>
      <c r="E187" s="105">
        <f>D187*$L$2</f>
        <v>0</v>
      </c>
      <c r="F187" s="20" t="s">
        <v>83</v>
      </c>
      <c r="G187" s="102" t="str">
        <f>VLOOKUP(B187,CÓDIGOS!$A$1:$B$1000,2)</f>
        <v>Bolso original BMC para modelo G1</v>
      </c>
      <c r="H187" s="32"/>
      <c r="I187" s="32"/>
      <c r="J187" s="32"/>
      <c r="K187" s="198"/>
      <c r="L187" s="188">
        <f t="shared" si="12"/>
        <v>0</v>
      </c>
      <c r="M187" s="189">
        <f t="shared" si="13"/>
        <v>0</v>
      </c>
      <c r="N187" s="22"/>
      <c r="O187" s="22"/>
    </row>
    <row r="188" spans="1:15" ht="13.5" customHeight="1" x14ac:dyDescent="0.25">
      <c r="A188" s="70"/>
      <c r="B188" s="239" t="s">
        <v>257</v>
      </c>
      <c r="C188" s="77" t="s">
        <v>10</v>
      </c>
      <c r="D188" s="77"/>
      <c r="E188" s="105">
        <f>D188*$L$2</f>
        <v>0</v>
      </c>
      <c r="F188" s="99" t="s">
        <v>255</v>
      </c>
      <c r="G188" s="102" t="str">
        <f>VLOOKUP(B188,CÓDIGOS!$A$1:$B$1000,2)</f>
        <v>ARANDELA PLANA 3 x 10mm</v>
      </c>
      <c r="H188" s="26" t="s">
        <v>10</v>
      </c>
      <c r="J188" s="104"/>
      <c r="K188" s="187">
        <v>91133</v>
      </c>
      <c r="L188" s="188">
        <f t="shared" si="12"/>
        <v>100246.3</v>
      </c>
      <c r="M188" s="189">
        <f t="shared" si="13"/>
        <v>75944.166666666672</v>
      </c>
      <c r="N188" s="3">
        <f>D188*1.4</f>
        <v>0</v>
      </c>
      <c r="O188" s="4"/>
    </row>
    <row r="189" spans="1:15" ht="13.5" customHeight="1" x14ac:dyDescent="0.25">
      <c r="A189" s="71"/>
      <c r="B189" s="239" t="s">
        <v>258</v>
      </c>
      <c r="C189" s="77" t="s">
        <v>10</v>
      </c>
      <c r="D189" s="77"/>
      <c r="E189" s="105">
        <f>D189*$L$2</f>
        <v>0</v>
      </c>
      <c r="F189" s="99" t="s">
        <v>234</v>
      </c>
      <c r="G189" s="102" t="e">
        <f>VLOOKUP(B189,CÓDIGOS!$A$1:$B$1000,2)</f>
        <v>#N/A</v>
      </c>
      <c r="H189" s="26" t="s">
        <v>10</v>
      </c>
      <c r="J189" s="104"/>
      <c r="K189" s="187">
        <v>95763</v>
      </c>
      <c r="L189" s="188">
        <f t="shared" si="12"/>
        <v>105339.3</v>
      </c>
      <c r="M189" s="189">
        <f t="shared" si="13"/>
        <v>79802.5</v>
      </c>
      <c r="N189" s="3">
        <f>D189*1.4</f>
        <v>0</v>
      </c>
      <c r="O189" s="4"/>
    </row>
    <row r="190" spans="1:15" ht="13.5" customHeight="1" x14ac:dyDescent="0.25">
      <c r="A190" s="71"/>
      <c r="B190" s="239" t="s">
        <v>259</v>
      </c>
      <c r="C190" s="77" t="s">
        <v>10</v>
      </c>
      <c r="D190" s="77"/>
      <c r="E190" s="105">
        <f>D190*$L$2</f>
        <v>0</v>
      </c>
      <c r="F190" s="99" t="s">
        <v>235</v>
      </c>
      <c r="G190" s="102" t="e">
        <f>VLOOKUP(B190,CÓDIGOS!$A$1:$B$1000,2)</f>
        <v>#N/A</v>
      </c>
      <c r="H190" s="26" t="s">
        <v>10</v>
      </c>
      <c r="J190" s="104"/>
      <c r="K190" s="187">
        <v>9434</v>
      </c>
      <c r="L190" s="188">
        <f t="shared" si="12"/>
        <v>10377.400000000001</v>
      </c>
      <c r="M190" s="189">
        <f t="shared" si="13"/>
        <v>7861.666666666667</v>
      </c>
      <c r="N190" s="3">
        <f>D190*1.4</f>
        <v>0</v>
      </c>
      <c r="O190" s="4"/>
    </row>
    <row r="191" spans="1:15" ht="13.5" customHeight="1" x14ac:dyDescent="0.25">
      <c r="A191" s="71"/>
      <c r="B191" s="240" t="s">
        <v>260</v>
      </c>
      <c r="C191" s="77" t="s">
        <v>10</v>
      </c>
      <c r="D191" s="77"/>
      <c r="E191" s="105">
        <f>D191*$L$2</f>
        <v>0</v>
      </c>
      <c r="F191" s="99" t="s">
        <v>236</v>
      </c>
      <c r="G191" s="102" t="e">
        <f>VLOOKUP(B191,CÓDIGOS!$A$1:$B$1000,2)</f>
        <v>#N/A</v>
      </c>
      <c r="H191" s="26" t="s">
        <v>10</v>
      </c>
      <c r="J191" s="104"/>
      <c r="K191" s="187">
        <v>9434</v>
      </c>
      <c r="L191" s="188">
        <f t="shared" si="12"/>
        <v>10377.400000000001</v>
      </c>
      <c r="M191" s="189">
        <f t="shared" si="13"/>
        <v>7861.666666666667</v>
      </c>
      <c r="N191" s="3">
        <f>D191*1.4</f>
        <v>0</v>
      </c>
      <c r="O191" s="4"/>
    </row>
    <row r="192" spans="1:15" ht="13.5" customHeight="1" x14ac:dyDescent="0.25">
      <c r="A192" s="72"/>
      <c r="B192" s="240" t="s">
        <v>261</v>
      </c>
      <c r="C192" s="77" t="s">
        <v>10</v>
      </c>
      <c r="D192" s="77"/>
      <c r="E192" s="105">
        <f>D192*$L$2</f>
        <v>0</v>
      </c>
      <c r="F192" s="99" t="s">
        <v>237</v>
      </c>
      <c r="G192" s="102" t="e">
        <f>VLOOKUP(B192,CÓDIGOS!$A$1:$B$1000,2)</f>
        <v>#N/A</v>
      </c>
      <c r="H192" s="26" t="s">
        <v>10</v>
      </c>
      <c r="J192" s="104"/>
      <c r="K192" s="187">
        <v>6561</v>
      </c>
      <c r="L192" s="188">
        <f t="shared" si="12"/>
        <v>7217.1</v>
      </c>
      <c r="M192" s="189">
        <f t="shared" si="13"/>
        <v>5467.5</v>
      </c>
      <c r="N192" s="3">
        <f>D192*1.4</f>
        <v>0</v>
      </c>
      <c r="O192" s="4"/>
    </row>
    <row r="193" spans="1:15" ht="13.5" customHeight="1" x14ac:dyDescent="0.25">
      <c r="A193" s="73">
        <v>43677</v>
      </c>
      <c r="B193" s="240" t="s">
        <v>262</v>
      </c>
      <c r="C193" s="77" t="s">
        <v>10</v>
      </c>
      <c r="D193" s="78"/>
      <c r="E193" s="105">
        <f>D193*$L$2</f>
        <v>0</v>
      </c>
      <c r="F193" s="99" t="s">
        <v>238</v>
      </c>
      <c r="G193" s="102" t="e">
        <f>VLOOKUP(B193,CÓDIGOS!$A$1:$B$1000,2)</f>
        <v>#N/A</v>
      </c>
      <c r="H193" s="26" t="s">
        <v>10</v>
      </c>
      <c r="J193" s="104"/>
      <c r="K193" s="187">
        <v>13649</v>
      </c>
      <c r="L193" s="188">
        <f t="shared" si="12"/>
        <v>15013.900000000001</v>
      </c>
      <c r="M193" s="189">
        <f t="shared" si="13"/>
        <v>11374.166666666666</v>
      </c>
      <c r="N193" s="3"/>
      <c r="O193" s="4"/>
    </row>
    <row r="194" spans="1:15" ht="13.5" customHeight="1" x14ac:dyDescent="0.25">
      <c r="A194" s="73">
        <v>43677</v>
      </c>
      <c r="B194" s="240" t="s">
        <v>263</v>
      </c>
      <c r="C194" s="77" t="s">
        <v>10</v>
      </c>
      <c r="D194" s="78"/>
      <c r="E194" s="105">
        <f>D194*$L$2</f>
        <v>0</v>
      </c>
      <c r="F194" s="99" t="s">
        <v>239</v>
      </c>
      <c r="G194" s="102" t="e">
        <f>VLOOKUP(B194,CÓDIGOS!$A$1:$B$1000,2)</f>
        <v>#N/A</v>
      </c>
      <c r="H194" s="26" t="s">
        <v>10</v>
      </c>
      <c r="J194" s="104"/>
      <c r="K194" s="187">
        <v>14933</v>
      </c>
      <c r="L194" s="188">
        <f t="shared" si="12"/>
        <v>16426.300000000003</v>
      </c>
      <c r="M194" s="189">
        <f t="shared" si="13"/>
        <v>12444.166666666666</v>
      </c>
      <c r="N194" s="3"/>
      <c r="O194" s="4"/>
    </row>
    <row r="195" spans="1:15" ht="13.5" customHeight="1" x14ac:dyDescent="0.25">
      <c r="A195" s="74"/>
      <c r="B195" s="240" t="s">
        <v>264</v>
      </c>
      <c r="C195" s="77" t="s">
        <v>10</v>
      </c>
      <c r="D195" s="77"/>
      <c r="E195" s="105">
        <f>D195*$L$2</f>
        <v>0</v>
      </c>
      <c r="F195" s="99" t="s">
        <v>240</v>
      </c>
      <c r="G195" s="102" t="e">
        <f>VLOOKUP(B195,CÓDIGOS!$A$1:$B$1000,2)</f>
        <v>#N/A</v>
      </c>
      <c r="H195" s="26" t="s">
        <v>10</v>
      </c>
      <c r="J195" s="104"/>
      <c r="K195" s="187">
        <v>30251</v>
      </c>
      <c r="L195" s="188">
        <f t="shared" si="12"/>
        <v>33276.100000000006</v>
      </c>
      <c r="M195" s="189">
        <f t="shared" si="13"/>
        <v>25209.166666666668</v>
      </c>
      <c r="N195" s="3">
        <f>D195*1.4</f>
        <v>0</v>
      </c>
      <c r="O195" s="4"/>
    </row>
    <row r="196" spans="1:15" ht="13.5" customHeight="1" x14ac:dyDescent="0.25">
      <c r="A196" s="75"/>
      <c r="B196" s="240" t="s">
        <v>265</v>
      </c>
      <c r="C196" s="77" t="s">
        <v>10</v>
      </c>
      <c r="D196" s="77"/>
      <c r="E196" s="105">
        <f>D196*$L$2</f>
        <v>0</v>
      </c>
      <c r="F196" s="99" t="s">
        <v>241</v>
      </c>
      <c r="G196" s="102" t="e">
        <f>VLOOKUP(B196,CÓDIGOS!$A$1:$B$1000,2)</f>
        <v>#N/A</v>
      </c>
      <c r="H196" s="26" t="s">
        <v>10</v>
      </c>
      <c r="J196" s="104"/>
      <c r="K196" s="187">
        <v>30539</v>
      </c>
      <c r="L196" s="188">
        <f t="shared" si="12"/>
        <v>33592.9</v>
      </c>
      <c r="M196" s="189">
        <f t="shared" si="13"/>
        <v>25449.166666666668</v>
      </c>
      <c r="N196" s="3">
        <f>D196*1.4</f>
        <v>0</v>
      </c>
      <c r="O196" s="4"/>
    </row>
    <row r="197" spans="1:15" ht="13.5" customHeight="1" x14ac:dyDescent="0.25">
      <c r="A197" s="74"/>
      <c r="B197" s="240" t="s">
        <v>266</v>
      </c>
      <c r="C197" s="77" t="s">
        <v>10</v>
      </c>
      <c r="D197" s="77"/>
      <c r="E197" s="105">
        <f>D197*$L$2</f>
        <v>0</v>
      </c>
      <c r="F197" s="99" t="s">
        <v>242</v>
      </c>
      <c r="G197" s="102" t="e">
        <f>VLOOKUP(B197,CÓDIGOS!$A$1:$B$1000,2)</f>
        <v>#N/A</v>
      </c>
      <c r="H197" s="26" t="s">
        <v>10</v>
      </c>
      <c r="J197" s="104"/>
      <c r="K197" s="187">
        <v>5427</v>
      </c>
      <c r="L197" s="188">
        <f t="shared" si="12"/>
        <v>5969.7000000000007</v>
      </c>
      <c r="M197" s="189">
        <f t="shared" si="13"/>
        <v>4522.5</v>
      </c>
      <c r="N197" s="3">
        <f>D197*1.4</f>
        <v>0</v>
      </c>
      <c r="O197" s="4"/>
    </row>
    <row r="198" spans="1:15" ht="13.5" customHeight="1" x14ac:dyDescent="0.25">
      <c r="A198" s="76"/>
      <c r="B198" s="240" t="s">
        <v>267</v>
      </c>
      <c r="C198" s="77" t="s">
        <v>10</v>
      </c>
      <c r="D198" s="77"/>
      <c r="E198" s="105">
        <f>D198*$L$2</f>
        <v>0</v>
      </c>
      <c r="F198" s="99" t="s">
        <v>243</v>
      </c>
      <c r="G198" s="102" t="e">
        <f>VLOOKUP(B198,CÓDIGOS!$A$1:$B$1000,2)</f>
        <v>#N/A</v>
      </c>
      <c r="H198" s="26" t="s">
        <v>10</v>
      </c>
      <c r="J198" s="104"/>
      <c r="K198" s="187">
        <v>3362</v>
      </c>
      <c r="L198" s="188">
        <f t="shared" si="12"/>
        <v>3698.2000000000003</v>
      </c>
      <c r="M198" s="189">
        <f t="shared" si="13"/>
        <v>2801.6666666666665</v>
      </c>
      <c r="N198" s="3">
        <f>D198*1.4</f>
        <v>0</v>
      </c>
      <c r="O198" s="4"/>
    </row>
    <row r="199" spans="1:15" ht="13.5" customHeight="1" x14ac:dyDescent="0.25">
      <c r="A199" s="74"/>
      <c r="B199" s="240" t="s">
        <v>268</v>
      </c>
      <c r="C199" s="77" t="s">
        <v>10</v>
      </c>
      <c r="D199" s="77"/>
      <c r="E199" s="105">
        <f>D199*$L$2</f>
        <v>0</v>
      </c>
      <c r="F199" s="99" t="s">
        <v>244</v>
      </c>
      <c r="G199" s="102" t="e">
        <f>VLOOKUP(B199,CÓDIGOS!$A$1:$B$1000,2)</f>
        <v>#N/A</v>
      </c>
      <c r="H199" s="26" t="s">
        <v>10</v>
      </c>
      <c r="J199" s="104"/>
      <c r="K199" s="187">
        <v>539</v>
      </c>
      <c r="L199" s="188">
        <f t="shared" si="12"/>
        <v>592.90000000000009</v>
      </c>
      <c r="M199" s="189">
        <f t="shared" si="13"/>
        <v>449.16666666666669</v>
      </c>
      <c r="N199" s="3">
        <f>D199*1.4</f>
        <v>0</v>
      </c>
      <c r="O199" s="4"/>
    </row>
    <row r="200" spans="1:15" ht="13.5" customHeight="1" x14ac:dyDescent="0.25">
      <c r="A200" s="74"/>
      <c r="B200" s="240" t="s">
        <v>269</v>
      </c>
      <c r="C200" s="77"/>
      <c r="D200" s="77"/>
      <c r="E200" s="105">
        <f>D200*$L$2</f>
        <v>0</v>
      </c>
      <c r="F200" s="99" t="s">
        <v>279</v>
      </c>
      <c r="G200" s="102" t="e">
        <f>VLOOKUP(B200,CÓDIGOS!$A$1:$B$1000,2)</f>
        <v>#N/A</v>
      </c>
      <c r="H200" s="26" t="s">
        <v>10</v>
      </c>
      <c r="J200" s="104"/>
      <c r="K200" s="187">
        <v>2546</v>
      </c>
      <c r="L200" s="188">
        <f t="shared" si="12"/>
        <v>2800.6000000000004</v>
      </c>
      <c r="M200" s="189">
        <f t="shared" si="13"/>
        <v>2121.6666666666665</v>
      </c>
      <c r="N200" s="65"/>
      <c r="O200" s="66"/>
    </row>
    <row r="201" spans="1:15" ht="13.5" customHeight="1" x14ac:dyDescent="0.25">
      <c r="A201" s="75"/>
      <c r="B201" s="240" t="s">
        <v>270</v>
      </c>
      <c r="C201" s="77" t="s">
        <v>10</v>
      </c>
      <c r="D201" s="77"/>
      <c r="E201" s="105">
        <f>D201*$L$2</f>
        <v>0</v>
      </c>
      <c r="F201" s="99" t="s">
        <v>245</v>
      </c>
      <c r="G201" s="102" t="e">
        <f>VLOOKUP(B201,CÓDIGOS!$A$1:$B$1000,2)</f>
        <v>#N/A</v>
      </c>
      <c r="H201" s="26" t="s">
        <v>10</v>
      </c>
      <c r="J201" s="104"/>
      <c r="K201" s="187">
        <v>2862</v>
      </c>
      <c r="L201" s="188">
        <f t="shared" si="12"/>
        <v>3148.2000000000003</v>
      </c>
      <c r="M201" s="189">
        <f t="shared" si="13"/>
        <v>2385</v>
      </c>
      <c r="N201" s="3">
        <f>D201*1.4</f>
        <v>0</v>
      </c>
      <c r="O201" s="4"/>
    </row>
    <row r="202" spans="1:15" ht="13.5" customHeight="1" x14ac:dyDescent="0.25">
      <c r="A202" s="74"/>
      <c r="B202" s="240" t="s">
        <v>271</v>
      </c>
      <c r="C202" s="77" t="s">
        <v>10</v>
      </c>
      <c r="D202" s="77"/>
      <c r="E202" s="105">
        <f>D202*$L$2</f>
        <v>0</v>
      </c>
      <c r="F202" s="99" t="s">
        <v>246</v>
      </c>
      <c r="G202" s="102" t="e">
        <f>VLOOKUP(B202,CÓDIGOS!$A$1:$B$1000,2)</f>
        <v>#N/A</v>
      </c>
      <c r="H202" s="26" t="s">
        <v>10</v>
      </c>
      <c r="J202" s="104"/>
      <c r="K202" s="187">
        <v>16949</v>
      </c>
      <c r="L202" s="188">
        <f t="shared" si="12"/>
        <v>18643.900000000001</v>
      </c>
      <c r="M202" s="189">
        <f t="shared" si="13"/>
        <v>14124.166666666666</v>
      </c>
      <c r="N202" s="3">
        <f>D202*1.4</f>
        <v>0</v>
      </c>
      <c r="O202" s="4"/>
    </row>
    <row r="203" spans="1:15" ht="13.5" customHeight="1" x14ac:dyDescent="0.25">
      <c r="A203" s="74"/>
      <c r="B203" s="240" t="s">
        <v>272</v>
      </c>
      <c r="C203" s="77" t="s">
        <v>10</v>
      </c>
      <c r="D203" s="77"/>
      <c r="E203" s="105">
        <f>D203*$L$2</f>
        <v>0</v>
      </c>
      <c r="F203" s="99" t="s">
        <v>247</v>
      </c>
      <c r="G203" s="102" t="e">
        <f>VLOOKUP(B203,CÓDIGOS!$A$1:$B$1000,2)</f>
        <v>#N/A</v>
      </c>
      <c r="H203" s="26" t="s">
        <v>10</v>
      </c>
      <c r="J203" s="104"/>
      <c r="K203" s="187">
        <v>26861</v>
      </c>
      <c r="L203" s="188">
        <f t="shared" si="12"/>
        <v>29547.100000000002</v>
      </c>
      <c r="M203" s="189">
        <f t="shared" si="13"/>
        <v>22384.166666666668</v>
      </c>
      <c r="N203" s="3">
        <f>D203*1.4</f>
        <v>0</v>
      </c>
      <c r="O203" s="4"/>
    </row>
    <row r="204" spans="1:15" ht="13.5" customHeight="1" x14ac:dyDescent="0.25">
      <c r="A204" s="74"/>
      <c r="B204" s="240" t="s">
        <v>273</v>
      </c>
      <c r="C204" s="77" t="s">
        <v>10</v>
      </c>
      <c r="D204" s="77"/>
      <c r="E204" s="105">
        <f>D204*$L$2</f>
        <v>0</v>
      </c>
      <c r="F204" s="99" t="s">
        <v>248</v>
      </c>
      <c r="G204" s="102" t="e">
        <f>VLOOKUP(B204,CÓDIGOS!$A$1:$B$1000,2)</f>
        <v>#N/A</v>
      </c>
      <c r="H204" s="26" t="s">
        <v>10</v>
      </c>
      <c r="J204" s="104"/>
      <c r="K204" s="187">
        <v>75099</v>
      </c>
      <c r="L204" s="188">
        <f t="shared" si="12"/>
        <v>82608.900000000009</v>
      </c>
      <c r="M204" s="189">
        <f t="shared" si="13"/>
        <v>62582.5</v>
      </c>
      <c r="N204" s="3">
        <f>D204*1.4</f>
        <v>0</v>
      </c>
      <c r="O204" s="4">
        <f>D204*1.5*1.21</f>
        <v>0</v>
      </c>
    </row>
    <row r="205" spans="1:15" ht="13.5" customHeight="1" x14ac:dyDescent="0.25">
      <c r="A205" s="75"/>
      <c r="B205" s="240" t="s">
        <v>274</v>
      </c>
      <c r="C205" s="77" t="s">
        <v>10</v>
      </c>
      <c r="D205" s="77"/>
      <c r="E205" s="105">
        <f>D205*$L$2</f>
        <v>0</v>
      </c>
      <c r="F205" s="99" t="s">
        <v>249</v>
      </c>
      <c r="G205" s="102" t="e">
        <f>VLOOKUP(B205,CÓDIGOS!$A$1:$B$1000,2)</f>
        <v>#N/A</v>
      </c>
      <c r="H205" s="26" t="s">
        <v>10</v>
      </c>
      <c r="J205" s="104"/>
      <c r="K205" s="187">
        <v>3602</v>
      </c>
      <c r="L205" s="188">
        <f t="shared" si="12"/>
        <v>3962.2000000000003</v>
      </c>
      <c r="M205" s="189">
        <f t="shared" si="13"/>
        <v>3001.6666666666665</v>
      </c>
      <c r="N205" s="3">
        <f>D205*1.4</f>
        <v>0</v>
      </c>
      <c r="O205" s="4"/>
    </row>
    <row r="206" spans="1:15" ht="13.5" customHeight="1" x14ac:dyDescent="0.25">
      <c r="A206" s="75"/>
      <c r="B206" s="240" t="s">
        <v>275</v>
      </c>
      <c r="C206" s="77" t="s">
        <v>10</v>
      </c>
      <c r="D206" s="77"/>
      <c r="E206" s="105">
        <f>D206*$L$2</f>
        <v>0</v>
      </c>
      <c r="F206" s="99" t="s">
        <v>250</v>
      </c>
      <c r="G206" s="102" t="e">
        <f>VLOOKUP(B206,CÓDIGOS!$A$1:$B$1000,2)</f>
        <v>#N/A</v>
      </c>
      <c r="H206" s="26" t="s">
        <v>10</v>
      </c>
      <c r="J206" s="104"/>
      <c r="K206" s="187">
        <v>1428</v>
      </c>
      <c r="L206" s="188">
        <f t="shared" si="12"/>
        <v>1570.8000000000002</v>
      </c>
      <c r="M206" s="189">
        <f t="shared" si="13"/>
        <v>1190</v>
      </c>
      <c r="N206" s="3">
        <f>D206*1.4</f>
        <v>0</v>
      </c>
      <c r="O206" s="4"/>
    </row>
    <row r="207" spans="1:15" ht="13.5" customHeight="1" x14ac:dyDescent="0.25">
      <c r="A207" s="74"/>
      <c r="B207" s="240" t="s">
        <v>276</v>
      </c>
      <c r="C207" s="77" t="s">
        <v>10</v>
      </c>
      <c r="D207" s="77"/>
      <c r="E207" s="105">
        <f>D207*$L$2</f>
        <v>0</v>
      </c>
      <c r="F207" s="99" t="s">
        <v>251</v>
      </c>
      <c r="G207" s="102" t="e">
        <f>VLOOKUP(B207,CÓDIGOS!$A$1:$B$1000,2)</f>
        <v>#N/A</v>
      </c>
      <c r="H207" s="26" t="s">
        <v>10</v>
      </c>
      <c r="J207" s="104"/>
      <c r="K207" s="187">
        <v>2862</v>
      </c>
      <c r="L207" s="188">
        <f t="shared" si="12"/>
        <v>3148.2000000000003</v>
      </c>
      <c r="M207" s="189">
        <f t="shared" si="13"/>
        <v>2385</v>
      </c>
      <c r="N207" s="3">
        <f>D207*1.4</f>
        <v>0</v>
      </c>
      <c r="O207" s="4"/>
    </row>
    <row r="208" spans="1:15" ht="13.5" customHeight="1" x14ac:dyDescent="0.25">
      <c r="A208" s="74"/>
      <c r="B208" s="240" t="s">
        <v>277</v>
      </c>
      <c r="C208" s="77"/>
      <c r="D208" s="77"/>
      <c r="E208" s="105">
        <f>D208*$L$2</f>
        <v>0</v>
      </c>
      <c r="F208" s="99" t="s">
        <v>252</v>
      </c>
      <c r="G208" s="102" t="e">
        <f>VLOOKUP(B208,CÓDIGOS!$A$1:$B$1000,2)</f>
        <v>#N/A</v>
      </c>
      <c r="H208" s="26" t="s">
        <v>10</v>
      </c>
      <c r="J208" s="104"/>
      <c r="K208" s="187">
        <v>606</v>
      </c>
      <c r="L208" s="188">
        <f t="shared" si="12"/>
        <v>666.6</v>
      </c>
      <c r="M208" s="189">
        <f t="shared" si="13"/>
        <v>505</v>
      </c>
      <c r="N208" s="65"/>
      <c r="O208" s="66"/>
    </row>
    <row r="209" spans="1:15" ht="13.5" customHeight="1" x14ac:dyDescent="0.25">
      <c r="A209" s="74"/>
      <c r="B209" s="240" t="s">
        <v>278</v>
      </c>
      <c r="C209" s="77"/>
      <c r="D209" s="77"/>
      <c r="E209" s="105">
        <f>D209*$L$2</f>
        <v>0</v>
      </c>
      <c r="F209" s="99" t="s">
        <v>253</v>
      </c>
      <c r="G209" s="102" t="e">
        <f>VLOOKUP(B209,CÓDIGOS!$A$1:$B$1000,2)</f>
        <v>#N/A</v>
      </c>
      <c r="H209" s="26" t="s">
        <v>10</v>
      </c>
      <c r="J209" s="104"/>
      <c r="K209" s="187">
        <v>180480</v>
      </c>
      <c r="L209" s="188">
        <f t="shared" si="12"/>
        <v>198528.00000000003</v>
      </c>
      <c r="M209" s="189">
        <f t="shared" si="13"/>
        <v>150400</v>
      </c>
      <c r="N209" s="65"/>
      <c r="O209" s="66"/>
    </row>
    <row r="210" spans="1:15" ht="13.5" customHeight="1" x14ac:dyDescent="0.25">
      <c r="A210" s="74"/>
      <c r="B210" s="240" t="s">
        <v>256</v>
      </c>
      <c r="C210" s="77"/>
      <c r="D210" s="77"/>
      <c r="E210" s="105">
        <f>D210*$L$2</f>
        <v>0</v>
      </c>
      <c r="F210" s="99" t="s">
        <v>254</v>
      </c>
      <c r="G210" s="102" t="e">
        <f>VLOOKUP(B210,CÓDIGOS!$A$1:$B$1000,2)</f>
        <v>#N/A</v>
      </c>
      <c r="H210" s="26" t="s">
        <v>10</v>
      </c>
      <c r="J210" s="104"/>
      <c r="K210" s="187">
        <v>2040</v>
      </c>
      <c r="L210" s="188">
        <f t="shared" si="12"/>
        <v>2244</v>
      </c>
      <c r="M210" s="189">
        <f t="shared" si="13"/>
        <v>1700</v>
      </c>
      <c r="N210" s="65"/>
      <c r="O210" s="66"/>
    </row>
    <row r="211" spans="1:15" ht="13.5" customHeight="1" x14ac:dyDescent="0.25">
      <c r="A211" s="43"/>
      <c r="B211" s="238">
        <v>1219002</v>
      </c>
      <c r="C211" s="31"/>
      <c r="D211" s="31"/>
      <c r="E211" s="105">
        <f>D211*$L$2</f>
        <v>0</v>
      </c>
      <c r="F211" s="20" t="s">
        <v>91</v>
      </c>
      <c r="G211" s="102" t="str">
        <f>VLOOKUP(B211,CÓDIGOS!$A$1:$B$1000,2)</f>
        <v>Bolso original BMC para modelo GII</v>
      </c>
      <c r="H211" s="32"/>
      <c r="I211" s="32"/>
      <c r="J211" s="32"/>
      <c r="K211" s="198"/>
      <c r="L211" s="198"/>
      <c r="M211" s="198"/>
      <c r="N211" s="22"/>
      <c r="O211" s="22"/>
    </row>
    <row r="212" spans="1:15" ht="13.5" customHeight="1" x14ac:dyDescent="0.25">
      <c r="A212" s="30">
        <v>41197</v>
      </c>
      <c r="B212" s="222">
        <v>1208031</v>
      </c>
      <c r="C212" s="25" t="s">
        <v>11</v>
      </c>
      <c r="D212" s="27">
        <v>11.06</v>
      </c>
      <c r="E212" s="105">
        <f>D212*$L$2</f>
        <v>16258.2</v>
      </c>
      <c r="F212" s="5" t="s">
        <v>13</v>
      </c>
      <c r="G212" s="102" t="str">
        <f>VLOOKUP(B212,CÓDIGOS!$A$1:$B$1000,2)</f>
        <v>Filtro viral bacteriano BARRIELBAC S 350/5879</v>
      </c>
      <c r="H212" s="26" t="s">
        <v>12</v>
      </c>
      <c r="I212" s="46" t="s">
        <v>14</v>
      </c>
      <c r="J212" s="104">
        <v>1.2</v>
      </c>
      <c r="K212" s="187">
        <f>D212*$L$2*J212</f>
        <v>19509.84</v>
      </c>
      <c r="L212" s="188">
        <f t="shared" ref="L212:L276" si="14">K212*1.1</f>
        <v>21460.824000000001</v>
      </c>
      <c r="M212" s="189">
        <f t="shared" ref="M212:M276" si="15">K212*5/6</f>
        <v>16258.199999999999</v>
      </c>
      <c r="N212" s="3">
        <f>D212*$C$5*1.4</f>
        <v>0</v>
      </c>
      <c r="O212" s="4">
        <f>D212*$C$5*1.5*1.21</f>
        <v>0</v>
      </c>
    </row>
    <row r="213" spans="1:15" ht="13.5" customHeight="1" x14ac:dyDescent="0.25">
      <c r="A213" s="33">
        <v>41297</v>
      </c>
      <c r="B213" s="241">
        <v>1104016</v>
      </c>
      <c r="C213" s="25" t="s">
        <v>11</v>
      </c>
      <c r="D213" s="27">
        <v>7.13</v>
      </c>
      <c r="E213" s="105">
        <f>D213*$L$2</f>
        <v>10481.1</v>
      </c>
      <c r="F213" s="2" t="s">
        <v>92</v>
      </c>
      <c r="G213" s="102" t="e">
        <f>VLOOKUP(B213,CÓDIGOS!$A$1:$B$1000,2)</f>
        <v>#N/A</v>
      </c>
      <c r="H213" s="26" t="s">
        <v>12</v>
      </c>
      <c r="I213" s="47" t="s">
        <v>93</v>
      </c>
      <c r="J213" s="104">
        <v>1.2</v>
      </c>
      <c r="K213" s="187">
        <f>D213*$L$2*J213</f>
        <v>12577.32</v>
      </c>
      <c r="L213" s="188">
        <f t="shared" si="14"/>
        <v>13835.052000000001</v>
      </c>
      <c r="M213" s="189">
        <f t="shared" si="15"/>
        <v>10481.1</v>
      </c>
      <c r="N213" s="3">
        <f>D213*$C$5*1.4</f>
        <v>0</v>
      </c>
      <c r="O213" s="4">
        <f>D213*$C$5*1.5*1.21</f>
        <v>0</v>
      </c>
    </row>
    <row r="214" spans="1:15" ht="13.5" customHeight="1" x14ac:dyDescent="0.25">
      <c r="A214" s="48">
        <v>41557</v>
      </c>
      <c r="B214" s="242">
        <v>1104030</v>
      </c>
      <c r="C214" s="25" t="s">
        <v>11</v>
      </c>
      <c r="D214" s="27">
        <v>6.42</v>
      </c>
      <c r="E214" s="105">
        <f>D214*$L$2</f>
        <v>9437.4</v>
      </c>
      <c r="F214" s="2" t="s">
        <v>94</v>
      </c>
      <c r="G214" s="102" t="e">
        <f>VLOOKUP(B214,CÓDIGOS!$A$1:$B$1000,2)</f>
        <v>#N/A</v>
      </c>
      <c r="H214" s="26" t="s">
        <v>12</v>
      </c>
      <c r="I214" s="49" t="s">
        <v>95</v>
      </c>
      <c r="J214" s="104">
        <v>1.2</v>
      </c>
      <c r="K214" s="187">
        <f>D214*$L$2*J214</f>
        <v>11324.88</v>
      </c>
      <c r="L214" s="188">
        <f t="shared" si="14"/>
        <v>12457.368</v>
      </c>
      <c r="M214" s="189">
        <f t="shared" si="15"/>
        <v>9437.4</v>
      </c>
      <c r="N214" s="3">
        <f>D214*$C$5*1.4</f>
        <v>0</v>
      </c>
      <c r="O214" s="4">
        <f>D214*$C$5*1.5*1.21</f>
        <v>0</v>
      </c>
    </row>
    <row r="215" spans="1:15" ht="13.5" customHeight="1" x14ac:dyDescent="0.25">
      <c r="A215" s="43"/>
      <c r="B215" s="243">
        <v>1206088</v>
      </c>
      <c r="C215" s="42"/>
      <c r="D215" s="31"/>
      <c r="E215" s="105">
        <f>D215*$L$2</f>
        <v>0</v>
      </c>
      <c r="F215" s="20" t="s">
        <v>96</v>
      </c>
      <c r="G215" s="102" t="str">
        <f>VLOOKUP(B215,CÓDIGOS!$A$1:$B$1000,2)</f>
        <v>BESMED CANULA NASAL DESC.ADULTO CON TUBO 2M</v>
      </c>
      <c r="H215" s="32"/>
      <c r="I215" s="32"/>
      <c r="J215" s="32"/>
      <c r="K215" s="199"/>
      <c r="L215" s="199"/>
      <c r="M215" s="199"/>
      <c r="N215" s="22"/>
      <c r="O215" s="22"/>
    </row>
    <row r="216" spans="1:15" ht="13.5" customHeight="1" x14ac:dyDescent="0.25">
      <c r="A216" s="23">
        <v>40646</v>
      </c>
      <c r="B216" s="208" t="s">
        <v>435</v>
      </c>
      <c r="C216" s="24" t="s">
        <v>8</v>
      </c>
      <c r="D216" s="27">
        <v>6.3</v>
      </c>
      <c r="E216" s="105">
        <f>D216*$L$2</f>
        <v>9261</v>
      </c>
      <c r="F216" s="2" t="s">
        <v>97</v>
      </c>
      <c r="G216" s="102" t="str">
        <f>VLOOKUP(B216,CÓDIGOS!$A$1:$B$1000,2)</f>
        <v>CARCAZA SUPERIOR C-600</v>
      </c>
      <c r="H216" s="26"/>
      <c r="I216" s="26"/>
      <c r="J216" s="104">
        <v>1.2</v>
      </c>
      <c r="K216" s="187">
        <f>D216*$L$2*J216</f>
        <v>11113.199999999999</v>
      </c>
      <c r="L216" s="188">
        <f t="shared" si="14"/>
        <v>12224.52</v>
      </c>
      <c r="M216" s="189">
        <f t="shared" si="15"/>
        <v>9260.9999999999982</v>
      </c>
      <c r="N216" s="3">
        <f>D216*$C$5*1.4</f>
        <v>0</v>
      </c>
      <c r="O216" s="4">
        <f>D216*$C$5*1.5*1.21</f>
        <v>0</v>
      </c>
    </row>
    <row r="217" spans="1:15" ht="13.5" customHeight="1" x14ac:dyDescent="0.25">
      <c r="A217" s="43"/>
      <c r="B217" s="243">
        <v>1219003</v>
      </c>
      <c r="C217" s="42"/>
      <c r="D217" s="31"/>
      <c r="E217" s="105">
        <f>D217*$L$2</f>
        <v>0</v>
      </c>
      <c r="F217" s="20" t="s">
        <v>287</v>
      </c>
      <c r="G217" s="102" t="str">
        <f>VLOOKUP(B217,CÓDIGOS!$A$1:$B$1000,2)</f>
        <v>Bolso original BMC para modelo G2S</v>
      </c>
      <c r="H217" s="32"/>
      <c r="I217" s="32"/>
      <c r="J217" s="32"/>
      <c r="K217" s="199"/>
      <c r="L217" s="199"/>
      <c r="M217" s="199"/>
      <c r="N217" s="22"/>
      <c r="O217" s="22"/>
    </row>
    <row r="218" spans="1:15" ht="13.5" customHeight="1" x14ac:dyDescent="0.25">
      <c r="A218" s="75">
        <v>45491</v>
      </c>
      <c r="B218" s="244" t="s">
        <v>400</v>
      </c>
      <c r="C218" s="107" t="s">
        <v>289</v>
      </c>
      <c r="D218" s="108">
        <v>17.5</v>
      </c>
      <c r="E218" s="105">
        <f>D218*$L$2</f>
        <v>25725</v>
      </c>
      <c r="F218" s="99" t="s">
        <v>288</v>
      </c>
      <c r="G218" s="102" t="str">
        <f>VLOOKUP(B218,CÓDIGOS!$A$1:$B$1000,2)</f>
        <v>Bateria de gel 12V 2,9A</v>
      </c>
      <c r="H218" s="26" t="s">
        <v>290</v>
      </c>
      <c r="I218" s="80"/>
      <c r="J218" s="104">
        <v>1.2</v>
      </c>
      <c r="K218" s="187">
        <f>D218*$L$2*J218</f>
        <v>30870</v>
      </c>
      <c r="L218" s="188">
        <f t="shared" si="14"/>
        <v>33957</v>
      </c>
      <c r="M218" s="189">
        <f t="shared" si="15"/>
        <v>25725</v>
      </c>
      <c r="N218" s="3"/>
      <c r="O218" s="4"/>
    </row>
    <row r="219" spans="1:15" ht="13.5" customHeight="1" x14ac:dyDescent="0.25">
      <c r="A219" s="75">
        <v>45491</v>
      </c>
      <c r="B219" s="244" t="s">
        <v>401</v>
      </c>
      <c r="C219" s="107" t="s">
        <v>289</v>
      </c>
      <c r="D219" s="108">
        <v>3.2</v>
      </c>
      <c r="E219" s="105">
        <f>D219*$L$2</f>
        <v>4704</v>
      </c>
      <c r="F219" s="99" t="s">
        <v>296</v>
      </c>
      <c r="G219" s="102" t="str">
        <f>VLOOKUP(B219,CÓDIGOS!$A$1:$B$1000,2)</f>
        <v>PILA BOTON 3V CR-1220</v>
      </c>
      <c r="H219" s="26" t="s">
        <v>297</v>
      </c>
      <c r="I219" s="80"/>
      <c r="J219" s="104">
        <v>2</v>
      </c>
      <c r="K219" s="187">
        <f>D219*$L$2*J219</f>
        <v>9408</v>
      </c>
      <c r="L219" s="188">
        <f t="shared" si="14"/>
        <v>10348.800000000001</v>
      </c>
      <c r="M219" s="189">
        <f t="shared" si="15"/>
        <v>7840</v>
      </c>
      <c r="N219" s="3"/>
      <c r="O219" s="4"/>
    </row>
    <row r="220" spans="1:15" ht="13.5" customHeight="1" x14ac:dyDescent="0.25">
      <c r="A220" s="75">
        <v>45225</v>
      </c>
      <c r="B220" s="244" t="s">
        <v>402</v>
      </c>
      <c r="C220" s="107" t="s">
        <v>289</v>
      </c>
      <c r="D220" s="105">
        <v>32</v>
      </c>
      <c r="E220" s="105">
        <f>D220*$L$2</f>
        <v>47040</v>
      </c>
      <c r="F220" s="102" t="s">
        <v>232</v>
      </c>
      <c r="G220" s="102" t="str">
        <f>VLOOKUP(B220,CÓDIGOS!$A$1:$B$1000,2)</f>
        <v>BATERIA 6V 2,9 A/H</v>
      </c>
      <c r="H220" s="104"/>
      <c r="I220" s="104"/>
      <c r="J220" s="104">
        <v>1.35</v>
      </c>
      <c r="K220" s="187">
        <f>D220*$L$2*J220</f>
        <v>63504.000000000007</v>
      </c>
      <c r="L220" s="188">
        <f t="shared" si="14"/>
        <v>69854.400000000009</v>
      </c>
      <c r="M220" s="189">
        <f t="shared" si="15"/>
        <v>52920.000000000007</v>
      </c>
      <c r="N220" s="3"/>
      <c r="O220" s="4"/>
    </row>
    <row r="221" spans="1:15" ht="13.5" customHeight="1" x14ac:dyDescent="0.25">
      <c r="A221" s="75">
        <v>46035</v>
      </c>
      <c r="B221" s="244" t="s">
        <v>403</v>
      </c>
      <c r="C221" s="107" t="s">
        <v>289</v>
      </c>
      <c r="D221" s="105">
        <v>6.5</v>
      </c>
      <c r="E221" s="105">
        <f>D221*$L$2</f>
        <v>9555</v>
      </c>
      <c r="F221" s="102" t="s">
        <v>365</v>
      </c>
      <c r="G221" s="102" t="str">
        <f>VLOOKUP(B221,CÓDIGOS!$A$1:$B$1000,2)</f>
        <v>Batería gel 6V A/H</v>
      </c>
      <c r="H221" s="104"/>
      <c r="I221" s="104"/>
      <c r="J221" s="104">
        <v>1.5</v>
      </c>
      <c r="K221" s="191">
        <f>D221*$L$2*J221</f>
        <v>14332.5</v>
      </c>
      <c r="L221" s="188">
        <f t="shared" si="14"/>
        <v>15765.750000000002</v>
      </c>
      <c r="M221" s="189">
        <f t="shared" si="15"/>
        <v>11943.75</v>
      </c>
      <c r="N221" s="65"/>
      <c r="O221" s="66"/>
    </row>
    <row r="222" spans="1:15" ht="13.5" customHeight="1" x14ac:dyDescent="0.25">
      <c r="A222" s="75">
        <v>45491</v>
      </c>
      <c r="B222" s="244" t="s">
        <v>404</v>
      </c>
      <c r="C222" s="107" t="s">
        <v>289</v>
      </c>
      <c r="D222" s="105">
        <v>24</v>
      </c>
      <c r="E222" s="105">
        <f>D222*$L$2</f>
        <v>35280</v>
      </c>
      <c r="F222" s="102" t="s">
        <v>298</v>
      </c>
      <c r="G222" s="102" t="str">
        <f>VLOOKUP(B222,CÓDIGOS!$A$1:$B$1000,2)</f>
        <v>Batería gel 12V 1,3AH</v>
      </c>
      <c r="H222" s="104"/>
      <c r="I222" s="104"/>
      <c r="J222" s="104">
        <v>2</v>
      </c>
      <c r="K222" s="187">
        <f>D222*$L$2*J222</f>
        <v>70560</v>
      </c>
      <c r="L222" s="188">
        <f t="shared" si="14"/>
        <v>77616</v>
      </c>
      <c r="M222" s="189">
        <f t="shared" si="15"/>
        <v>58800</v>
      </c>
      <c r="N222" s="65"/>
      <c r="O222" s="66"/>
    </row>
    <row r="223" spans="1:15" ht="13.5" customHeight="1" x14ac:dyDescent="0.25">
      <c r="A223" s="75">
        <v>35</v>
      </c>
      <c r="B223" s="244" t="s">
        <v>405</v>
      </c>
      <c r="C223" s="107" t="s">
        <v>289</v>
      </c>
      <c r="D223" s="105">
        <v>18</v>
      </c>
      <c r="E223" s="105">
        <f>D223*$L$2</f>
        <v>26460</v>
      </c>
      <c r="F223" s="102" t="s">
        <v>286</v>
      </c>
      <c r="G223" s="102" t="str">
        <f>VLOOKUP(B223,CÓDIGOS!$A$1:$B$1000,2)</f>
        <v>Batería gel 6V 1,2AH</v>
      </c>
      <c r="H223" s="104"/>
      <c r="I223" s="104"/>
      <c r="J223" s="104">
        <v>1.35</v>
      </c>
      <c r="K223" s="187">
        <f>D223*$L$2*J223</f>
        <v>35721</v>
      </c>
      <c r="L223" s="188">
        <f t="shared" si="14"/>
        <v>39293.100000000006</v>
      </c>
      <c r="M223" s="189">
        <f t="shared" si="15"/>
        <v>29767.5</v>
      </c>
      <c r="N223" s="3"/>
      <c r="O223" s="4"/>
    </row>
    <row r="224" spans="1:15" ht="13.5" customHeight="1" x14ac:dyDescent="0.25">
      <c r="A224" s="60"/>
      <c r="B224" s="237">
        <v>1205003</v>
      </c>
      <c r="C224" s="55"/>
      <c r="D224" s="56"/>
      <c r="E224" s="105">
        <f>D224*$L$2</f>
        <v>0</v>
      </c>
      <c r="F224" s="61" t="s">
        <v>329</v>
      </c>
      <c r="G224" s="102" t="str">
        <f>VLOOKUP(B224,CÓDIGOS!$A$1:$B$1000,2)</f>
        <v>Cámara p/calentador BMC GI Genérico</v>
      </c>
      <c r="H224" s="57"/>
      <c r="I224" s="57"/>
      <c r="J224" s="57"/>
      <c r="K224" s="197"/>
      <c r="L224" s="197"/>
      <c r="M224" s="197"/>
      <c r="N224" s="58"/>
      <c r="O224" s="58"/>
    </row>
    <row r="225" spans="1:15" ht="13.5" customHeight="1" x14ac:dyDescent="0.25">
      <c r="A225" s="30">
        <v>45708</v>
      </c>
      <c r="B225" s="235">
        <v>1208043</v>
      </c>
      <c r="C225" s="24" t="s">
        <v>344</v>
      </c>
      <c r="D225" s="108">
        <v>105</v>
      </c>
      <c r="E225" s="105">
        <f>D225*$L$2</f>
        <v>154350</v>
      </c>
      <c r="F225" s="137" t="s">
        <v>330</v>
      </c>
      <c r="G225" s="102" t="str">
        <f>VLOOKUP(B225,CÓDIGOS!$A$1:$B$1000,2)</f>
        <v>Conjunto de filtro compatible c/conc. G4 SP-704</v>
      </c>
      <c r="H225" s="26" t="s">
        <v>344</v>
      </c>
      <c r="I225" s="26"/>
      <c r="J225" s="104">
        <v>1</v>
      </c>
      <c r="K225" s="187">
        <f>D225*$L$2*J225</f>
        <v>154350</v>
      </c>
      <c r="L225" s="188">
        <f t="shared" si="14"/>
        <v>169785</v>
      </c>
      <c r="M225" s="189">
        <f t="shared" si="15"/>
        <v>128625</v>
      </c>
      <c r="N225" s="3"/>
      <c r="O225" s="4"/>
    </row>
    <row r="226" spans="1:15" ht="13.5" customHeight="1" x14ac:dyDescent="0.25">
      <c r="A226" s="30">
        <v>45709</v>
      </c>
      <c r="B226" s="235" t="s">
        <v>407</v>
      </c>
      <c r="C226" s="24" t="s">
        <v>344</v>
      </c>
      <c r="D226" s="108">
        <v>50</v>
      </c>
      <c r="E226" s="105">
        <f>D226*$L$2</f>
        <v>73500</v>
      </c>
      <c r="F226" s="137" t="s">
        <v>331</v>
      </c>
      <c r="G226" s="102" t="str">
        <f>VLOOKUP(B226,CÓDIGOS!$A$1:$B$1000,2)</f>
        <v>Conjunto de filtro G4</v>
      </c>
      <c r="H226" s="26" t="s">
        <v>344</v>
      </c>
      <c r="I226" s="26"/>
      <c r="J226" s="104">
        <v>1</v>
      </c>
      <c r="K226" s="187">
        <f>D226*$L$2*J226</f>
        <v>73500</v>
      </c>
      <c r="L226" s="188">
        <f t="shared" si="14"/>
        <v>80850</v>
      </c>
      <c r="M226" s="189">
        <f t="shared" si="15"/>
        <v>61250</v>
      </c>
      <c r="N226" s="3"/>
      <c r="O226" s="4"/>
    </row>
    <row r="227" spans="1:15" ht="13.5" customHeight="1" x14ac:dyDescent="0.25">
      <c r="A227" s="30">
        <v>45710</v>
      </c>
      <c r="B227" s="235">
        <v>1208044</v>
      </c>
      <c r="C227" s="24" t="s">
        <v>344</v>
      </c>
      <c r="D227" s="105">
        <v>75</v>
      </c>
      <c r="E227" s="105">
        <f>D227*$L$2</f>
        <v>110250</v>
      </c>
      <c r="F227" s="137" t="s">
        <v>332</v>
      </c>
      <c r="G227" s="102" t="str">
        <f>VLOOKUP(B227,CÓDIGOS!$A$1:$B$1000,2)</f>
        <v>Filtro de entrada p/Inogen At Home SP-623</v>
      </c>
      <c r="H227" s="26" t="s">
        <v>344</v>
      </c>
      <c r="I227" s="26"/>
      <c r="J227" s="104">
        <v>1</v>
      </c>
      <c r="K227" s="187">
        <f>D227*$L$2*J227</f>
        <v>110250</v>
      </c>
      <c r="L227" s="188">
        <f t="shared" si="14"/>
        <v>121275.00000000001</v>
      </c>
      <c r="M227" s="189">
        <f t="shared" si="15"/>
        <v>91875</v>
      </c>
      <c r="N227" s="3"/>
      <c r="O227" s="4"/>
    </row>
    <row r="228" spans="1:15" ht="13.5" customHeight="1" x14ac:dyDescent="0.25">
      <c r="A228" s="30">
        <v>45711</v>
      </c>
      <c r="B228" s="235">
        <v>1208045</v>
      </c>
      <c r="C228" s="24" t="s">
        <v>344</v>
      </c>
      <c r="D228" s="105">
        <v>85</v>
      </c>
      <c r="E228" s="105">
        <f>D228*$L$2</f>
        <v>124950</v>
      </c>
      <c r="F228" s="137" t="s">
        <v>333</v>
      </c>
      <c r="G228" s="102" t="str">
        <f>VLOOKUP(B228,CÓDIGOS!$A$1:$B$1000,2)</f>
        <v>Filtros de partíc. rígid. Inogen One G3 (par) 301</v>
      </c>
      <c r="H228" s="26" t="s">
        <v>344</v>
      </c>
      <c r="I228" s="26"/>
      <c r="J228" s="104">
        <v>1</v>
      </c>
      <c r="K228" s="187">
        <f>D228*$L$2*J228</f>
        <v>124950</v>
      </c>
      <c r="L228" s="188">
        <f t="shared" si="14"/>
        <v>137445</v>
      </c>
      <c r="M228" s="189">
        <f t="shared" si="15"/>
        <v>104125</v>
      </c>
      <c r="N228" s="3"/>
      <c r="O228" s="4"/>
    </row>
    <row r="229" spans="1:15" ht="13.5" customHeight="1" x14ac:dyDescent="0.25">
      <c r="A229" s="30">
        <v>45712</v>
      </c>
      <c r="B229" s="235">
        <v>1213044</v>
      </c>
      <c r="C229" s="24" t="s">
        <v>344</v>
      </c>
      <c r="D229" s="105">
        <v>400</v>
      </c>
      <c r="E229" s="105">
        <f>D229*$L$2</f>
        <v>588000</v>
      </c>
      <c r="F229" s="137" t="s">
        <v>334</v>
      </c>
      <c r="G229" s="102" t="str">
        <f>VLOOKUP(B229,CÓDIGOS!$A$1:$B$1000,2)</f>
        <v>Fuente de alimentación de AC Inogen G4 BA-401</v>
      </c>
      <c r="H229" s="26" t="s">
        <v>344</v>
      </c>
      <c r="I229" s="104"/>
      <c r="J229" s="104">
        <v>1</v>
      </c>
      <c r="K229" s="187">
        <f>D229*$L$2*J229</f>
        <v>588000</v>
      </c>
      <c r="L229" s="188">
        <f t="shared" si="14"/>
        <v>646800</v>
      </c>
      <c r="M229" s="189">
        <f t="shared" si="15"/>
        <v>490000</v>
      </c>
      <c r="N229" s="65"/>
      <c r="O229" s="66"/>
    </row>
    <row r="230" spans="1:15" ht="13.5" customHeight="1" x14ac:dyDescent="0.25">
      <c r="A230" s="30">
        <v>45713</v>
      </c>
      <c r="B230" s="235" t="s">
        <v>436</v>
      </c>
      <c r="C230" s="24" t="s">
        <v>344</v>
      </c>
      <c r="D230" s="108">
        <v>330</v>
      </c>
      <c r="E230" s="105">
        <f>D230*$L$2</f>
        <v>485100</v>
      </c>
      <c r="F230" s="137" t="s">
        <v>335</v>
      </c>
      <c r="G230" s="102" t="str">
        <f>VLOOKUP(B230,CÓDIGOS!$A$1:$B$1000,2)</f>
        <v>Kit de tablero de alimentación G5</v>
      </c>
      <c r="H230" s="26" t="s">
        <v>344</v>
      </c>
      <c r="I230" s="26"/>
      <c r="J230" s="104">
        <v>1</v>
      </c>
      <c r="K230" s="187">
        <f>D230*$L$2*J230</f>
        <v>485100</v>
      </c>
      <c r="L230" s="188">
        <f t="shared" si="14"/>
        <v>533610</v>
      </c>
      <c r="M230" s="189">
        <f t="shared" si="15"/>
        <v>404250</v>
      </c>
      <c r="N230" s="3"/>
      <c r="O230" s="4"/>
    </row>
    <row r="231" spans="1:15" ht="13.5" customHeight="1" x14ac:dyDescent="0.25">
      <c r="A231" s="30">
        <v>45714</v>
      </c>
      <c r="B231" s="235" t="s">
        <v>437</v>
      </c>
      <c r="C231" s="24" t="s">
        <v>344</v>
      </c>
      <c r="D231" s="108">
        <v>335</v>
      </c>
      <c r="E231" s="105">
        <f>D231*$L$2</f>
        <v>492450</v>
      </c>
      <c r="F231" s="137" t="s">
        <v>336</v>
      </c>
      <c r="G231" s="102" t="str">
        <f>VLOOKUP(B231,CÓDIGOS!$A$1:$B$1000,2)</f>
        <v>Entrada de alimentación de CC G4</v>
      </c>
      <c r="H231" s="26" t="s">
        <v>344</v>
      </c>
      <c r="I231" s="26"/>
      <c r="J231" s="104">
        <v>1</v>
      </c>
      <c r="K231" s="187">
        <f>D231*$L$2*J231</f>
        <v>492450</v>
      </c>
      <c r="L231" s="188">
        <f t="shared" si="14"/>
        <v>541695</v>
      </c>
      <c r="M231" s="189">
        <f t="shared" si="15"/>
        <v>410375</v>
      </c>
      <c r="N231" s="3"/>
      <c r="O231" s="4"/>
    </row>
    <row r="232" spans="1:15" ht="13.5" customHeight="1" x14ac:dyDescent="0.25">
      <c r="A232" s="30">
        <v>45715</v>
      </c>
      <c r="B232" s="235">
        <v>1504002</v>
      </c>
      <c r="C232" s="24" t="s">
        <v>344</v>
      </c>
      <c r="D232" s="105">
        <v>265</v>
      </c>
      <c r="E232" s="105">
        <f>D232*$L$2</f>
        <v>389550</v>
      </c>
      <c r="F232" s="137" t="s">
        <v>446</v>
      </c>
      <c r="G232" s="102" t="str">
        <f>VLOOKUP(B232,CÓDIGOS!$A$1:$B$1000,2)</f>
        <v>Kit de canister zeolita compatible conc. G3 SP-563</v>
      </c>
      <c r="H232" s="26" t="s">
        <v>344</v>
      </c>
      <c r="I232" s="26"/>
      <c r="J232" s="104">
        <v>1</v>
      </c>
      <c r="K232" s="187">
        <f>D232*$L$2*J232</f>
        <v>389550</v>
      </c>
      <c r="L232" s="188">
        <f t="shared" si="14"/>
        <v>428505.00000000006</v>
      </c>
      <c r="M232" s="189">
        <f t="shared" si="15"/>
        <v>324625</v>
      </c>
      <c r="N232" s="3"/>
      <c r="O232" s="4"/>
    </row>
    <row r="233" spans="1:15" ht="13.5" customHeight="1" x14ac:dyDescent="0.25">
      <c r="A233" s="30">
        <v>45716</v>
      </c>
      <c r="B233" s="235">
        <v>1504003</v>
      </c>
      <c r="C233" s="24" t="s">
        <v>344</v>
      </c>
      <c r="D233" s="105">
        <v>450</v>
      </c>
      <c r="E233" s="105">
        <f>D233*$L$2</f>
        <v>661500</v>
      </c>
      <c r="F233" s="137" t="s">
        <v>447</v>
      </c>
      <c r="G233" s="102" t="str">
        <f>VLOOKUP(B233,CÓDIGOS!$A$1:$B$1000,2)</f>
        <v>Canister zeolita p/Inogen At Home SP-605</v>
      </c>
      <c r="H233" s="26" t="s">
        <v>344</v>
      </c>
      <c r="I233" s="104"/>
      <c r="J233" s="104">
        <v>1</v>
      </c>
      <c r="K233" s="187">
        <f>D233*$L$2*J233</f>
        <v>661500</v>
      </c>
      <c r="L233" s="188">
        <f t="shared" si="14"/>
        <v>727650.00000000012</v>
      </c>
      <c r="M233" s="189">
        <f t="shared" si="15"/>
        <v>551250</v>
      </c>
      <c r="N233" s="65"/>
      <c r="O233" s="66"/>
    </row>
    <row r="234" spans="1:15" ht="13.5" customHeight="1" x14ac:dyDescent="0.25">
      <c r="A234" s="30">
        <v>45717</v>
      </c>
      <c r="B234" s="235">
        <v>1509002</v>
      </c>
      <c r="C234" s="24" t="s">
        <v>344</v>
      </c>
      <c r="D234" s="105">
        <v>1450</v>
      </c>
      <c r="E234" s="105">
        <f>D234*$L$2</f>
        <v>2131500</v>
      </c>
      <c r="F234" s="137" t="s">
        <v>337</v>
      </c>
      <c r="G234" s="102" t="str">
        <f>VLOOKUP(B234,CÓDIGOS!$A$1:$B$1000,2)</f>
        <v>Batería de 8 celdas Inogen One G4 BA-408</v>
      </c>
      <c r="H234" s="26" t="s">
        <v>344</v>
      </c>
      <c r="I234" s="104"/>
      <c r="J234" s="104">
        <v>1</v>
      </c>
      <c r="K234" s="187">
        <f>D234*$L$2*J234</f>
        <v>2131500</v>
      </c>
      <c r="L234" s="188">
        <f t="shared" si="14"/>
        <v>2344650</v>
      </c>
      <c r="M234" s="189">
        <f t="shared" si="15"/>
        <v>1776250</v>
      </c>
      <c r="N234" s="65"/>
      <c r="O234" s="66"/>
    </row>
    <row r="235" spans="1:15" ht="13.5" customHeight="1" x14ac:dyDescent="0.25">
      <c r="A235" s="30">
        <v>45718</v>
      </c>
      <c r="B235" s="235">
        <v>1510001</v>
      </c>
      <c r="C235" s="24" t="s">
        <v>344</v>
      </c>
      <c r="D235" s="108">
        <v>1650</v>
      </c>
      <c r="E235" s="105">
        <f>D235*$L$2</f>
        <v>2425500</v>
      </c>
      <c r="F235" s="137" t="s">
        <v>338</v>
      </c>
      <c r="G235" s="102" t="str">
        <f>VLOOKUP(B235,CÓDIGOS!$A$1:$B$1000,2)</f>
        <v>Compresor compatible c/conc. G3 SP-509</v>
      </c>
      <c r="H235" s="26" t="s">
        <v>344</v>
      </c>
      <c r="I235" s="104"/>
      <c r="J235" s="104">
        <v>1</v>
      </c>
      <c r="K235" s="187">
        <f>D235*$L$2*J235</f>
        <v>2425500</v>
      </c>
      <c r="L235" s="188">
        <f t="shared" si="14"/>
        <v>2668050</v>
      </c>
      <c r="M235" s="189">
        <f t="shared" si="15"/>
        <v>2021250</v>
      </c>
      <c r="N235" s="65"/>
      <c r="O235" s="66"/>
    </row>
    <row r="236" spans="1:15" ht="13.5" customHeight="1" x14ac:dyDescent="0.25">
      <c r="A236" s="30">
        <v>45719</v>
      </c>
      <c r="B236" s="235" t="s">
        <v>409</v>
      </c>
      <c r="C236" s="24" t="s">
        <v>344</v>
      </c>
      <c r="D236" s="108">
        <v>1450</v>
      </c>
      <c r="E236" s="105">
        <f>D236*$L$2</f>
        <v>2131500</v>
      </c>
      <c r="F236" s="137" t="s">
        <v>339</v>
      </c>
      <c r="G236" s="102" t="str">
        <f>VLOOKUP(B236,CÓDIGOS!$A$1:$B$1000,2)</f>
        <v>Kit de compresor G4</v>
      </c>
      <c r="H236" s="26" t="s">
        <v>344</v>
      </c>
      <c r="I236" s="104"/>
      <c r="J236" s="104">
        <v>1</v>
      </c>
      <c r="K236" s="187">
        <f>D236*$L$2*J236</f>
        <v>2131500</v>
      </c>
      <c r="L236" s="188">
        <f t="shared" si="14"/>
        <v>2344650</v>
      </c>
      <c r="M236" s="189">
        <f t="shared" si="15"/>
        <v>1776250</v>
      </c>
      <c r="N236" s="65"/>
      <c r="O236" s="66"/>
    </row>
    <row r="237" spans="1:15" ht="13.5" customHeight="1" x14ac:dyDescent="0.25">
      <c r="A237" s="30">
        <v>45720</v>
      </c>
      <c r="B237" s="235">
        <v>1510003</v>
      </c>
      <c r="C237" s="24" t="s">
        <v>344</v>
      </c>
      <c r="D237" s="105">
        <v>1650</v>
      </c>
      <c r="E237" s="105">
        <f>D237*$L$2</f>
        <v>2425500</v>
      </c>
      <c r="F237" s="137" t="s">
        <v>340</v>
      </c>
      <c r="G237" s="102" t="str">
        <f>VLOOKUP(B237,CÓDIGOS!$A$1:$B$1000,2)</f>
        <v>Kit de compresor compatible c/conc. G4 SP-709</v>
      </c>
      <c r="H237" s="26" t="s">
        <v>344</v>
      </c>
      <c r="I237" s="104"/>
      <c r="J237" s="104">
        <v>1</v>
      </c>
      <c r="K237" s="187">
        <f>D237*$L$2*J237</f>
        <v>2425500</v>
      </c>
      <c r="L237" s="188">
        <f t="shared" si="14"/>
        <v>2668050</v>
      </c>
      <c r="M237" s="189">
        <f t="shared" si="15"/>
        <v>2021250</v>
      </c>
      <c r="N237" s="65"/>
      <c r="O237" s="66"/>
    </row>
    <row r="238" spans="1:15" ht="13.5" customHeight="1" x14ac:dyDescent="0.25">
      <c r="A238" s="30">
        <v>45721</v>
      </c>
      <c r="B238" s="235" t="s">
        <v>410</v>
      </c>
      <c r="C238" s="24" t="s">
        <v>344</v>
      </c>
      <c r="D238" s="105">
        <v>210</v>
      </c>
      <c r="E238" s="105">
        <f>D238*$L$2</f>
        <v>308700</v>
      </c>
      <c r="F238" s="137" t="s">
        <v>341</v>
      </c>
      <c r="G238" s="102" t="str">
        <f>VLOOKUP(B238,CÓDIGOS!$A$1:$B$1000,2)</f>
        <v>Kit de interfaz de usuario G5</v>
      </c>
      <c r="H238" s="26" t="s">
        <v>344</v>
      </c>
      <c r="I238" s="104"/>
      <c r="J238" s="104">
        <v>1</v>
      </c>
      <c r="K238" s="187">
        <f>D238*$L$2*J238</f>
        <v>308700</v>
      </c>
      <c r="L238" s="188">
        <f t="shared" si="14"/>
        <v>339570</v>
      </c>
      <c r="M238" s="189">
        <f t="shared" si="15"/>
        <v>257250</v>
      </c>
      <c r="N238" s="65"/>
      <c r="O238" s="66"/>
    </row>
    <row r="239" spans="1:15" ht="13.5" customHeight="1" x14ac:dyDescent="0.25">
      <c r="A239" s="30">
        <v>45722</v>
      </c>
      <c r="B239" s="235">
        <v>1512001</v>
      </c>
      <c r="C239" s="24" t="s">
        <v>344</v>
      </c>
      <c r="D239" s="105">
        <v>50</v>
      </c>
      <c r="E239" s="105">
        <f>D239*$L$2</f>
        <v>73500</v>
      </c>
      <c r="F239" s="137" t="s">
        <v>342</v>
      </c>
      <c r="G239" s="102" t="str">
        <f>VLOOKUP(B239,CÓDIGOS!$A$1:$B$1000,2)</f>
        <v>Kit de panel de acceso compatible conc. G4 SP-715</v>
      </c>
      <c r="H239" s="26" t="s">
        <v>344</v>
      </c>
      <c r="I239" s="104"/>
      <c r="J239" s="104">
        <v>1</v>
      </c>
      <c r="K239" s="187">
        <f>D239*$L$2*J239</f>
        <v>73500</v>
      </c>
      <c r="L239" s="188">
        <f t="shared" si="14"/>
        <v>80850</v>
      </c>
      <c r="M239" s="189">
        <f t="shared" si="15"/>
        <v>61250</v>
      </c>
      <c r="N239" s="65"/>
      <c r="O239" s="66"/>
    </row>
    <row r="240" spans="1:15" ht="13.5" customHeight="1" x14ac:dyDescent="0.25">
      <c r="A240" s="67"/>
      <c r="B240" s="238" t="s">
        <v>425</v>
      </c>
      <c r="C240" s="69"/>
      <c r="D240" s="105"/>
      <c r="E240" s="105"/>
      <c r="F240" s="137"/>
      <c r="G240" s="102" t="str">
        <f>VLOOKUP(B240,CÓDIGOS!$A$1:$B$1000,2)</f>
        <v>Placa madre Inogen G3 HF</v>
      </c>
      <c r="H240" s="104"/>
      <c r="I240" s="104"/>
      <c r="J240" s="104"/>
      <c r="K240" s="191"/>
      <c r="L240" s="253"/>
      <c r="M240" s="254"/>
      <c r="N240" s="65"/>
      <c r="O240" s="66"/>
    </row>
    <row r="241" spans="1:16384" ht="13.5" customHeight="1" x14ac:dyDescent="0.25">
      <c r="A241" s="210" t="s">
        <v>426</v>
      </c>
      <c r="B241" s="210" t="s">
        <v>426</v>
      </c>
      <c r="C241" s="69"/>
      <c r="D241" s="105"/>
      <c r="E241" s="105"/>
      <c r="F241" s="137"/>
      <c r="G241" s="102" t="str">
        <f>VLOOKUP(B241,CÓDIGOS!$A$1:$B$1000,2)</f>
        <v>Kit de placa base G4 con Bluetooth</v>
      </c>
      <c r="H241" s="104"/>
      <c r="I241" s="104"/>
      <c r="J241" s="104"/>
      <c r="K241" s="191"/>
      <c r="L241" s="253"/>
      <c r="M241" s="254"/>
      <c r="N241" s="65"/>
      <c r="O241" s="66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/>
      <c r="AE241" s="210"/>
      <c r="AF241" s="210"/>
      <c r="AG241" s="210"/>
      <c r="AH241" s="210"/>
      <c r="AI241" s="210"/>
      <c r="AJ241" s="210"/>
      <c r="AK241" s="210"/>
      <c r="AL241" s="210"/>
      <c r="AM241" s="210"/>
      <c r="AN241" s="210"/>
      <c r="AO241" s="210"/>
      <c r="AP241" s="210"/>
      <c r="AQ241" s="210"/>
      <c r="AR241" s="210"/>
      <c r="AS241" s="210"/>
      <c r="AT241" s="210"/>
      <c r="AU241" s="210"/>
      <c r="AV241" s="210"/>
      <c r="AW241" s="210"/>
      <c r="AX241" s="210"/>
      <c r="AY241" s="210"/>
      <c r="AZ241" s="210"/>
      <c r="BA241" s="210"/>
      <c r="BB241" s="210"/>
      <c r="BC241" s="210"/>
      <c r="BD241" s="210"/>
      <c r="BE241" s="210"/>
      <c r="BF241" s="210"/>
      <c r="BG241" s="210"/>
      <c r="BH241" s="210"/>
      <c r="BI241" s="210"/>
      <c r="BJ241" s="210"/>
      <c r="BK241" s="210"/>
      <c r="BL241" s="210"/>
      <c r="BM241" s="210"/>
      <c r="BN241" s="210"/>
      <c r="BO241" s="210"/>
      <c r="BP241" s="210"/>
      <c r="BQ241" s="210"/>
      <c r="BR241" s="210"/>
      <c r="BS241" s="210"/>
      <c r="BT241" s="210"/>
      <c r="BU241" s="210"/>
      <c r="BV241" s="210"/>
      <c r="BW241" s="210"/>
      <c r="BX241" s="210"/>
      <c r="BY241" s="210"/>
      <c r="BZ241" s="210"/>
      <c r="CA241" s="210"/>
      <c r="CB241" s="210"/>
      <c r="CC241" s="210"/>
      <c r="CD241" s="210"/>
      <c r="CE241" s="210"/>
      <c r="CF241" s="210"/>
      <c r="CG241" s="210"/>
      <c r="CH241" s="210"/>
      <c r="CI241" s="210"/>
      <c r="CJ241" s="210"/>
      <c r="CK241" s="210"/>
      <c r="CL241" s="210"/>
      <c r="CM241" s="210"/>
      <c r="CN241" s="210"/>
      <c r="CO241" s="210"/>
      <c r="CP241" s="210"/>
      <c r="CQ241" s="210"/>
      <c r="CR241" s="210"/>
      <c r="CS241" s="210"/>
      <c r="CT241" s="210"/>
      <c r="CU241" s="210"/>
      <c r="CV241" s="210"/>
      <c r="CW241" s="210"/>
      <c r="CX241" s="210"/>
      <c r="CY241" s="210"/>
      <c r="CZ241" s="210"/>
      <c r="DA241" s="210"/>
      <c r="DB241" s="210"/>
      <c r="DC241" s="210"/>
      <c r="DD241" s="210"/>
      <c r="DE241" s="210"/>
      <c r="DF241" s="210"/>
      <c r="DG241" s="210"/>
      <c r="DH241" s="210"/>
      <c r="DI241" s="210"/>
      <c r="DJ241" s="210"/>
      <c r="DK241" s="210"/>
      <c r="DL241" s="210"/>
      <c r="DM241" s="210"/>
      <c r="DN241" s="210"/>
      <c r="DO241" s="210"/>
      <c r="DP241" s="210"/>
      <c r="DQ241" s="210"/>
      <c r="DR241" s="210"/>
      <c r="DS241" s="210"/>
      <c r="DT241" s="210"/>
      <c r="DU241" s="210"/>
      <c r="DV241" s="210"/>
      <c r="DW241" s="210"/>
      <c r="DX241" s="210"/>
      <c r="DY241" s="210"/>
      <c r="DZ241" s="210"/>
      <c r="EA241" s="210"/>
      <c r="EB241" s="210"/>
      <c r="EC241" s="210"/>
      <c r="ED241" s="210"/>
      <c r="EE241" s="210"/>
      <c r="EF241" s="210"/>
      <c r="EG241" s="210"/>
      <c r="EH241" s="210"/>
      <c r="EI241" s="210"/>
      <c r="EJ241" s="210"/>
      <c r="EK241" s="210"/>
      <c r="EL241" s="210"/>
      <c r="EM241" s="210"/>
      <c r="EN241" s="210"/>
      <c r="EO241" s="210"/>
      <c r="EP241" s="210"/>
      <c r="EQ241" s="210"/>
      <c r="ER241" s="210"/>
      <c r="ES241" s="210"/>
      <c r="ET241" s="210"/>
      <c r="EU241" s="210"/>
      <c r="EV241" s="210"/>
      <c r="EW241" s="210"/>
      <c r="EX241" s="210"/>
      <c r="EY241" s="210"/>
      <c r="EZ241" s="210"/>
      <c r="FA241" s="210"/>
      <c r="FB241" s="210"/>
      <c r="FC241" s="210"/>
      <c r="FD241" s="210"/>
      <c r="FE241" s="210"/>
      <c r="FF241" s="210"/>
      <c r="FG241" s="210"/>
      <c r="FH241" s="210"/>
      <c r="FI241" s="210"/>
      <c r="FJ241" s="210"/>
      <c r="FK241" s="210"/>
      <c r="FL241" s="210"/>
      <c r="FM241" s="210"/>
      <c r="FN241" s="210"/>
      <c r="FO241" s="210"/>
      <c r="FP241" s="210"/>
      <c r="FQ241" s="210"/>
      <c r="FR241" s="210"/>
      <c r="FS241" s="210"/>
      <c r="FT241" s="210"/>
      <c r="FU241" s="210"/>
      <c r="FV241" s="210"/>
      <c r="FW241" s="210"/>
      <c r="FX241" s="210"/>
      <c r="FY241" s="210"/>
      <c r="FZ241" s="210"/>
      <c r="GA241" s="210"/>
      <c r="GB241" s="210"/>
      <c r="GC241" s="210"/>
      <c r="GD241" s="210"/>
      <c r="GE241" s="210"/>
      <c r="GF241" s="210"/>
      <c r="GG241" s="210"/>
      <c r="GH241" s="210"/>
      <c r="GI241" s="210"/>
      <c r="GJ241" s="210"/>
      <c r="GK241" s="210"/>
      <c r="GL241" s="210"/>
      <c r="GM241" s="210"/>
      <c r="GN241" s="210"/>
      <c r="GO241" s="210"/>
      <c r="GP241" s="210"/>
      <c r="GQ241" s="210"/>
      <c r="GR241" s="210"/>
      <c r="GS241" s="210"/>
      <c r="GT241" s="210"/>
      <c r="GU241" s="210"/>
      <c r="GV241" s="210"/>
      <c r="GW241" s="210"/>
      <c r="GX241" s="210"/>
      <c r="GY241" s="210"/>
      <c r="GZ241" s="210"/>
      <c r="HA241" s="210"/>
      <c r="HB241" s="210"/>
      <c r="HC241" s="210"/>
      <c r="HD241" s="210"/>
      <c r="HE241" s="210"/>
      <c r="HF241" s="210"/>
      <c r="HG241" s="210"/>
      <c r="HH241" s="210"/>
      <c r="HI241" s="210"/>
      <c r="HJ241" s="210"/>
      <c r="HK241" s="210"/>
      <c r="HL241" s="210"/>
      <c r="HM241" s="210"/>
      <c r="HN241" s="210"/>
      <c r="HO241" s="210"/>
      <c r="HP241" s="210"/>
      <c r="HQ241" s="210"/>
      <c r="HR241" s="210"/>
      <c r="HS241" s="210"/>
      <c r="HT241" s="210"/>
      <c r="HU241" s="210"/>
      <c r="HV241" s="210"/>
      <c r="HW241" s="210"/>
      <c r="HX241" s="210"/>
      <c r="HY241" s="210"/>
      <c r="HZ241" s="210"/>
      <c r="IA241" s="210"/>
      <c r="IB241" s="210"/>
      <c r="IC241" s="210"/>
      <c r="ID241" s="210"/>
      <c r="IE241" s="210"/>
      <c r="IF241" s="210"/>
      <c r="IG241" s="210"/>
      <c r="IH241" s="210"/>
      <c r="II241" s="210"/>
      <c r="IJ241" s="210"/>
      <c r="IK241" s="210"/>
      <c r="IL241" s="210"/>
      <c r="IM241" s="210"/>
      <c r="IN241" s="210"/>
      <c r="IO241" s="210"/>
      <c r="IP241" s="210"/>
      <c r="IQ241" s="210"/>
      <c r="IR241" s="210"/>
      <c r="IS241" s="210"/>
      <c r="IT241" s="210"/>
      <c r="IU241" s="210"/>
      <c r="IV241" s="210"/>
      <c r="IW241" s="210"/>
      <c r="IX241" s="210"/>
      <c r="IY241" s="210"/>
      <c r="IZ241" s="210"/>
      <c r="JA241" s="210"/>
      <c r="JB241" s="210"/>
      <c r="JC241" s="210"/>
      <c r="JD241" s="210"/>
      <c r="JE241" s="210"/>
      <c r="JF241" s="210"/>
      <c r="JG241" s="210"/>
      <c r="JH241" s="210"/>
      <c r="JI241" s="210"/>
      <c r="JJ241" s="210"/>
      <c r="JK241" s="210"/>
      <c r="JL241" s="210"/>
      <c r="JM241" s="210"/>
      <c r="JN241" s="210"/>
      <c r="JO241" s="210"/>
      <c r="JP241" s="210"/>
      <c r="JQ241" s="210"/>
      <c r="JR241" s="210"/>
      <c r="JS241" s="210"/>
      <c r="JT241" s="210"/>
      <c r="JU241" s="210"/>
      <c r="JV241" s="210"/>
      <c r="JW241" s="210"/>
      <c r="JX241" s="210"/>
      <c r="JY241" s="210"/>
      <c r="JZ241" s="210"/>
      <c r="KA241" s="210"/>
      <c r="KB241" s="210"/>
      <c r="KC241" s="210"/>
      <c r="KD241" s="210"/>
      <c r="KE241" s="210"/>
      <c r="KF241" s="210"/>
      <c r="KG241" s="210"/>
      <c r="KH241" s="210"/>
      <c r="KI241" s="210"/>
      <c r="KJ241" s="210"/>
      <c r="KK241" s="210"/>
      <c r="KL241" s="210"/>
      <c r="KM241" s="210"/>
      <c r="KN241" s="210"/>
      <c r="KO241" s="210"/>
      <c r="KP241" s="210"/>
      <c r="KQ241" s="210"/>
      <c r="KR241" s="210"/>
      <c r="KS241" s="210"/>
      <c r="KT241" s="210"/>
      <c r="KU241" s="210"/>
      <c r="KV241" s="210"/>
      <c r="KW241" s="210"/>
      <c r="KX241" s="210"/>
      <c r="KY241" s="210"/>
      <c r="KZ241" s="210"/>
      <c r="LA241" s="210"/>
      <c r="LB241" s="210"/>
      <c r="LC241" s="210"/>
      <c r="LD241" s="210"/>
      <c r="LE241" s="210"/>
      <c r="LF241" s="210"/>
      <c r="LG241" s="210"/>
      <c r="LH241" s="210"/>
      <c r="LI241" s="210"/>
      <c r="LJ241" s="210"/>
      <c r="LK241" s="210"/>
      <c r="LL241" s="210"/>
      <c r="LM241" s="210"/>
      <c r="LN241" s="210"/>
      <c r="LO241" s="210"/>
      <c r="LP241" s="210"/>
      <c r="LQ241" s="210"/>
      <c r="LR241" s="210"/>
      <c r="LS241" s="210"/>
      <c r="LT241" s="210"/>
      <c r="LU241" s="210"/>
      <c r="LV241" s="210"/>
      <c r="LW241" s="210"/>
      <c r="LX241" s="210"/>
      <c r="LY241" s="210"/>
      <c r="LZ241" s="210"/>
      <c r="MA241" s="210"/>
      <c r="MB241" s="210"/>
      <c r="MC241" s="210"/>
      <c r="MD241" s="210"/>
      <c r="ME241" s="210"/>
      <c r="MF241" s="210"/>
      <c r="MG241" s="210"/>
      <c r="MH241" s="210"/>
      <c r="MI241" s="210"/>
      <c r="MJ241" s="210"/>
      <c r="MK241" s="210"/>
      <c r="ML241" s="210"/>
      <c r="MM241" s="210"/>
      <c r="MN241" s="210"/>
      <c r="MO241" s="210"/>
      <c r="MP241" s="210"/>
      <c r="MQ241" s="210"/>
      <c r="MR241" s="210"/>
      <c r="MS241" s="210"/>
      <c r="MT241" s="210"/>
      <c r="MU241" s="210"/>
      <c r="MV241" s="210"/>
      <c r="MW241" s="210"/>
      <c r="MX241" s="210"/>
      <c r="MY241" s="210"/>
      <c r="MZ241" s="210"/>
      <c r="NA241" s="210"/>
      <c r="NB241" s="210"/>
      <c r="NC241" s="210"/>
      <c r="ND241" s="210"/>
      <c r="NE241" s="210"/>
      <c r="NF241" s="210"/>
      <c r="NG241" s="210"/>
      <c r="NH241" s="210"/>
      <c r="NI241" s="210"/>
      <c r="NJ241" s="210"/>
      <c r="NK241" s="210"/>
      <c r="NL241" s="210"/>
      <c r="NM241" s="210"/>
      <c r="NN241" s="210"/>
      <c r="NO241" s="210"/>
      <c r="NP241" s="210"/>
      <c r="NQ241" s="210"/>
      <c r="NR241" s="210"/>
      <c r="NS241" s="210"/>
      <c r="NT241" s="210"/>
      <c r="NU241" s="210"/>
      <c r="NV241" s="210"/>
      <c r="NW241" s="210"/>
      <c r="NX241" s="210"/>
      <c r="NY241" s="210"/>
      <c r="NZ241" s="210"/>
      <c r="OA241" s="210"/>
      <c r="OB241" s="210"/>
      <c r="OC241" s="210"/>
      <c r="OD241" s="210"/>
      <c r="OE241" s="210"/>
      <c r="OF241" s="210"/>
      <c r="OG241" s="210"/>
      <c r="OH241" s="210"/>
      <c r="OI241" s="210"/>
      <c r="OJ241" s="210"/>
      <c r="OK241" s="210"/>
      <c r="OL241" s="210"/>
      <c r="OM241" s="210"/>
      <c r="ON241" s="210"/>
      <c r="OO241" s="210"/>
      <c r="OP241" s="210"/>
      <c r="OQ241" s="210"/>
      <c r="OR241" s="210"/>
      <c r="OS241" s="210"/>
      <c r="OT241" s="210"/>
      <c r="OU241" s="210"/>
      <c r="OV241" s="210"/>
      <c r="OW241" s="210"/>
      <c r="OX241" s="210"/>
      <c r="OY241" s="210"/>
      <c r="OZ241" s="210"/>
      <c r="PA241" s="210"/>
      <c r="PB241" s="210"/>
      <c r="PC241" s="210"/>
      <c r="PD241" s="210"/>
      <c r="PE241" s="210"/>
      <c r="PF241" s="210"/>
      <c r="PG241" s="210"/>
      <c r="PH241" s="210"/>
      <c r="PI241" s="210"/>
      <c r="PJ241" s="210"/>
      <c r="PK241" s="210"/>
      <c r="PL241" s="210"/>
      <c r="PM241" s="210"/>
      <c r="PN241" s="210"/>
      <c r="PO241" s="210"/>
      <c r="PP241" s="210"/>
      <c r="PQ241" s="210"/>
      <c r="PR241" s="210"/>
      <c r="PS241" s="210"/>
      <c r="PT241" s="210"/>
      <c r="PU241" s="210"/>
      <c r="PV241" s="210"/>
      <c r="PW241" s="210"/>
      <c r="PX241" s="210"/>
      <c r="PY241" s="210"/>
      <c r="PZ241" s="210"/>
      <c r="QA241" s="210"/>
      <c r="QB241" s="210"/>
      <c r="QC241" s="210"/>
      <c r="QD241" s="210"/>
      <c r="QE241" s="210"/>
      <c r="QF241" s="210"/>
      <c r="QG241" s="210"/>
      <c r="QH241" s="210"/>
      <c r="QI241" s="210"/>
      <c r="QJ241" s="210"/>
      <c r="QK241" s="210"/>
      <c r="QL241" s="210"/>
      <c r="QM241" s="210"/>
      <c r="QN241" s="210"/>
      <c r="QO241" s="210"/>
      <c r="QP241" s="210"/>
      <c r="QQ241" s="210"/>
      <c r="QR241" s="210"/>
      <c r="QS241" s="210"/>
      <c r="QT241" s="210"/>
      <c r="QU241" s="210"/>
      <c r="QV241" s="210"/>
      <c r="QW241" s="210"/>
      <c r="QX241" s="210"/>
      <c r="QY241" s="210"/>
      <c r="QZ241" s="210"/>
      <c r="RA241" s="210"/>
      <c r="RB241" s="210"/>
      <c r="RC241" s="210"/>
      <c r="RD241" s="210"/>
      <c r="RE241" s="210"/>
      <c r="RF241" s="210"/>
      <c r="RG241" s="210"/>
      <c r="RH241" s="210"/>
      <c r="RI241" s="210"/>
      <c r="RJ241" s="210"/>
      <c r="RK241" s="210"/>
      <c r="RL241" s="210"/>
      <c r="RM241" s="210"/>
      <c r="RN241" s="210"/>
      <c r="RO241" s="210"/>
      <c r="RP241" s="210"/>
      <c r="RQ241" s="210"/>
      <c r="RR241" s="210"/>
      <c r="RS241" s="210"/>
      <c r="RT241" s="210"/>
      <c r="RU241" s="210"/>
      <c r="RV241" s="210"/>
      <c r="RW241" s="210"/>
      <c r="RX241" s="210"/>
      <c r="RY241" s="210"/>
      <c r="RZ241" s="210"/>
      <c r="SA241" s="210"/>
      <c r="SB241" s="210"/>
      <c r="SC241" s="210"/>
      <c r="SD241" s="210"/>
      <c r="SE241" s="210"/>
      <c r="SF241" s="210"/>
      <c r="SG241" s="210"/>
      <c r="SH241" s="210"/>
      <c r="SI241" s="210"/>
      <c r="SJ241" s="210"/>
      <c r="SK241" s="210"/>
      <c r="SL241" s="210"/>
      <c r="SM241" s="210"/>
      <c r="SN241" s="210"/>
      <c r="SO241" s="210"/>
      <c r="SP241" s="210"/>
      <c r="SQ241" s="210"/>
      <c r="SR241" s="210"/>
      <c r="SS241" s="210"/>
      <c r="ST241" s="210"/>
      <c r="SU241" s="210"/>
      <c r="SV241" s="210"/>
      <c r="SW241" s="210"/>
      <c r="SX241" s="210"/>
      <c r="SY241" s="210"/>
      <c r="SZ241" s="210"/>
      <c r="TA241" s="210"/>
      <c r="TB241" s="210"/>
      <c r="TC241" s="210"/>
      <c r="TD241" s="210"/>
      <c r="TE241" s="210"/>
      <c r="TF241" s="210"/>
      <c r="TG241" s="210"/>
      <c r="TH241" s="210"/>
      <c r="TI241" s="210"/>
      <c r="TJ241" s="210"/>
      <c r="TK241" s="210"/>
      <c r="TL241" s="210"/>
      <c r="TM241" s="210"/>
      <c r="TN241" s="210"/>
      <c r="TO241" s="210"/>
      <c r="TP241" s="210"/>
      <c r="TQ241" s="210"/>
      <c r="TR241" s="210"/>
      <c r="TS241" s="210"/>
      <c r="TT241" s="210"/>
      <c r="TU241" s="210"/>
      <c r="TV241" s="210"/>
      <c r="TW241" s="210"/>
      <c r="TX241" s="210"/>
      <c r="TY241" s="210"/>
      <c r="TZ241" s="210"/>
      <c r="UA241" s="210"/>
      <c r="UB241" s="210"/>
      <c r="UC241" s="210"/>
      <c r="UD241" s="210"/>
      <c r="UE241" s="210"/>
      <c r="UF241" s="210"/>
      <c r="UG241" s="210"/>
      <c r="UH241" s="210"/>
      <c r="UI241" s="210"/>
      <c r="UJ241" s="210"/>
      <c r="UK241" s="210"/>
      <c r="UL241" s="210"/>
      <c r="UM241" s="210"/>
      <c r="UN241" s="210"/>
      <c r="UO241" s="210"/>
      <c r="UP241" s="210"/>
      <c r="UQ241" s="210"/>
      <c r="UR241" s="210"/>
      <c r="US241" s="210"/>
      <c r="UT241" s="210"/>
      <c r="UU241" s="210"/>
      <c r="UV241" s="210"/>
      <c r="UW241" s="210"/>
      <c r="UX241" s="210"/>
      <c r="UY241" s="210"/>
      <c r="UZ241" s="210"/>
      <c r="VA241" s="210"/>
      <c r="VB241" s="210"/>
      <c r="VC241" s="210"/>
      <c r="VD241" s="210"/>
      <c r="VE241" s="210"/>
      <c r="VF241" s="210"/>
      <c r="VG241" s="210"/>
      <c r="VH241" s="210"/>
      <c r="VI241" s="210"/>
      <c r="VJ241" s="210"/>
      <c r="VK241" s="210"/>
      <c r="VL241" s="210"/>
      <c r="VM241" s="210"/>
      <c r="VN241" s="210"/>
      <c r="VO241" s="210"/>
      <c r="VP241" s="210"/>
      <c r="VQ241" s="210"/>
      <c r="VR241" s="210"/>
      <c r="VS241" s="210"/>
      <c r="VT241" s="210"/>
      <c r="VU241" s="210"/>
      <c r="VV241" s="210"/>
      <c r="VW241" s="210"/>
      <c r="VX241" s="210"/>
      <c r="VY241" s="210"/>
      <c r="VZ241" s="210"/>
      <c r="WA241" s="210"/>
      <c r="WB241" s="210"/>
      <c r="WC241" s="210"/>
      <c r="WD241" s="210"/>
      <c r="WE241" s="210"/>
      <c r="WF241" s="210"/>
      <c r="WG241" s="210"/>
      <c r="WH241" s="210"/>
      <c r="WI241" s="210"/>
      <c r="WJ241" s="210"/>
      <c r="WK241" s="210"/>
      <c r="WL241" s="210"/>
      <c r="WM241" s="210"/>
      <c r="WN241" s="210"/>
      <c r="WO241" s="210"/>
      <c r="WP241" s="210"/>
      <c r="WQ241" s="210"/>
      <c r="WR241" s="210"/>
      <c r="WS241" s="210"/>
      <c r="WT241" s="210"/>
      <c r="WU241" s="210"/>
      <c r="WV241" s="210"/>
      <c r="WW241" s="210"/>
      <c r="WX241" s="210"/>
      <c r="WY241" s="210"/>
      <c r="WZ241" s="210"/>
      <c r="XA241" s="210"/>
      <c r="XB241" s="210"/>
      <c r="XC241" s="210"/>
      <c r="XD241" s="210"/>
      <c r="XE241" s="210"/>
      <c r="XF241" s="210"/>
      <c r="XG241" s="210"/>
      <c r="XH241" s="210"/>
      <c r="XI241" s="210"/>
      <c r="XJ241" s="210"/>
      <c r="XK241" s="210"/>
      <c r="XL241" s="210"/>
      <c r="XM241" s="210"/>
      <c r="XN241" s="210"/>
      <c r="XO241" s="210"/>
      <c r="XP241" s="210"/>
      <c r="XQ241" s="210"/>
      <c r="XR241" s="210"/>
      <c r="XS241" s="210"/>
      <c r="XT241" s="210"/>
      <c r="XU241" s="210"/>
      <c r="XV241" s="210"/>
      <c r="XW241" s="210"/>
      <c r="XX241" s="210"/>
      <c r="XY241" s="210"/>
      <c r="XZ241" s="210"/>
      <c r="YA241" s="210"/>
      <c r="YB241" s="210"/>
      <c r="YC241" s="210"/>
      <c r="YD241" s="210"/>
      <c r="YE241" s="210"/>
      <c r="YF241" s="210"/>
      <c r="YG241" s="210"/>
      <c r="YH241" s="210"/>
      <c r="YI241" s="210"/>
      <c r="YJ241" s="210"/>
      <c r="YK241" s="210"/>
      <c r="YL241" s="210"/>
      <c r="YM241" s="210"/>
      <c r="YN241" s="210"/>
      <c r="YO241" s="210"/>
      <c r="YP241" s="210"/>
      <c r="YQ241" s="210"/>
      <c r="YR241" s="210"/>
      <c r="YS241" s="210"/>
      <c r="YT241" s="210"/>
      <c r="YU241" s="210"/>
      <c r="YV241" s="210"/>
      <c r="YW241" s="210"/>
      <c r="YX241" s="210"/>
      <c r="YY241" s="210"/>
      <c r="YZ241" s="210"/>
      <c r="ZA241" s="210"/>
      <c r="ZB241" s="210"/>
      <c r="ZC241" s="210"/>
      <c r="ZD241" s="210"/>
      <c r="ZE241" s="210"/>
      <c r="ZF241" s="210"/>
      <c r="ZG241" s="210"/>
      <c r="ZH241" s="210"/>
      <c r="ZI241" s="210"/>
      <c r="ZJ241" s="210"/>
      <c r="ZK241" s="210"/>
      <c r="ZL241" s="210"/>
      <c r="ZM241" s="210"/>
      <c r="ZN241" s="210"/>
      <c r="ZO241" s="210"/>
      <c r="ZP241" s="210"/>
      <c r="ZQ241" s="210"/>
      <c r="ZR241" s="210"/>
      <c r="ZS241" s="210"/>
      <c r="ZT241" s="210"/>
      <c r="ZU241" s="210"/>
      <c r="ZV241" s="210"/>
      <c r="ZW241" s="210"/>
      <c r="ZX241" s="210"/>
      <c r="ZY241" s="210"/>
      <c r="ZZ241" s="210"/>
      <c r="AAA241" s="210"/>
      <c r="AAB241" s="210"/>
      <c r="AAC241" s="210"/>
      <c r="AAD241" s="210"/>
      <c r="AAE241" s="210"/>
      <c r="AAF241" s="210"/>
      <c r="AAG241" s="210"/>
      <c r="AAH241" s="210"/>
      <c r="AAI241" s="210"/>
      <c r="AAJ241" s="210"/>
      <c r="AAK241" s="210"/>
      <c r="AAL241" s="210"/>
      <c r="AAM241" s="210"/>
      <c r="AAN241" s="210"/>
      <c r="AAO241" s="210"/>
      <c r="AAP241" s="210"/>
      <c r="AAQ241" s="210"/>
      <c r="AAR241" s="210"/>
      <c r="AAS241" s="210"/>
      <c r="AAT241" s="210"/>
      <c r="AAU241" s="210"/>
      <c r="AAV241" s="210"/>
      <c r="AAW241" s="210"/>
      <c r="AAX241" s="210"/>
      <c r="AAY241" s="210"/>
      <c r="AAZ241" s="210"/>
      <c r="ABA241" s="210"/>
      <c r="ABB241" s="210"/>
      <c r="ABC241" s="210"/>
      <c r="ABD241" s="210"/>
      <c r="ABE241" s="210"/>
      <c r="ABF241" s="210"/>
      <c r="ABG241" s="210"/>
      <c r="ABH241" s="210"/>
      <c r="ABI241" s="210"/>
      <c r="ABJ241" s="210"/>
      <c r="ABK241" s="210"/>
      <c r="ABL241" s="210"/>
      <c r="ABM241" s="210"/>
      <c r="ABN241" s="210"/>
      <c r="ABO241" s="210"/>
      <c r="ABP241" s="210"/>
      <c r="ABQ241" s="210"/>
      <c r="ABR241" s="210"/>
      <c r="ABS241" s="210"/>
      <c r="ABT241" s="210"/>
      <c r="ABU241" s="210"/>
      <c r="ABV241" s="210"/>
      <c r="ABW241" s="210"/>
      <c r="ABX241" s="210"/>
      <c r="ABY241" s="210"/>
      <c r="ABZ241" s="210"/>
      <c r="ACA241" s="210"/>
      <c r="ACB241" s="210"/>
      <c r="ACC241" s="210"/>
      <c r="ACD241" s="210"/>
      <c r="ACE241" s="210"/>
      <c r="ACF241" s="210"/>
      <c r="ACG241" s="210"/>
      <c r="ACH241" s="210"/>
      <c r="ACI241" s="210"/>
      <c r="ACJ241" s="210"/>
      <c r="ACK241" s="210"/>
      <c r="ACL241" s="210"/>
      <c r="ACM241" s="210"/>
      <c r="ACN241" s="210"/>
      <c r="ACO241" s="210"/>
      <c r="ACP241" s="210"/>
      <c r="ACQ241" s="210"/>
      <c r="ACR241" s="210"/>
      <c r="ACS241" s="210"/>
      <c r="ACT241" s="210"/>
      <c r="ACU241" s="210"/>
      <c r="ACV241" s="210"/>
      <c r="ACW241" s="210"/>
      <c r="ACX241" s="210"/>
      <c r="ACY241" s="210"/>
      <c r="ACZ241" s="210"/>
      <c r="ADA241" s="210"/>
      <c r="ADB241" s="210"/>
      <c r="ADC241" s="210"/>
      <c r="ADD241" s="210"/>
      <c r="ADE241" s="210"/>
      <c r="ADF241" s="210"/>
      <c r="ADG241" s="210"/>
      <c r="ADH241" s="210"/>
      <c r="ADI241" s="210"/>
      <c r="ADJ241" s="210"/>
      <c r="ADK241" s="210"/>
      <c r="ADL241" s="210"/>
      <c r="ADM241" s="210"/>
      <c r="ADN241" s="210"/>
      <c r="ADO241" s="210"/>
      <c r="ADP241" s="210"/>
      <c r="ADQ241" s="210"/>
      <c r="ADR241" s="210"/>
      <c r="ADS241" s="210"/>
      <c r="ADT241" s="210"/>
      <c r="ADU241" s="210"/>
      <c r="ADV241" s="210"/>
      <c r="ADW241" s="210"/>
      <c r="ADX241" s="210"/>
      <c r="ADY241" s="210"/>
      <c r="ADZ241" s="210"/>
      <c r="AEA241" s="210"/>
      <c r="AEB241" s="210"/>
      <c r="AEC241" s="210"/>
      <c r="AED241" s="210"/>
      <c r="AEE241" s="210"/>
      <c r="AEF241" s="210"/>
      <c r="AEG241" s="210"/>
      <c r="AEH241" s="210"/>
      <c r="AEI241" s="210"/>
      <c r="AEJ241" s="210"/>
      <c r="AEK241" s="210"/>
      <c r="AEL241" s="210"/>
      <c r="AEM241" s="210"/>
      <c r="AEN241" s="210"/>
      <c r="AEO241" s="210"/>
      <c r="AEP241" s="210"/>
      <c r="AEQ241" s="210"/>
      <c r="AER241" s="210"/>
      <c r="AES241" s="210"/>
      <c r="AET241" s="210"/>
      <c r="AEU241" s="210"/>
      <c r="AEV241" s="210"/>
      <c r="AEW241" s="210"/>
      <c r="AEX241" s="210"/>
      <c r="AEY241" s="210"/>
      <c r="AEZ241" s="210"/>
      <c r="AFA241" s="210"/>
      <c r="AFB241" s="210"/>
      <c r="AFC241" s="210"/>
      <c r="AFD241" s="210"/>
      <c r="AFE241" s="210"/>
      <c r="AFF241" s="210"/>
      <c r="AFG241" s="210"/>
      <c r="AFH241" s="210"/>
      <c r="AFI241" s="210"/>
      <c r="AFJ241" s="210"/>
      <c r="AFK241" s="210"/>
      <c r="AFL241" s="210"/>
      <c r="AFM241" s="210"/>
      <c r="AFN241" s="210"/>
      <c r="AFO241" s="210"/>
      <c r="AFP241" s="210"/>
      <c r="AFQ241" s="210"/>
      <c r="AFR241" s="210"/>
      <c r="AFS241" s="210"/>
      <c r="AFT241" s="210"/>
      <c r="AFU241" s="210"/>
      <c r="AFV241" s="210"/>
      <c r="AFW241" s="210"/>
      <c r="AFX241" s="210"/>
      <c r="AFY241" s="210"/>
      <c r="AFZ241" s="210"/>
      <c r="AGA241" s="210"/>
      <c r="AGB241" s="210"/>
      <c r="AGC241" s="210"/>
      <c r="AGD241" s="210"/>
      <c r="AGE241" s="210"/>
      <c r="AGF241" s="210"/>
      <c r="AGG241" s="210"/>
      <c r="AGH241" s="210"/>
      <c r="AGI241" s="210"/>
      <c r="AGJ241" s="210"/>
      <c r="AGK241" s="210"/>
      <c r="AGL241" s="210"/>
      <c r="AGM241" s="210"/>
      <c r="AGN241" s="210"/>
      <c r="AGO241" s="210"/>
      <c r="AGP241" s="210"/>
      <c r="AGQ241" s="210"/>
      <c r="AGR241" s="210"/>
      <c r="AGS241" s="210"/>
      <c r="AGT241" s="210"/>
      <c r="AGU241" s="210"/>
      <c r="AGV241" s="210"/>
      <c r="AGW241" s="210"/>
      <c r="AGX241" s="210"/>
      <c r="AGY241" s="210"/>
      <c r="AGZ241" s="210"/>
      <c r="AHA241" s="210"/>
      <c r="AHB241" s="210"/>
      <c r="AHC241" s="210"/>
      <c r="AHD241" s="210"/>
      <c r="AHE241" s="210"/>
      <c r="AHF241" s="210"/>
      <c r="AHG241" s="210"/>
      <c r="AHH241" s="210"/>
      <c r="AHI241" s="210"/>
      <c r="AHJ241" s="210"/>
      <c r="AHK241" s="210"/>
      <c r="AHL241" s="210"/>
      <c r="AHM241" s="210"/>
      <c r="AHN241" s="210"/>
      <c r="AHO241" s="210"/>
      <c r="AHP241" s="210"/>
      <c r="AHQ241" s="210"/>
      <c r="AHR241" s="210"/>
      <c r="AHS241" s="210"/>
      <c r="AHT241" s="210"/>
      <c r="AHU241" s="210"/>
      <c r="AHV241" s="210"/>
      <c r="AHW241" s="210"/>
      <c r="AHX241" s="210"/>
      <c r="AHY241" s="210"/>
      <c r="AHZ241" s="210"/>
      <c r="AIA241" s="210"/>
      <c r="AIB241" s="210"/>
      <c r="AIC241" s="210"/>
      <c r="AID241" s="210"/>
      <c r="AIE241" s="210"/>
      <c r="AIF241" s="210"/>
      <c r="AIG241" s="210"/>
      <c r="AIH241" s="210"/>
      <c r="AII241" s="210"/>
      <c r="AIJ241" s="210"/>
      <c r="AIK241" s="210"/>
      <c r="AIL241" s="210"/>
      <c r="AIM241" s="210"/>
      <c r="AIN241" s="210"/>
      <c r="AIO241" s="210"/>
      <c r="AIP241" s="210"/>
      <c r="AIQ241" s="210"/>
      <c r="AIR241" s="210"/>
      <c r="AIS241" s="210"/>
      <c r="AIT241" s="210"/>
      <c r="AIU241" s="210"/>
      <c r="AIV241" s="210"/>
      <c r="AIW241" s="210"/>
      <c r="AIX241" s="210"/>
      <c r="AIY241" s="210"/>
      <c r="AIZ241" s="210"/>
      <c r="AJA241" s="210"/>
      <c r="AJB241" s="210"/>
      <c r="AJC241" s="210"/>
      <c r="AJD241" s="210"/>
      <c r="AJE241" s="210"/>
      <c r="AJF241" s="210"/>
      <c r="AJG241" s="210"/>
      <c r="AJH241" s="210"/>
      <c r="AJI241" s="210"/>
      <c r="AJJ241" s="210"/>
      <c r="AJK241" s="210"/>
      <c r="AJL241" s="210"/>
      <c r="AJM241" s="210"/>
      <c r="AJN241" s="210"/>
      <c r="AJO241" s="210"/>
      <c r="AJP241" s="210"/>
      <c r="AJQ241" s="210"/>
      <c r="AJR241" s="210"/>
      <c r="AJS241" s="210"/>
      <c r="AJT241" s="210"/>
      <c r="AJU241" s="210"/>
      <c r="AJV241" s="210"/>
      <c r="AJW241" s="210"/>
      <c r="AJX241" s="210"/>
      <c r="AJY241" s="210"/>
      <c r="AJZ241" s="210"/>
      <c r="AKA241" s="210"/>
      <c r="AKB241" s="210"/>
      <c r="AKC241" s="210"/>
      <c r="AKD241" s="210"/>
      <c r="AKE241" s="210"/>
      <c r="AKF241" s="210"/>
      <c r="AKG241" s="210"/>
      <c r="AKH241" s="210"/>
      <c r="AKI241" s="210"/>
      <c r="AKJ241" s="210"/>
      <c r="AKK241" s="210"/>
      <c r="AKL241" s="210"/>
      <c r="AKM241" s="210"/>
      <c r="AKN241" s="210"/>
      <c r="AKO241" s="210"/>
      <c r="AKP241" s="210"/>
      <c r="AKQ241" s="210"/>
      <c r="AKR241" s="210"/>
      <c r="AKS241" s="210"/>
      <c r="AKT241" s="210"/>
      <c r="AKU241" s="210"/>
      <c r="AKV241" s="210"/>
      <c r="AKW241" s="210"/>
      <c r="AKX241" s="210"/>
      <c r="AKY241" s="210"/>
      <c r="AKZ241" s="210"/>
      <c r="ALA241" s="210"/>
      <c r="ALB241" s="210"/>
      <c r="ALC241" s="210"/>
      <c r="ALD241" s="210"/>
      <c r="ALE241" s="210"/>
      <c r="ALF241" s="210"/>
      <c r="ALG241" s="210"/>
      <c r="ALH241" s="210"/>
      <c r="ALI241" s="210"/>
      <c r="ALJ241" s="210"/>
      <c r="ALK241" s="210"/>
      <c r="ALL241" s="210"/>
      <c r="ALM241" s="210"/>
      <c r="ALN241" s="210"/>
      <c r="ALO241" s="210"/>
      <c r="ALP241" s="210"/>
      <c r="ALQ241" s="210"/>
      <c r="ALR241" s="210"/>
      <c r="ALS241" s="210"/>
      <c r="ALT241" s="210"/>
      <c r="ALU241" s="210"/>
      <c r="ALV241" s="210"/>
      <c r="ALW241" s="210"/>
      <c r="ALX241" s="210"/>
      <c r="ALY241" s="210"/>
      <c r="ALZ241" s="210"/>
      <c r="AMA241" s="210"/>
      <c r="AMB241" s="210"/>
      <c r="AMC241" s="210"/>
      <c r="AMD241" s="210"/>
      <c r="AME241" s="210"/>
      <c r="AMF241" s="210"/>
      <c r="AMG241" s="210"/>
      <c r="AMH241" s="210"/>
      <c r="AMI241" s="210"/>
      <c r="AMJ241" s="210"/>
      <c r="AMK241" s="210"/>
      <c r="AML241" s="210"/>
      <c r="AMM241" s="210"/>
      <c r="AMN241" s="210"/>
      <c r="AMO241" s="210"/>
      <c r="AMP241" s="210"/>
      <c r="AMQ241" s="210"/>
      <c r="AMR241" s="210"/>
      <c r="AMS241" s="210"/>
      <c r="AMT241" s="210"/>
      <c r="AMU241" s="210"/>
      <c r="AMV241" s="210"/>
      <c r="AMW241" s="210"/>
      <c r="AMX241" s="210"/>
      <c r="AMY241" s="210"/>
      <c r="AMZ241" s="210"/>
      <c r="ANA241" s="210"/>
      <c r="ANB241" s="210"/>
      <c r="ANC241" s="210"/>
      <c r="AND241" s="210"/>
      <c r="ANE241" s="210"/>
      <c r="ANF241" s="210"/>
      <c r="ANG241" s="210"/>
      <c r="ANH241" s="210"/>
      <c r="ANI241" s="210"/>
      <c r="ANJ241" s="210"/>
      <c r="ANK241" s="210"/>
      <c r="ANL241" s="210"/>
      <c r="ANM241" s="210"/>
      <c r="ANN241" s="210"/>
      <c r="ANO241" s="210"/>
      <c r="ANP241" s="210"/>
      <c r="ANQ241" s="210"/>
      <c r="ANR241" s="210"/>
      <c r="ANS241" s="210"/>
      <c r="ANT241" s="210"/>
      <c r="ANU241" s="210"/>
      <c r="ANV241" s="210"/>
      <c r="ANW241" s="210"/>
      <c r="ANX241" s="210"/>
      <c r="ANY241" s="210"/>
      <c r="ANZ241" s="210"/>
      <c r="AOA241" s="210"/>
      <c r="AOB241" s="210"/>
      <c r="AOC241" s="210"/>
      <c r="AOD241" s="210"/>
      <c r="AOE241" s="210"/>
      <c r="AOF241" s="210"/>
      <c r="AOG241" s="210"/>
      <c r="AOH241" s="210"/>
      <c r="AOI241" s="210"/>
      <c r="AOJ241" s="210"/>
      <c r="AOK241" s="210"/>
      <c r="AOL241" s="210"/>
      <c r="AOM241" s="210"/>
      <c r="AON241" s="210"/>
      <c r="AOO241" s="210"/>
      <c r="AOP241" s="210"/>
      <c r="AOQ241" s="210"/>
      <c r="AOR241" s="210"/>
      <c r="AOS241" s="210"/>
      <c r="AOT241" s="210"/>
      <c r="AOU241" s="210"/>
      <c r="AOV241" s="210"/>
      <c r="AOW241" s="210"/>
      <c r="AOX241" s="210"/>
      <c r="AOY241" s="210"/>
      <c r="AOZ241" s="210"/>
      <c r="APA241" s="210"/>
      <c r="APB241" s="210"/>
      <c r="APC241" s="210"/>
      <c r="APD241" s="210"/>
      <c r="APE241" s="210"/>
      <c r="APF241" s="210"/>
      <c r="APG241" s="210"/>
      <c r="APH241" s="210"/>
      <c r="API241" s="210"/>
      <c r="APJ241" s="210"/>
      <c r="APK241" s="210"/>
      <c r="APL241" s="210"/>
      <c r="APM241" s="210"/>
      <c r="APN241" s="210"/>
      <c r="APO241" s="210"/>
      <c r="APP241" s="210"/>
      <c r="APQ241" s="210"/>
      <c r="APR241" s="210"/>
      <c r="APS241" s="210"/>
      <c r="APT241" s="210"/>
      <c r="APU241" s="210"/>
      <c r="APV241" s="210"/>
      <c r="APW241" s="210"/>
      <c r="APX241" s="210"/>
      <c r="APY241" s="210"/>
      <c r="APZ241" s="210"/>
      <c r="AQA241" s="210"/>
      <c r="AQB241" s="210"/>
      <c r="AQC241" s="210"/>
      <c r="AQD241" s="210"/>
      <c r="AQE241" s="210"/>
      <c r="AQF241" s="210"/>
      <c r="AQG241" s="210"/>
      <c r="AQH241" s="210"/>
      <c r="AQI241" s="210"/>
      <c r="AQJ241" s="210"/>
      <c r="AQK241" s="210"/>
      <c r="AQL241" s="210"/>
      <c r="AQM241" s="210"/>
      <c r="AQN241" s="210"/>
      <c r="AQO241" s="210"/>
      <c r="AQP241" s="210"/>
      <c r="AQQ241" s="210"/>
      <c r="AQR241" s="210"/>
      <c r="AQS241" s="210"/>
      <c r="AQT241" s="210"/>
      <c r="AQU241" s="210"/>
      <c r="AQV241" s="210"/>
      <c r="AQW241" s="210"/>
      <c r="AQX241" s="210"/>
      <c r="AQY241" s="210"/>
      <c r="AQZ241" s="210"/>
      <c r="ARA241" s="210"/>
      <c r="ARB241" s="210"/>
      <c r="ARC241" s="210"/>
      <c r="ARD241" s="210"/>
      <c r="ARE241" s="210"/>
      <c r="ARF241" s="210"/>
      <c r="ARG241" s="210"/>
      <c r="ARH241" s="210"/>
      <c r="ARI241" s="210"/>
      <c r="ARJ241" s="210"/>
      <c r="ARK241" s="210"/>
      <c r="ARL241" s="210"/>
      <c r="ARM241" s="210"/>
      <c r="ARN241" s="210"/>
      <c r="ARO241" s="210"/>
      <c r="ARP241" s="210"/>
      <c r="ARQ241" s="210"/>
      <c r="ARR241" s="210"/>
      <c r="ARS241" s="210"/>
      <c r="ART241" s="210"/>
      <c r="ARU241" s="210"/>
      <c r="ARV241" s="210"/>
      <c r="ARW241" s="210"/>
      <c r="ARX241" s="210"/>
      <c r="ARY241" s="210"/>
      <c r="ARZ241" s="210"/>
      <c r="ASA241" s="210"/>
      <c r="ASB241" s="210"/>
      <c r="ASC241" s="210"/>
      <c r="ASD241" s="210"/>
      <c r="ASE241" s="210"/>
      <c r="ASF241" s="210"/>
      <c r="ASG241" s="210"/>
      <c r="ASH241" s="210"/>
      <c r="ASI241" s="210"/>
      <c r="ASJ241" s="210"/>
      <c r="ASK241" s="210"/>
      <c r="ASL241" s="210"/>
      <c r="ASM241" s="210"/>
      <c r="ASN241" s="210"/>
      <c r="ASO241" s="210"/>
      <c r="ASP241" s="210"/>
      <c r="ASQ241" s="210"/>
      <c r="ASR241" s="210"/>
      <c r="ASS241" s="210"/>
      <c r="AST241" s="210"/>
      <c r="ASU241" s="210"/>
      <c r="ASV241" s="210"/>
      <c r="ASW241" s="210"/>
      <c r="ASX241" s="210"/>
      <c r="ASY241" s="210"/>
      <c r="ASZ241" s="210"/>
      <c r="ATA241" s="210"/>
      <c r="ATB241" s="210"/>
      <c r="ATC241" s="210"/>
      <c r="ATD241" s="210"/>
      <c r="ATE241" s="210"/>
      <c r="ATF241" s="210"/>
      <c r="ATG241" s="210"/>
      <c r="ATH241" s="210"/>
      <c r="ATI241" s="210"/>
      <c r="ATJ241" s="210"/>
      <c r="ATK241" s="210"/>
      <c r="ATL241" s="210"/>
      <c r="ATM241" s="210"/>
      <c r="ATN241" s="210"/>
      <c r="ATO241" s="210"/>
      <c r="ATP241" s="210"/>
      <c r="ATQ241" s="210"/>
      <c r="ATR241" s="210"/>
      <c r="ATS241" s="210"/>
      <c r="ATT241" s="210"/>
      <c r="ATU241" s="210"/>
      <c r="ATV241" s="210"/>
      <c r="ATW241" s="210"/>
      <c r="ATX241" s="210"/>
      <c r="ATY241" s="210"/>
      <c r="ATZ241" s="210"/>
      <c r="AUA241" s="210"/>
      <c r="AUB241" s="210"/>
      <c r="AUC241" s="210"/>
      <c r="AUD241" s="210"/>
      <c r="AUE241" s="210"/>
      <c r="AUF241" s="210"/>
      <c r="AUG241" s="210"/>
      <c r="AUH241" s="210"/>
      <c r="AUI241" s="210"/>
      <c r="AUJ241" s="210"/>
      <c r="AUK241" s="210"/>
      <c r="AUL241" s="210"/>
      <c r="AUM241" s="210"/>
      <c r="AUN241" s="210"/>
      <c r="AUO241" s="210"/>
      <c r="AUP241" s="210"/>
      <c r="AUQ241" s="210"/>
      <c r="AUR241" s="210"/>
      <c r="AUS241" s="210"/>
      <c r="AUT241" s="210"/>
      <c r="AUU241" s="210"/>
      <c r="AUV241" s="210"/>
      <c r="AUW241" s="210"/>
      <c r="AUX241" s="210"/>
      <c r="AUY241" s="210"/>
      <c r="AUZ241" s="210"/>
      <c r="AVA241" s="210"/>
      <c r="AVB241" s="210"/>
      <c r="AVC241" s="210"/>
      <c r="AVD241" s="210"/>
      <c r="AVE241" s="210"/>
      <c r="AVF241" s="210"/>
      <c r="AVG241" s="210"/>
      <c r="AVH241" s="210"/>
      <c r="AVI241" s="210"/>
      <c r="AVJ241" s="210"/>
      <c r="AVK241" s="210"/>
      <c r="AVL241" s="210"/>
      <c r="AVM241" s="210"/>
      <c r="AVN241" s="210"/>
      <c r="AVO241" s="210"/>
      <c r="AVP241" s="210"/>
      <c r="AVQ241" s="210"/>
      <c r="AVR241" s="210"/>
      <c r="AVS241" s="210"/>
      <c r="AVT241" s="210"/>
      <c r="AVU241" s="210"/>
      <c r="AVV241" s="210"/>
      <c r="AVW241" s="210"/>
      <c r="AVX241" s="210"/>
      <c r="AVY241" s="210"/>
      <c r="AVZ241" s="210"/>
      <c r="AWA241" s="210"/>
      <c r="AWB241" s="210"/>
      <c r="AWC241" s="210"/>
      <c r="AWD241" s="210"/>
      <c r="AWE241" s="210"/>
      <c r="AWF241" s="210"/>
      <c r="AWG241" s="210"/>
      <c r="AWH241" s="210"/>
      <c r="AWI241" s="210"/>
      <c r="AWJ241" s="210"/>
      <c r="AWK241" s="210"/>
      <c r="AWL241" s="210"/>
      <c r="AWM241" s="210"/>
      <c r="AWN241" s="210"/>
      <c r="AWO241" s="210"/>
      <c r="AWP241" s="210"/>
      <c r="AWQ241" s="210"/>
      <c r="AWR241" s="210"/>
      <c r="AWS241" s="210"/>
      <c r="AWT241" s="210"/>
      <c r="AWU241" s="210"/>
      <c r="AWV241" s="210"/>
      <c r="AWW241" s="210"/>
      <c r="AWX241" s="210"/>
      <c r="AWY241" s="210"/>
      <c r="AWZ241" s="210"/>
      <c r="AXA241" s="210"/>
      <c r="AXB241" s="210"/>
      <c r="AXC241" s="210"/>
      <c r="AXD241" s="210"/>
      <c r="AXE241" s="210"/>
      <c r="AXF241" s="210"/>
      <c r="AXG241" s="210"/>
      <c r="AXH241" s="210"/>
      <c r="AXI241" s="210"/>
      <c r="AXJ241" s="210"/>
      <c r="AXK241" s="210"/>
      <c r="AXL241" s="210"/>
      <c r="AXM241" s="210"/>
      <c r="AXN241" s="210"/>
      <c r="AXO241" s="210"/>
      <c r="AXP241" s="210"/>
      <c r="AXQ241" s="210"/>
      <c r="AXR241" s="210"/>
      <c r="AXS241" s="210"/>
      <c r="AXT241" s="210"/>
      <c r="AXU241" s="210"/>
      <c r="AXV241" s="210"/>
      <c r="AXW241" s="210"/>
      <c r="AXX241" s="210"/>
      <c r="AXY241" s="210"/>
      <c r="AXZ241" s="210"/>
      <c r="AYA241" s="210"/>
      <c r="AYB241" s="210"/>
      <c r="AYC241" s="210"/>
      <c r="AYD241" s="210"/>
      <c r="AYE241" s="210"/>
      <c r="AYF241" s="210"/>
      <c r="AYG241" s="210"/>
      <c r="AYH241" s="210"/>
      <c r="AYI241" s="210"/>
      <c r="AYJ241" s="210"/>
      <c r="AYK241" s="210"/>
      <c r="AYL241" s="210"/>
      <c r="AYM241" s="210"/>
      <c r="AYN241" s="210"/>
      <c r="AYO241" s="210"/>
      <c r="AYP241" s="210"/>
      <c r="AYQ241" s="210"/>
      <c r="AYR241" s="210"/>
      <c r="AYS241" s="210"/>
      <c r="AYT241" s="210"/>
      <c r="AYU241" s="210"/>
      <c r="AYV241" s="210"/>
      <c r="AYW241" s="210"/>
      <c r="AYX241" s="210"/>
      <c r="AYY241" s="210"/>
      <c r="AYZ241" s="210"/>
      <c r="AZA241" s="210"/>
      <c r="AZB241" s="210"/>
      <c r="AZC241" s="210"/>
      <c r="AZD241" s="210"/>
      <c r="AZE241" s="210"/>
      <c r="AZF241" s="210"/>
      <c r="AZG241" s="210"/>
      <c r="AZH241" s="210"/>
      <c r="AZI241" s="210"/>
      <c r="AZJ241" s="210"/>
      <c r="AZK241" s="210"/>
      <c r="AZL241" s="210"/>
      <c r="AZM241" s="210"/>
      <c r="AZN241" s="210"/>
      <c r="AZO241" s="210"/>
      <c r="AZP241" s="210"/>
      <c r="AZQ241" s="210"/>
      <c r="AZR241" s="210"/>
      <c r="AZS241" s="210"/>
      <c r="AZT241" s="210"/>
      <c r="AZU241" s="210"/>
      <c r="AZV241" s="210"/>
      <c r="AZW241" s="210"/>
      <c r="AZX241" s="210"/>
      <c r="AZY241" s="210"/>
      <c r="AZZ241" s="210"/>
      <c r="BAA241" s="210"/>
      <c r="BAB241" s="210"/>
      <c r="BAC241" s="210"/>
      <c r="BAD241" s="210"/>
      <c r="BAE241" s="210"/>
      <c r="BAF241" s="210"/>
      <c r="BAG241" s="210"/>
      <c r="BAH241" s="210"/>
      <c r="BAI241" s="210"/>
      <c r="BAJ241" s="210"/>
      <c r="BAK241" s="210"/>
      <c r="BAL241" s="210"/>
      <c r="BAM241" s="210"/>
      <c r="BAN241" s="210"/>
      <c r="BAO241" s="210"/>
      <c r="BAP241" s="210"/>
      <c r="BAQ241" s="210"/>
      <c r="BAR241" s="210"/>
      <c r="BAS241" s="210"/>
      <c r="BAT241" s="210"/>
      <c r="BAU241" s="210"/>
      <c r="BAV241" s="210"/>
      <c r="BAW241" s="210"/>
      <c r="BAX241" s="210"/>
      <c r="BAY241" s="210"/>
      <c r="BAZ241" s="210"/>
      <c r="BBA241" s="210"/>
      <c r="BBB241" s="210"/>
      <c r="BBC241" s="210"/>
      <c r="BBD241" s="210"/>
      <c r="BBE241" s="210"/>
      <c r="BBF241" s="210"/>
      <c r="BBG241" s="210"/>
      <c r="BBH241" s="210"/>
      <c r="BBI241" s="210"/>
      <c r="BBJ241" s="210"/>
      <c r="BBK241" s="210"/>
      <c r="BBL241" s="210"/>
      <c r="BBM241" s="210"/>
      <c r="BBN241" s="210"/>
      <c r="BBO241" s="210"/>
      <c r="BBP241" s="210"/>
      <c r="BBQ241" s="210"/>
      <c r="BBR241" s="210"/>
      <c r="BBS241" s="210"/>
      <c r="BBT241" s="210"/>
      <c r="BBU241" s="210"/>
      <c r="BBV241" s="210"/>
      <c r="BBW241" s="210"/>
      <c r="BBX241" s="210"/>
      <c r="BBY241" s="210"/>
      <c r="BBZ241" s="210"/>
      <c r="BCA241" s="210"/>
      <c r="BCB241" s="210"/>
      <c r="BCC241" s="210"/>
      <c r="BCD241" s="210"/>
      <c r="BCE241" s="210"/>
      <c r="BCF241" s="210"/>
      <c r="BCG241" s="210"/>
      <c r="BCH241" s="210"/>
      <c r="BCI241" s="210"/>
      <c r="BCJ241" s="210"/>
      <c r="BCK241" s="210"/>
      <c r="BCL241" s="210"/>
      <c r="BCM241" s="210"/>
      <c r="BCN241" s="210"/>
      <c r="BCO241" s="210"/>
      <c r="BCP241" s="210"/>
      <c r="BCQ241" s="210"/>
      <c r="BCR241" s="210"/>
      <c r="BCS241" s="210"/>
      <c r="BCT241" s="210"/>
      <c r="BCU241" s="210"/>
      <c r="BCV241" s="210"/>
      <c r="BCW241" s="210"/>
      <c r="BCX241" s="210"/>
      <c r="BCY241" s="210"/>
      <c r="BCZ241" s="210"/>
      <c r="BDA241" s="210"/>
      <c r="BDB241" s="210"/>
      <c r="BDC241" s="210"/>
      <c r="BDD241" s="210"/>
      <c r="BDE241" s="210"/>
      <c r="BDF241" s="210"/>
      <c r="BDG241" s="210"/>
      <c r="BDH241" s="210"/>
      <c r="BDI241" s="210"/>
      <c r="BDJ241" s="210"/>
      <c r="BDK241" s="210"/>
      <c r="BDL241" s="210"/>
      <c r="BDM241" s="210"/>
      <c r="BDN241" s="210"/>
      <c r="BDO241" s="210"/>
      <c r="BDP241" s="210"/>
      <c r="BDQ241" s="210"/>
      <c r="BDR241" s="210"/>
      <c r="BDS241" s="210"/>
      <c r="BDT241" s="210"/>
      <c r="BDU241" s="210"/>
      <c r="BDV241" s="210"/>
      <c r="BDW241" s="210"/>
      <c r="BDX241" s="210"/>
      <c r="BDY241" s="210"/>
      <c r="BDZ241" s="210"/>
      <c r="BEA241" s="210"/>
      <c r="BEB241" s="210"/>
      <c r="BEC241" s="210"/>
      <c r="BED241" s="210"/>
      <c r="BEE241" s="210"/>
      <c r="BEF241" s="210"/>
      <c r="BEG241" s="210"/>
      <c r="BEH241" s="210"/>
      <c r="BEI241" s="210"/>
      <c r="BEJ241" s="210"/>
      <c r="BEK241" s="210"/>
      <c r="BEL241" s="210"/>
      <c r="BEM241" s="210"/>
      <c r="BEN241" s="210"/>
      <c r="BEO241" s="210"/>
      <c r="BEP241" s="210"/>
      <c r="BEQ241" s="210"/>
      <c r="BER241" s="210"/>
      <c r="BES241" s="210"/>
      <c r="BET241" s="210"/>
      <c r="BEU241" s="210"/>
      <c r="BEV241" s="210"/>
      <c r="BEW241" s="210"/>
      <c r="BEX241" s="210"/>
      <c r="BEY241" s="210"/>
      <c r="BEZ241" s="210"/>
      <c r="BFA241" s="210"/>
      <c r="BFB241" s="210"/>
      <c r="BFC241" s="210"/>
      <c r="BFD241" s="210"/>
      <c r="BFE241" s="210"/>
      <c r="BFF241" s="210"/>
      <c r="BFG241" s="210"/>
      <c r="BFH241" s="210"/>
      <c r="BFI241" s="210"/>
      <c r="BFJ241" s="210"/>
      <c r="BFK241" s="210"/>
      <c r="BFL241" s="210"/>
      <c r="BFM241" s="210"/>
      <c r="BFN241" s="210"/>
      <c r="BFO241" s="210"/>
      <c r="BFP241" s="210"/>
      <c r="BFQ241" s="210"/>
      <c r="BFR241" s="210"/>
      <c r="BFS241" s="210"/>
      <c r="BFT241" s="210"/>
      <c r="BFU241" s="210"/>
      <c r="BFV241" s="210"/>
      <c r="BFW241" s="210"/>
      <c r="BFX241" s="210"/>
      <c r="BFY241" s="210"/>
      <c r="BFZ241" s="210"/>
      <c r="BGA241" s="210"/>
      <c r="BGB241" s="210"/>
      <c r="BGC241" s="210"/>
      <c r="BGD241" s="210"/>
      <c r="BGE241" s="210"/>
      <c r="BGF241" s="210"/>
      <c r="BGG241" s="210"/>
      <c r="BGH241" s="210"/>
      <c r="BGI241" s="210"/>
      <c r="BGJ241" s="210"/>
      <c r="BGK241" s="210"/>
      <c r="BGL241" s="210"/>
      <c r="BGM241" s="210"/>
      <c r="BGN241" s="210"/>
      <c r="BGO241" s="210"/>
      <c r="BGP241" s="210"/>
      <c r="BGQ241" s="210"/>
      <c r="BGR241" s="210"/>
      <c r="BGS241" s="210"/>
      <c r="BGT241" s="210"/>
      <c r="BGU241" s="210"/>
      <c r="BGV241" s="210"/>
      <c r="BGW241" s="210"/>
      <c r="BGX241" s="210"/>
      <c r="BGY241" s="210"/>
      <c r="BGZ241" s="210"/>
      <c r="BHA241" s="210"/>
      <c r="BHB241" s="210"/>
      <c r="BHC241" s="210"/>
      <c r="BHD241" s="210"/>
      <c r="BHE241" s="210"/>
      <c r="BHF241" s="210"/>
      <c r="BHG241" s="210"/>
      <c r="BHH241" s="210"/>
      <c r="BHI241" s="210"/>
      <c r="BHJ241" s="210"/>
      <c r="BHK241" s="210"/>
      <c r="BHL241" s="210"/>
      <c r="BHM241" s="210"/>
      <c r="BHN241" s="210"/>
      <c r="BHO241" s="210"/>
      <c r="BHP241" s="210"/>
      <c r="BHQ241" s="210"/>
      <c r="BHR241" s="210"/>
      <c r="BHS241" s="210"/>
      <c r="BHT241" s="210"/>
      <c r="BHU241" s="210"/>
      <c r="BHV241" s="210"/>
      <c r="BHW241" s="210"/>
      <c r="BHX241" s="210"/>
      <c r="BHY241" s="210"/>
      <c r="BHZ241" s="210"/>
      <c r="BIA241" s="210"/>
      <c r="BIB241" s="210"/>
      <c r="BIC241" s="210"/>
      <c r="BID241" s="210"/>
      <c r="BIE241" s="210"/>
      <c r="BIF241" s="210"/>
      <c r="BIG241" s="210"/>
      <c r="BIH241" s="210"/>
      <c r="BII241" s="210"/>
      <c r="BIJ241" s="210"/>
      <c r="BIK241" s="210"/>
      <c r="BIL241" s="210"/>
      <c r="BIM241" s="210"/>
      <c r="BIN241" s="210"/>
      <c r="BIO241" s="210"/>
      <c r="BIP241" s="210"/>
      <c r="BIQ241" s="210"/>
      <c r="BIR241" s="210"/>
      <c r="BIS241" s="210"/>
      <c r="BIT241" s="210"/>
      <c r="BIU241" s="210"/>
      <c r="BIV241" s="210"/>
      <c r="BIW241" s="210"/>
      <c r="BIX241" s="210"/>
      <c r="BIY241" s="210"/>
      <c r="BIZ241" s="210"/>
      <c r="BJA241" s="210"/>
      <c r="BJB241" s="210"/>
      <c r="BJC241" s="210"/>
      <c r="BJD241" s="210"/>
      <c r="BJE241" s="210"/>
      <c r="BJF241" s="210"/>
      <c r="BJG241" s="210"/>
      <c r="BJH241" s="210"/>
      <c r="BJI241" s="210"/>
      <c r="BJJ241" s="210"/>
      <c r="BJK241" s="210"/>
      <c r="BJL241" s="210"/>
      <c r="BJM241" s="210"/>
      <c r="BJN241" s="210"/>
      <c r="BJO241" s="210"/>
      <c r="BJP241" s="210"/>
      <c r="BJQ241" s="210"/>
      <c r="BJR241" s="210"/>
      <c r="BJS241" s="210"/>
      <c r="BJT241" s="210"/>
      <c r="BJU241" s="210"/>
      <c r="BJV241" s="210"/>
      <c r="BJW241" s="210"/>
      <c r="BJX241" s="210"/>
      <c r="BJY241" s="210"/>
      <c r="BJZ241" s="210"/>
      <c r="BKA241" s="210"/>
      <c r="BKB241" s="210"/>
      <c r="BKC241" s="210"/>
      <c r="BKD241" s="210"/>
      <c r="BKE241" s="210"/>
      <c r="BKF241" s="210"/>
      <c r="BKG241" s="210"/>
      <c r="BKH241" s="210"/>
      <c r="BKI241" s="210"/>
      <c r="BKJ241" s="210"/>
      <c r="BKK241" s="210"/>
      <c r="BKL241" s="210"/>
      <c r="BKM241" s="210"/>
      <c r="BKN241" s="210"/>
      <c r="BKO241" s="210"/>
      <c r="BKP241" s="210"/>
      <c r="BKQ241" s="210"/>
      <c r="BKR241" s="210"/>
      <c r="BKS241" s="210"/>
      <c r="BKT241" s="210"/>
      <c r="BKU241" s="210"/>
      <c r="BKV241" s="210"/>
      <c r="BKW241" s="210"/>
      <c r="BKX241" s="210"/>
      <c r="BKY241" s="210"/>
      <c r="BKZ241" s="210"/>
      <c r="BLA241" s="210"/>
      <c r="BLB241" s="210"/>
      <c r="BLC241" s="210"/>
      <c r="BLD241" s="210"/>
      <c r="BLE241" s="210"/>
      <c r="BLF241" s="210"/>
      <c r="BLG241" s="210"/>
      <c r="BLH241" s="210"/>
      <c r="BLI241" s="210"/>
      <c r="BLJ241" s="210"/>
      <c r="BLK241" s="210"/>
      <c r="BLL241" s="210"/>
      <c r="BLM241" s="210"/>
      <c r="BLN241" s="210"/>
      <c r="BLO241" s="210"/>
      <c r="BLP241" s="210"/>
      <c r="BLQ241" s="210"/>
      <c r="BLR241" s="210"/>
      <c r="BLS241" s="210"/>
      <c r="BLT241" s="210"/>
      <c r="BLU241" s="210"/>
      <c r="BLV241" s="210"/>
      <c r="BLW241" s="210"/>
      <c r="BLX241" s="210"/>
      <c r="BLY241" s="210"/>
      <c r="BLZ241" s="210"/>
      <c r="BMA241" s="210"/>
      <c r="BMB241" s="210"/>
      <c r="BMC241" s="210"/>
      <c r="BMD241" s="210"/>
      <c r="BME241" s="210"/>
      <c r="BMF241" s="210"/>
      <c r="BMG241" s="210"/>
      <c r="BMH241" s="210"/>
      <c r="BMI241" s="210"/>
      <c r="BMJ241" s="210"/>
      <c r="BMK241" s="210"/>
      <c r="BML241" s="210"/>
      <c r="BMM241" s="210"/>
      <c r="BMN241" s="210"/>
      <c r="BMO241" s="210"/>
      <c r="BMP241" s="210"/>
      <c r="BMQ241" s="210"/>
      <c r="BMR241" s="210"/>
      <c r="BMS241" s="210"/>
      <c r="BMT241" s="210"/>
      <c r="BMU241" s="210"/>
      <c r="BMV241" s="210"/>
      <c r="BMW241" s="210"/>
      <c r="BMX241" s="210"/>
      <c r="BMY241" s="210"/>
      <c r="BMZ241" s="210"/>
      <c r="BNA241" s="210"/>
      <c r="BNB241" s="210"/>
      <c r="BNC241" s="210"/>
      <c r="BND241" s="210"/>
      <c r="BNE241" s="210"/>
      <c r="BNF241" s="210"/>
      <c r="BNG241" s="210"/>
      <c r="BNH241" s="210"/>
      <c r="BNI241" s="210"/>
      <c r="BNJ241" s="210"/>
      <c r="BNK241" s="210"/>
      <c r="BNL241" s="210"/>
      <c r="BNM241" s="210"/>
      <c r="BNN241" s="210"/>
      <c r="BNO241" s="210"/>
      <c r="BNP241" s="210"/>
      <c r="BNQ241" s="210"/>
      <c r="BNR241" s="210"/>
      <c r="BNS241" s="210"/>
      <c r="BNT241" s="210"/>
      <c r="BNU241" s="210"/>
      <c r="BNV241" s="210"/>
      <c r="BNW241" s="210"/>
      <c r="BNX241" s="210"/>
      <c r="BNY241" s="210"/>
      <c r="BNZ241" s="210"/>
      <c r="BOA241" s="210"/>
      <c r="BOB241" s="210"/>
      <c r="BOC241" s="210"/>
      <c r="BOD241" s="210"/>
      <c r="BOE241" s="210"/>
      <c r="BOF241" s="210"/>
      <c r="BOG241" s="210"/>
      <c r="BOH241" s="210"/>
      <c r="BOI241" s="210"/>
      <c r="BOJ241" s="210"/>
      <c r="BOK241" s="210"/>
      <c r="BOL241" s="210"/>
      <c r="BOM241" s="210"/>
      <c r="BON241" s="210"/>
      <c r="BOO241" s="210"/>
      <c r="BOP241" s="210"/>
      <c r="BOQ241" s="210"/>
      <c r="BOR241" s="210"/>
      <c r="BOS241" s="210"/>
      <c r="BOT241" s="210"/>
      <c r="BOU241" s="210"/>
      <c r="BOV241" s="210"/>
      <c r="BOW241" s="210"/>
      <c r="BOX241" s="210"/>
      <c r="BOY241" s="210"/>
      <c r="BOZ241" s="210"/>
      <c r="BPA241" s="210"/>
      <c r="BPB241" s="210"/>
      <c r="BPC241" s="210"/>
      <c r="BPD241" s="210"/>
      <c r="BPE241" s="210"/>
      <c r="BPF241" s="210"/>
      <c r="BPG241" s="210"/>
      <c r="BPH241" s="210"/>
      <c r="BPI241" s="210"/>
      <c r="BPJ241" s="210"/>
      <c r="BPK241" s="210"/>
      <c r="BPL241" s="210"/>
      <c r="BPM241" s="210"/>
      <c r="BPN241" s="210"/>
      <c r="BPO241" s="210"/>
      <c r="BPP241" s="210"/>
      <c r="BPQ241" s="210"/>
      <c r="BPR241" s="210"/>
      <c r="BPS241" s="210"/>
      <c r="BPT241" s="210"/>
      <c r="BPU241" s="210"/>
      <c r="BPV241" s="210"/>
      <c r="BPW241" s="210"/>
      <c r="BPX241" s="210"/>
      <c r="BPY241" s="210"/>
      <c r="BPZ241" s="210"/>
      <c r="BQA241" s="210"/>
      <c r="BQB241" s="210"/>
      <c r="BQC241" s="210"/>
      <c r="BQD241" s="210"/>
      <c r="BQE241" s="210"/>
      <c r="BQF241" s="210"/>
      <c r="BQG241" s="210"/>
      <c r="BQH241" s="210"/>
      <c r="BQI241" s="210"/>
      <c r="BQJ241" s="210"/>
      <c r="BQK241" s="210"/>
      <c r="BQL241" s="210"/>
      <c r="BQM241" s="210"/>
      <c r="BQN241" s="210"/>
      <c r="BQO241" s="210"/>
      <c r="BQP241" s="210"/>
      <c r="BQQ241" s="210"/>
      <c r="BQR241" s="210"/>
      <c r="BQS241" s="210"/>
      <c r="BQT241" s="210"/>
      <c r="BQU241" s="210"/>
      <c r="BQV241" s="210"/>
      <c r="BQW241" s="210"/>
      <c r="BQX241" s="210"/>
      <c r="BQY241" s="210"/>
      <c r="BQZ241" s="210"/>
      <c r="BRA241" s="210"/>
      <c r="BRB241" s="210"/>
      <c r="BRC241" s="210"/>
      <c r="BRD241" s="210"/>
      <c r="BRE241" s="210"/>
      <c r="BRF241" s="210"/>
      <c r="BRG241" s="210"/>
      <c r="BRH241" s="210"/>
      <c r="BRI241" s="210"/>
      <c r="BRJ241" s="210"/>
      <c r="BRK241" s="210"/>
      <c r="BRL241" s="210"/>
      <c r="BRM241" s="210"/>
      <c r="BRN241" s="210"/>
      <c r="BRO241" s="210"/>
      <c r="BRP241" s="210"/>
      <c r="BRQ241" s="210"/>
      <c r="BRR241" s="210"/>
      <c r="BRS241" s="210"/>
      <c r="BRT241" s="210"/>
      <c r="BRU241" s="210"/>
      <c r="BRV241" s="210"/>
      <c r="BRW241" s="210"/>
      <c r="BRX241" s="210"/>
      <c r="BRY241" s="210"/>
      <c r="BRZ241" s="210"/>
      <c r="BSA241" s="210"/>
      <c r="BSB241" s="210"/>
      <c r="BSC241" s="210"/>
      <c r="BSD241" s="210"/>
      <c r="BSE241" s="210"/>
      <c r="BSF241" s="210"/>
      <c r="BSG241" s="210"/>
      <c r="BSH241" s="210"/>
      <c r="BSI241" s="210"/>
      <c r="BSJ241" s="210"/>
      <c r="BSK241" s="210"/>
      <c r="BSL241" s="210"/>
      <c r="BSM241" s="210"/>
      <c r="BSN241" s="210"/>
      <c r="BSO241" s="210"/>
      <c r="BSP241" s="210"/>
      <c r="BSQ241" s="210"/>
      <c r="BSR241" s="210"/>
      <c r="BSS241" s="210"/>
      <c r="BST241" s="210"/>
      <c r="BSU241" s="210"/>
      <c r="BSV241" s="210"/>
      <c r="BSW241" s="210"/>
      <c r="BSX241" s="210"/>
      <c r="BSY241" s="210"/>
      <c r="BSZ241" s="210"/>
      <c r="BTA241" s="210"/>
      <c r="BTB241" s="210"/>
      <c r="BTC241" s="210"/>
      <c r="BTD241" s="210"/>
      <c r="BTE241" s="210"/>
      <c r="BTF241" s="210"/>
      <c r="BTG241" s="210"/>
      <c r="BTH241" s="210"/>
      <c r="BTI241" s="210"/>
      <c r="BTJ241" s="210"/>
      <c r="BTK241" s="210"/>
      <c r="BTL241" s="210"/>
      <c r="BTM241" s="210"/>
      <c r="BTN241" s="210"/>
      <c r="BTO241" s="210"/>
      <c r="BTP241" s="210"/>
      <c r="BTQ241" s="210"/>
      <c r="BTR241" s="210"/>
      <c r="BTS241" s="210"/>
      <c r="BTT241" s="210"/>
      <c r="BTU241" s="210"/>
      <c r="BTV241" s="210"/>
      <c r="BTW241" s="210"/>
      <c r="BTX241" s="210"/>
      <c r="BTY241" s="210"/>
      <c r="BTZ241" s="210"/>
      <c r="BUA241" s="210"/>
      <c r="BUB241" s="210"/>
      <c r="BUC241" s="210"/>
      <c r="BUD241" s="210"/>
      <c r="BUE241" s="210"/>
      <c r="BUF241" s="210"/>
      <c r="BUG241" s="210"/>
      <c r="BUH241" s="210"/>
      <c r="BUI241" s="210"/>
      <c r="BUJ241" s="210"/>
      <c r="BUK241" s="210"/>
      <c r="BUL241" s="210"/>
      <c r="BUM241" s="210"/>
      <c r="BUN241" s="210"/>
      <c r="BUO241" s="210"/>
      <c r="BUP241" s="210"/>
      <c r="BUQ241" s="210"/>
      <c r="BUR241" s="210"/>
      <c r="BUS241" s="210"/>
      <c r="BUT241" s="210"/>
      <c r="BUU241" s="210"/>
      <c r="BUV241" s="210"/>
      <c r="BUW241" s="210"/>
      <c r="BUX241" s="210"/>
      <c r="BUY241" s="210"/>
      <c r="BUZ241" s="210"/>
      <c r="BVA241" s="210"/>
      <c r="BVB241" s="210"/>
      <c r="BVC241" s="210"/>
      <c r="BVD241" s="210"/>
      <c r="BVE241" s="210"/>
      <c r="BVF241" s="210"/>
      <c r="BVG241" s="210"/>
      <c r="BVH241" s="210"/>
      <c r="BVI241" s="210"/>
      <c r="BVJ241" s="210"/>
      <c r="BVK241" s="210"/>
      <c r="BVL241" s="210"/>
      <c r="BVM241" s="210"/>
      <c r="BVN241" s="210"/>
      <c r="BVO241" s="210"/>
      <c r="BVP241" s="210"/>
      <c r="BVQ241" s="210"/>
      <c r="BVR241" s="210"/>
      <c r="BVS241" s="210"/>
      <c r="BVT241" s="210"/>
      <c r="BVU241" s="210"/>
      <c r="BVV241" s="210"/>
      <c r="BVW241" s="210"/>
      <c r="BVX241" s="210"/>
      <c r="BVY241" s="210"/>
      <c r="BVZ241" s="210"/>
      <c r="BWA241" s="210"/>
      <c r="BWB241" s="210"/>
      <c r="BWC241" s="210"/>
      <c r="BWD241" s="210"/>
      <c r="BWE241" s="210"/>
      <c r="BWF241" s="210"/>
      <c r="BWG241" s="210"/>
      <c r="BWH241" s="210"/>
      <c r="BWI241" s="210"/>
      <c r="BWJ241" s="210"/>
      <c r="BWK241" s="210"/>
      <c r="BWL241" s="210"/>
      <c r="BWM241" s="210"/>
      <c r="BWN241" s="210"/>
      <c r="BWO241" s="210"/>
      <c r="BWP241" s="210"/>
      <c r="BWQ241" s="210"/>
      <c r="BWR241" s="210"/>
      <c r="BWS241" s="210"/>
      <c r="BWT241" s="210"/>
      <c r="BWU241" s="210"/>
      <c r="BWV241" s="210"/>
      <c r="BWW241" s="210"/>
      <c r="BWX241" s="210"/>
      <c r="BWY241" s="210"/>
      <c r="BWZ241" s="210"/>
      <c r="BXA241" s="210"/>
      <c r="BXB241" s="210"/>
      <c r="BXC241" s="210"/>
      <c r="BXD241" s="210"/>
      <c r="BXE241" s="210"/>
      <c r="BXF241" s="210"/>
      <c r="BXG241" s="210"/>
      <c r="BXH241" s="210"/>
      <c r="BXI241" s="210"/>
      <c r="BXJ241" s="210"/>
      <c r="BXK241" s="210"/>
      <c r="BXL241" s="210"/>
      <c r="BXM241" s="210"/>
      <c r="BXN241" s="210"/>
      <c r="BXO241" s="210"/>
      <c r="BXP241" s="210"/>
      <c r="BXQ241" s="210"/>
      <c r="BXR241" s="210"/>
      <c r="BXS241" s="210"/>
      <c r="BXT241" s="210"/>
      <c r="BXU241" s="210"/>
      <c r="BXV241" s="210"/>
      <c r="BXW241" s="210"/>
      <c r="BXX241" s="210"/>
      <c r="BXY241" s="210"/>
      <c r="BXZ241" s="210"/>
      <c r="BYA241" s="210"/>
      <c r="BYB241" s="210"/>
      <c r="BYC241" s="210"/>
      <c r="BYD241" s="210"/>
      <c r="BYE241" s="210"/>
      <c r="BYF241" s="210"/>
      <c r="BYG241" s="210"/>
      <c r="BYH241" s="210"/>
      <c r="BYI241" s="210"/>
      <c r="BYJ241" s="210"/>
      <c r="BYK241" s="210"/>
      <c r="BYL241" s="210"/>
      <c r="BYM241" s="210"/>
      <c r="BYN241" s="210"/>
      <c r="BYO241" s="210"/>
      <c r="BYP241" s="210"/>
      <c r="BYQ241" s="210"/>
      <c r="BYR241" s="210"/>
      <c r="BYS241" s="210"/>
      <c r="BYT241" s="210"/>
      <c r="BYU241" s="210"/>
      <c r="BYV241" s="210"/>
      <c r="BYW241" s="210"/>
      <c r="BYX241" s="210"/>
      <c r="BYY241" s="210"/>
      <c r="BYZ241" s="210"/>
      <c r="BZA241" s="210"/>
      <c r="BZB241" s="210"/>
      <c r="BZC241" s="210"/>
      <c r="BZD241" s="210"/>
      <c r="BZE241" s="210"/>
      <c r="BZF241" s="210"/>
      <c r="BZG241" s="210"/>
      <c r="BZH241" s="210"/>
      <c r="BZI241" s="210"/>
      <c r="BZJ241" s="210"/>
      <c r="BZK241" s="210"/>
      <c r="BZL241" s="210"/>
      <c r="BZM241" s="210"/>
      <c r="BZN241" s="210"/>
      <c r="BZO241" s="210"/>
      <c r="BZP241" s="210"/>
      <c r="BZQ241" s="210"/>
      <c r="BZR241" s="210"/>
      <c r="BZS241" s="210"/>
      <c r="BZT241" s="210"/>
      <c r="BZU241" s="210"/>
      <c r="BZV241" s="210"/>
      <c r="BZW241" s="210"/>
      <c r="BZX241" s="210"/>
      <c r="BZY241" s="210"/>
      <c r="BZZ241" s="210"/>
      <c r="CAA241" s="210"/>
      <c r="CAB241" s="210"/>
      <c r="CAC241" s="210"/>
      <c r="CAD241" s="210"/>
      <c r="CAE241" s="210"/>
      <c r="CAF241" s="210"/>
      <c r="CAG241" s="210"/>
      <c r="CAH241" s="210"/>
      <c r="CAI241" s="210"/>
      <c r="CAJ241" s="210"/>
      <c r="CAK241" s="210"/>
      <c r="CAL241" s="210"/>
      <c r="CAM241" s="210"/>
      <c r="CAN241" s="210"/>
      <c r="CAO241" s="210"/>
      <c r="CAP241" s="210"/>
      <c r="CAQ241" s="210"/>
      <c r="CAR241" s="210"/>
      <c r="CAS241" s="210"/>
      <c r="CAT241" s="210"/>
      <c r="CAU241" s="210"/>
      <c r="CAV241" s="210"/>
      <c r="CAW241" s="210"/>
      <c r="CAX241" s="210"/>
      <c r="CAY241" s="210"/>
      <c r="CAZ241" s="210"/>
      <c r="CBA241" s="210"/>
      <c r="CBB241" s="210"/>
      <c r="CBC241" s="210"/>
      <c r="CBD241" s="210"/>
      <c r="CBE241" s="210"/>
      <c r="CBF241" s="210"/>
      <c r="CBG241" s="210"/>
      <c r="CBH241" s="210"/>
      <c r="CBI241" s="210"/>
      <c r="CBJ241" s="210"/>
      <c r="CBK241" s="210"/>
      <c r="CBL241" s="210"/>
      <c r="CBM241" s="210"/>
      <c r="CBN241" s="210"/>
      <c r="CBO241" s="210"/>
      <c r="CBP241" s="210"/>
      <c r="CBQ241" s="210"/>
      <c r="CBR241" s="210"/>
      <c r="CBS241" s="210"/>
      <c r="CBT241" s="210"/>
      <c r="CBU241" s="210"/>
      <c r="CBV241" s="210"/>
      <c r="CBW241" s="210"/>
      <c r="CBX241" s="210"/>
      <c r="CBY241" s="210"/>
      <c r="CBZ241" s="210"/>
      <c r="CCA241" s="210"/>
      <c r="CCB241" s="210"/>
      <c r="CCC241" s="210"/>
      <c r="CCD241" s="210"/>
      <c r="CCE241" s="210"/>
      <c r="CCF241" s="210"/>
      <c r="CCG241" s="210"/>
      <c r="CCH241" s="210"/>
      <c r="CCI241" s="210"/>
      <c r="CCJ241" s="210"/>
      <c r="CCK241" s="210"/>
      <c r="CCL241" s="210"/>
      <c r="CCM241" s="210"/>
      <c r="CCN241" s="210"/>
      <c r="CCO241" s="210"/>
      <c r="CCP241" s="210"/>
      <c r="CCQ241" s="210"/>
      <c r="CCR241" s="210"/>
      <c r="CCS241" s="210"/>
      <c r="CCT241" s="210"/>
      <c r="CCU241" s="210"/>
      <c r="CCV241" s="210"/>
      <c r="CCW241" s="210"/>
      <c r="CCX241" s="210"/>
      <c r="CCY241" s="210"/>
      <c r="CCZ241" s="210"/>
      <c r="CDA241" s="210"/>
      <c r="CDB241" s="210"/>
      <c r="CDC241" s="210"/>
      <c r="CDD241" s="210"/>
      <c r="CDE241" s="210"/>
      <c r="CDF241" s="210"/>
      <c r="CDG241" s="210"/>
      <c r="CDH241" s="210"/>
      <c r="CDI241" s="210"/>
      <c r="CDJ241" s="210"/>
      <c r="CDK241" s="210"/>
      <c r="CDL241" s="210"/>
      <c r="CDM241" s="210"/>
      <c r="CDN241" s="210"/>
      <c r="CDO241" s="210"/>
      <c r="CDP241" s="210"/>
      <c r="CDQ241" s="210"/>
      <c r="CDR241" s="210"/>
      <c r="CDS241" s="210"/>
      <c r="CDT241" s="210"/>
      <c r="CDU241" s="210"/>
      <c r="CDV241" s="210"/>
      <c r="CDW241" s="210"/>
      <c r="CDX241" s="210"/>
      <c r="CDY241" s="210"/>
      <c r="CDZ241" s="210"/>
      <c r="CEA241" s="210"/>
      <c r="CEB241" s="210"/>
      <c r="CEC241" s="210"/>
      <c r="CED241" s="210"/>
      <c r="CEE241" s="210"/>
      <c r="CEF241" s="210"/>
      <c r="CEG241" s="210"/>
      <c r="CEH241" s="210"/>
      <c r="CEI241" s="210"/>
      <c r="CEJ241" s="210"/>
      <c r="CEK241" s="210"/>
      <c r="CEL241" s="210"/>
      <c r="CEM241" s="210"/>
      <c r="CEN241" s="210"/>
      <c r="CEO241" s="210"/>
      <c r="CEP241" s="210"/>
      <c r="CEQ241" s="210"/>
      <c r="CER241" s="210"/>
      <c r="CES241" s="210"/>
      <c r="CET241" s="210"/>
      <c r="CEU241" s="210"/>
      <c r="CEV241" s="210"/>
      <c r="CEW241" s="210"/>
      <c r="CEX241" s="210"/>
      <c r="CEY241" s="210"/>
      <c r="CEZ241" s="210"/>
      <c r="CFA241" s="210"/>
      <c r="CFB241" s="210"/>
      <c r="CFC241" s="210"/>
      <c r="CFD241" s="210"/>
      <c r="CFE241" s="210"/>
      <c r="CFF241" s="210"/>
      <c r="CFG241" s="210"/>
      <c r="CFH241" s="210"/>
      <c r="CFI241" s="210"/>
      <c r="CFJ241" s="210"/>
      <c r="CFK241" s="210"/>
      <c r="CFL241" s="210"/>
      <c r="CFM241" s="210"/>
      <c r="CFN241" s="210"/>
      <c r="CFO241" s="210"/>
      <c r="CFP241" s="210"/>
      <c r="CFQ241" s="210"/>
      <c r="CFR241" s="210"/>
      <c r="CFS241" s="210"/>
      <c r="CFT241" s="210"/>
      <c r="CFU241" s="210"/>
      <c r="CFV241" s="210"/>
      <c r="CFW241" s="210"/>
      <c r="CFX241" s="210"/>
      <c r="CFY241" s="210"/>
      <c r="CFZ241" s="210"/>
      <c r="CGA241" s="210"/>
      <c r="CGB241" s="210"/>
      <c r="CGC241" s="210"/>
      <c r="CGD241" s="210"/>
      <c r="CGE241" s="210"/>
      <c r="CGF241" s="210"/>
      <c r="CGG241" s="210"/>
      <c r="CGH241" s="210"/>
      <c r="CGI241" s="210"/>
      <c r="CGJ241" s="210"/>
      <c r="CGK241" s="210"/>
      <c r="CGL241" s="210"/>
      <c r="CGM241" s="210"/>
      <c r="CGN241" s="210"/>
      <c r="CGO241" s="210"/>
      <c r="CGP241" s="210"/>
      <c r="CGQ241" s="210"/>
      <c r="CGR241" s="210"/>
      <c r="CGS241" s="210"/>
      <c r="CGT241" s="210"/>
      <c r="CGU241" s="210"/>
      <c r="CGV241" s="210"/>
      <c r="CGW241" s="210"/>
      <c r="CGX241" s="210"/>
      <c r="CGY241" s="210"/>
      <c r="CGZ241" s="210"/>
      <c r="CHA241" s="210"/>
      <c r="CHB241" s="210"/>
      <c r="CHC241" s="210"/>
      <c r="CHD241" s="210"/>
      <c r="CHE241" s="210"/>
      <c r="CHF241" s="210"/>
      <c r="CHG241" s="210"/>
      <c r="CHH241" s="210"/>
      <c r="CHI241" s="210"/>
      <c r="CHJ241" s="210"/>
      <c r="CHK241" s="210"/>
      <c r="CHL241" s="210"/>
      <c r="CHM241" s="210"/>
      <c r="CHN241" s="210"/>
      <c r="CHO241" s="210"/>
      <c r="CHP241" s="210"/>
      <c r="CHQ241" s="210"/>
      <c r="CHR241" s="210"/>
      <c r="CHS241" s="210"/>
      <c r="CHT241" s="210"/>
      <c r="CHU241" s="210"/>
      <c r="CHV241" s="210"/>
      <c r="CHW241" s="210"/>
      <c r="CHX241" s="210"/>
      <c r="CHY241" s="210"/>
      <c r="CHZ241" s="210"/>
      <c r="CIA241" s="210"/>
      <c r="CIB241" s="210"/>
      <c r="CIC241" s="210"/>
      <c r="CID241" s="210"/>
      <c r="CIE241" s="210"/>
      <c r="CIF241" s="210"/>
      <c r="CIG241" s="210"/>
      <c r="CIH241" s="210"/>
      <c r="CII241" s="210"/>
      <c r="CIJ241" s="210"/>
      <c r="CIK241" s="210"/>
      <c r="CIL241" s="210"/>
      <c r="CIM241" s="210"/>
      <c r="CIN241" s="210"/>
      <c r="CIO241" s="210"/>
      <c r="CIP241" s="210"/>
      <c r="CIQ241" s="210"/>
      <c r="CIR241" s="210"/>
      <c r="CIS241" s="210"/>
      <c r="CIT241" s="210"/>
      <c r="CIU241" s="210"/>
      <c r="CIV241" s="210"/>
      <c r="CIW241" s="210"/>
      <c r="CIX241" s="210"/>
      <c r="CIY241" s="210"/>
      <c r="CIZ241" s="210"/>
      <c r="CJA241" s="210"/>
      <c r="CJB241" s="210"/>
      <c r="CJC241" s="210"/>
      <c r="CJD241" s="210"/>
      <c r="CJE241" s="210"/>
      <c r="CJF241" s="210"/>
      <c r="CJG241" s="210"/>
      <c r="CJH241" s="210"/>
      <c r="CJI241" s="210"/>
      <c r="CJJ241" s="210"/>
      <c r="CJK241" s="210"/>
      <c r="CJL241" s="210"/>
      <c r="CJM241" s="210"/>
      <c r="CJN241" s="210"/>
      <c r="CJO241" s="210"/>
      <c r="CJP241" s="210"/>
      <c r="CJQ241" s="210"/>
      <c r="CJR241" s="210"/>
      <c r="CJS241" s="210"/>
      <c r="CJT241" s="210"/>
      <c r="CJU241" s="210"/>
      <c r="CJV241" s="210"/>
      <c r="CJW241" s="210"/>
      <c r="CJX241" s="210"/>
      <c r="CJY241" s="210"/>
      <c r="CJZ241" s="210"/>
      <c r="CKA241" s="210"/>
      <c r="CKB241" s="210"/>
      <c r="CKC241" s="210"/>
      <c r="CKD241" s="210"/>
      <c r="CKE241" s="210"/>
      <c r="CKF241" s="210"/>
      <c r="CKG241" s="210"/>
      <c r="CKH241" s="210"/>
      <c r="CKI241" s="210"/>
      <c r="CKJ241" s="210"/>
      <c r="CKK241" s="210"/>
      <c r="CKL241" s="210"/>
      <c r="CKM241" s="210"/>
      <c r="CKN241" s="210"/>
      <c r="CKO241" s="210"/>
      <c r="CKP241" s="210"/>
      <c r="CKQ241" s="210"/>
      <c r="CKR241" s="210"/>
      <c r="CKS241" s="210"/>
      <c r="CKT241" s="210"/>
      <c r="CKU241" s="210"/>
      <c r="CKV241" s="210"/>
      <c r="CKW241" s="210"/>
      <c r="CKX241" s="210"/>
      <c r="CKY241" s="210"/>
      <c r="CKZ241" s="210"/>
      <c r="CLA241" s="210"/>
      <c r="CLB241" s="210"/>
      <c r="CLC241" s="210"/>
      <c r="CLD241" s="210"/>
      <c r="CLE241" s="210"/>
      <c r="CLF241" s="210"/>
      <c r="CLG241" s="210"/>
      <c r="CLH241" s="210"/>
      <c r="CLI241" s="210"/>
      <c r="CLJ241" s="210"/>
      <c r="CLK241" s="210"/>
      <c r="CLL241" s="210"/>
      <c r="CLM241" s="210"/>
      <c r="CLN241" s="210"/>
      <c r="CLO241" s="210"/>
      <c r="CLP241" s="210"/>
      <c r="CLQ241" s="210"/>
      <c r="CLR241" s="210"/>
      <c r="CLS241" s="210"/>
      <c r="CLT241" s="210"/>
      <c r="CLU241" s="210"/>
      <c r="CLV241" s="210"/>
      <c r="CLW241" s="210"/>
      <c r="CLX241" s="210"/>
      <c r="CLY241" s="210"/>
      <c r="CLZ241" s="210"/>
      <c r="CMA241" s="210"/>
      <c r="CMB241" s="210"/>
      <c r="CMC241" s="210"/>
      <c r="CMD241" s="210"/>
      <c r="CME241" s="210"/>
      <c r="CMF241" s="210"/>
      <c r="CMG241" s="210"/>
      <c r="CMH241" s="210"/>
      <c r="CMI241" s="210"/>
      <c r="CMJ241" s="210"/>
      <c r="CMK241" s="210"/>
      <c r="CML241" s="210"/>
      <c r="CMM241" s="210"/>
      <c r="CMN241" s="210"/>
      <c r="CMO241" s="210"/>
      <c r="CMP241" s="210"/>
      <c r="CMQ241" s="210"/>
      <c r="CMR241" s="210"/>
      <c r="CMS241" s="210"/>
      <c r="CMT241" s="210"/>
      <c r="CMU241" s="210"/>
      <c r="CMV241" s="210"/>
      <c r="CMW241" s="210"/>
      <c r="CMX241" s="210"/>
      <c r="CMY241" s="210"/>
      <c r="CMZ241" s="210"/>
      <c r="CNA241" s="210"/>
      <c r="CNB241" s="210"/>
      <c r="CNC241" s="210"/>
      <c r="CND241" s="210"/>
      <c r="CNE241" s="210"/>
      <c r="CNF241" s="210"/>
      <c r="CNG241" s="210"/>
      <c r="CNH241" s="210"/>
      <c r="CNI241" s="210"/>
      <c r="CNJ241" s="210"/>
      <c r="CNK241" s="210"/>
      <c r="CNL241" s="210"/>
      <c r="CNM241" s="210"/>
      <c r="CNN241" s="210"/>
      <c r="CNO241" s="210"/>
      <c r="CNP241" s="210"/>
      <c r="CNQ241" s="210"/>
      <c r="CNR241" s="210"/>
      <c r="CNS241" s="210"/>
      <c r="CNT241" s="210"/>
      <c r="CNU241" s="210"/>
      <c r="CNV241" s="210"/>
      <c r="CNW241" s="210"/>
      <c r="CNX241" s="210"/>
      <c r="CNY241" s="210"/>
      <c r="CNZ241" s="210"/>
      <c r="COA241" s="210"/>
      <c r="COB241" s="210"/>
      <c r="COC241" s="210"/>
      <c r="COD241" s="210"/>
      <c r="COE241" s="210"/>
      <c r="COF241" s="210"/>
      <c r="COG241" s="210"/>
      <c r="COH241" s="210"/>
      <c r="COI241" s="210"/>
      <c r="COJ241" s="210"/>
      <c r="COK241" s="210"/>
      <c r="COL241" s="210"/>
      <c r="COM241" s="210"/>
      <c r="CON241" s="210"/>
      <c r="COO241" s="210"/>
      <c r="COP241" s="210"/>
      <c r="COQ241" s="210"/>
      <c r="COR241" s="210"/>
      <c r="COS241" s="210"/>
      <c r="COT241" s="210"/>
      <c r="COU241" s="210"/>
      <c r="COV241" s="210"/>
      <c r="COW241" s="210"/>
      <c r="COX241" s="210"/>
      <c r="COY241" s="210"/>
      <c r="COZ241" s="210"/>
      <c r="CPA241" s="210"/>
      <c r="CPB241" s="210"/>
      <c r="CPC241" s="210"/>
      <c r="CPD241" s="210"/>
      <c r="CPE241" s="210"/>
      <c r="CPF241" s="210"/>
      <c r="CPG241" s="210"/>
      <c r="CPH241" s="210"/>
      <c r="CPI241" s="210"/>
      <c r="CPJ241" s="210"/>
      <c r="CPK241" s="210"/>
      <c r="CPL241" s="210"/>
      <c r="CPM241" s="210"/>
      <c r="CPN241" s="210"/>
      <c r="CPO241" s="210"/>
      <c r="CPP241" s="210"/>
      <c r="CPQ241" s="210"/>
      <c r="CPR241" s="210"/>
      <c r="CPS241" s="210"/>
      <c r="CPT241" s="210"/>
      <c r="CPU241" s="210"/>
      <c r="CPV241" s="210"/>
      <c r="CPW241" s="210"/>
      <c r="CPX241" s="210"/>
      <c r="CPY241" s="210"/>
      <c r="CPZ241" s="210"/>
      <c r="CQA241" s="210"/>
      <c r="CQB241" s="210"/>
      <c r="CQC241" s="210"/>
      <c r="CQD241" s="210"/>
      <c r="CQE241" s="210"/>
      <c r="CQF241" s="210"/>
      <c r="CQG241" s="210"/>
      <c r="CQH241" s="210"/>
      <c r="CQI241" s="210"/>
      <c r="CQJ241" s="210"/>
      <c r="CQK241" s="210"/>
      <c r="CQL241" s="210"/>
      <c r="CQM241" s="210"/>
      <c r="CQN241" s="210"/>
      <c r="CQO241" s="210"/>
      <c r="CQP241" s="210"/>
      <c r="CQQ241" s="210"/>
      <c r="CQR241" s="210"/>
      <c r="CQS241" s="210"/>
      <c r="CQT241" s="210"/>
      <c r="CQU241" s="210"/>
      <c r="CQV241" s="210"/>
      <c r="CQW241" s="210"/>
      <c r="CQX241" s="210"/>
      <c r="CQY241" s="210"/>
      <c r="CQZ241" s="210"/>
      <c r="CRA241" s="210"/>
      <c r="CRB241" s="210"/>
      <c r="CRC241" s="210"/>
      <c r="CRD241" s="210"/>
      <c r="CRE241" s="210"/>
      <c r="CRF241" s="210"/>
      <c r="CRG241" s="210"/>
      <c r="CRH241" s="210"/>
      <c r="CRI241" s="210"/>
      <c r="CRJ241" s="210"/>
      <c r="CRK241" s="210"/>
      <c r="CRL241" s="210"/>
      <c r="CRM241" s="210"/>
      <c r="CRN241" s="210"/>
      <c r="CRO241" s="210"/>
      <c r="CRP241" s="210"/>
      <c r="CRQ241" s="210"/>
      <c r="CRR241" s="210"/>
      <c r="CRS241" s="210"/>
      <c r="CRT241" s="210"/>
      <c r="CRU241" s="210"/>
      <c r="CRV241" s="210"/>
      <c r="CRW241" s="210"/>
      <c r="CRX241" s="210"/>
      <c r="CRY241" s="210"/>
      <c r="CRZ241" s="210"/>
      <c r="CSA241" s="210"/>
      <c r="CSB241" s="210"/>
      <c r="CSC241" s="210"/>
      <c r="CSD241" s="210"/>
      <c r="CSE241" s="210"/>
      <c r="CSF241" s="210"/>
      <c r="CSG241" s="210"/>
      <c r="CSH241" s="210"/>
      <c r="CSI241" s="210"/>
      <c r="CSJ241" s="210"/>
      <c r="CSK241" s="210"/>
      <c r="CSL241" s="210"/>
      <c r="CSM241" s="210"/>
      <c r="CSN241" s="210"/>
      <c r="CSO241" s="210"/>
      <c r="CSP241" s="210"/>
      <c r="CSQ241" s="210"/>
      <c r="CSR241" s="210"/>
      <c r="CSS241" s="210"/>
      <c r="CST241" s="210"/>
      <c r="CSU241" s="210"/>
      <c r="CSV241" s="210"/>
      <c r="CSW241" s="210"/>
      <c r="CSX241" s="210"/>
      <c r="CSY241" s="210"/>
      <c r="CSZ241" s="210"/>
      <c r="CTA241" s="210"/>
      <c r="CTB241" s="210"/>
      <c r="CTC241" s="210"/>
      <c r="CTD241" s="210"/>
      <c r="CTE241" s="210"/>
      <c r="CTF241" s="210"/>
      <c r="CTG241" s="210"/>
      <c r="CTH241" s="210"/>
      <c r="CTI241" s="210"/>
      <c r="CTJ241" s="210"/>
      <c r="CTK241" s="210"/>
      <c r="CTL241" s="210"/>
      <c r="CTM241" s="210"/>
      <c r="CTN241" s="210"/>
      <c r="CTO241" s="210"/>
      <c r="CTP241" s="210"/>
      <c r="CTQ241" s="210"/>
      <c r="CTR241" s="210"/>
      <c r="CTS241" s="210"/>
      <c r="CTT241" s="210"/>
      <c r="CTU241" s="210"/>
      <c r="CTV241" s="210"/>
      <c r="CTW241" s="210"/>
      <c r="CTX241" s="210"/>
      <c r="CTY241" s="210"/>
      <c r="CTZ241" s="210"/>
      <c r="CUA241" s="210"/>
      <c r="CUB241" s="210"/>
      <c r="CUC241" s="210"/>
      <c r="CUD241" s="210"/>
      <c r="CUE241" s="210"/>
      <c r="CUF241" s="210"/>
      <c r="CUG241" s="210"/>
      <c r="CUH241" s="210"/>
      <c r="CUI241" s="210"/>
      <c r="CUJ241" s="210"/>
      <c r="CUK241" s="210"/>
      <c r="CUL241" s="210"/>
      <c r="CUM241" s="210"/>
      <c r="CUN241" s="210"/>
      <c r="CUO241" s="210"/>
      <c r="CUP241" s="210"/>
      <c r="CUQ241" s="210"/>
      <c r="CUR241" s="210"/>
      <c r="CUS241" s="210"/>
      <c r="CUT241" s="210"/>
      <c r="CUU241" s="210"/>
      <c r="CUV241" s="210"/>
      <c r="CUW241" s="210"/>
      <c r="CUX241" s="210"/>
      <c r="CUY241" s="210"/>
      <c r="CUZ241" s="210"/>
      <c r="CVA241" s="210"/>
      <c r="CVB241" s="210"/>
      <c r="CVC241" s="210"/>
      <c r="CVD241" s="210"/>
      <c r="CVE241" s="210"/>
      <c r="CVF241" s="210"/>
      <c r="CVG241" s="210"/>
      <c r="CVH241" s="210"/>
      <c r="CVI241" s="210"/>
      <c r="CVJ241" s="210"/>
      <c r="CVK241" s="210"/>
      <c r="CVL241" s="210"/>
      <c r="CVM241" s="210"/>
      <c r="CVN241" s="210"/>
      <c r="CVO241" s="210"/>
      <c r="CVP241" s="210"/>
      <c r="CVQ241" s="210"/>
      <c r="CVR241" s="210"/>
      <c r="CVS241" s="210"/>
      <c r="CVT241" s="210"/>
      <c r="CVU241" s="210"/>
      <c r="CVV241" s="210"/>
      <c r="CVW241" s="210"/>
      <c r="CVX241" s="210"/>
      <c r="CVY241" s="210"/>
      <c r="CVZ241" s="210"/>
      <c r="CWA241" s="210"/>
      <c r="CWB241" s="210"/>
      <c r="CWC241" s="210"/>
      <c r="CWD241" s="210"/>
      <c r="CWE241" s="210"/>
      <c r="CWF241" s="210"/>
      <c r="CWG241" s="210"/>
      <c r="CWH241" s="210"/>
      <c r="CWI241" s="210"/>
      <c r="CWJ241" s="210"/>
      <c r="CWK241" s="210"/>
      <c r="CWL241" s="210"/>
      <c r="CWM241" s="210"/>
      <c r="CWN241" s="210"/>
      <c r="CWO241" s="210"/>
      <c r="CWP241" s="210"/>
      <c r="CWQ241" s="210"/>
      <c r="CWR241" s="210"/>
      <c r="CWS241" s="210"/>
      <c r="CWT241" s="210"/>
      <c r="CWU241" s="210"/>
      <c r="CWV241" s="210"/>
      <c r="CWW241" s="210"/>
      <c r="CWX241" s="210"/>
      <c r="CWY241" s="210"/>
      <c r="CWZ241" s="210"/>
      <c r="CXA241" s="210"/>
      <c r="CXB241" s="210"/>
      <c r="CXC241" s="210"/>
      <c r="CXD241" s="210"/>
      <c r="CXE241" s="210"/>
      <c r="CXF241" s="210"/>
      <c r="CXG241" s="210"/>
      <c r="CXH241" s="210"/>
      <c r="CXI241" s="210"/>
      <c r="CXJ241" s="210"/>
      <c r="CXK241" s="210"/>
      <c r="CXL241" s="210"/>
      <c r="CXM241" s="210"/>
      <c r="CXN241" s="210"/>
      <c r="CXO241" s="210"/>
      <c r="CXP241" s="210"/>
      <c r="CXQ241" s="210"/>
      <c r="CXR241" s="210"/>
      <c r="CXS241" s="210"/>
      <c r="CXT241" s="210"/>
      <c r="CXU241" s="210"/>
      <c r="CXV241" s="210"/>
      <c r="CXW241" s="210"/>
      <c r="CXX241" s="210"/>
      <c r="CXY241" s="210"/>
      <c r="CXZ241" s="210"/>
      <c r="CYA241" s="210"/>
      <c r="CYB241" s="210"/>
      <c r="CYC241" s="210"/>
      <c r="CYD241" s="210"/>
      <c r="CYE241" s="210"/>
      <c r="CYF241" s="210"/>
      <c r="CYG241" s="210"/>
      <c r="CYH241" s="210"/>
      <c r="CYI241" s="210"/>
      <c r="CYJ241" s="210"/>
      <c r="CYK241" s="210"/>
      <c r="CYL241" s="210"/>
      <c r="CYM241" s="210"/>
      <c r="CYN241" s="210"/>
      <c r="CYO241" s="210"/>
      <c r="CYP241" s="210"/>
      <c r="CYQ241" s="210"/>
      <c r="CYR241" s="210"/>
      <c r="CYS241" s="210"/>
      <c r="CYT241" s="210"/>
      <c r="CYU241" s="210"/>
      <c r="CYV241" s="210"/>
      <c r="CYW241" s="210"/>
      <c r="CYX241" s="210"/>
      <c r="CYY241" s="210"/>
      <c r="CYZ241" s="210"/>
      <c r="CZA241" s="210"/>
      <c r="CZB241" s="210"/>
      <c r="CZC241" s="210"/>
      <c r="CZD241" s="210"/>
      <c r="CZE241" s="210"/>
      <c r="CZF241" s="210"/>
      <c r="CZG241" s="210"/>
      <c r="CZH241" s="210"/>
      <c r="CZI241" s="210"/>
      <c r="CZJ241" s="210"/>
      <c r="CZK241" s="210"/>
      <c r="CZL241" s="210"/>
      <c r="CZM241" s="210"/>
      <c r="CZN241" s="210"/>
      <c r="CZO241" s="210"/>
      <c r="CZP241" s="210"/>
      <c r="CZQ241" s="210"/>
      <c r="CZR241" s="210"/>
      <c r="CZS241" s="210"/>
      <c r="CZT241" s="210"/>
      <c r="CZU241" s="210"/>
      <c r="CZV241" s="210"/>
      <c r="CZW241" s="210"/>
      <c r="CZX241" s="210"/>
      <c r="CZY241" s="210"/>
      <c r="CZZ241" s="210"/>
      <c r="DAA241" s="210"/>
      <c r="DAB241" s="210"/>
      <c r="DAC241" s="210"/>
      <c r="DAD241" s="210"/>
      <c r="DAE241" s="210"/>
      <c r="DAF241" s="210"/>
      <c r="DAG241" s="210"/>
      <c r="DAH241" s="210"/>
      <c r="DAI241" s="210"/>
      <c r="DAJ241" s="210"/>
      <c r="DAK241" s="210"/>
      <c r="DAL241" s="210"/>
      <c r="DAM241" s="210"/>
      <c r="DAN241" s="210"/>
      <c r="DAO241" s="210"/>
      <c r="DAP241" s="210"/>
      <c r="DAQ241" s="210"/>
      <c r="DAR241" s="210"/>
      <c r="DAS241" s="210"/>
      <c r="DAT241" s="210"/>
      <c r="DAU241" s="210"/>
      <c r="DAV241" s="210"/>
      <c r="DAW241" s="210"/>
      <c r="DAX241" s="210"/>
      <c r="DAY241" s="210"/>
      <c r="DAZ241" s="210"/>
      <c r="DBA241" s="210"/>
      <c r="DBB241" s="210"/>
      <c r="DBC241" s="210"/>
      <c r="DBD241" s="210"/>
      <c r="DBE241" s="210"/>
      <c r="DBF241" s="210"/>
      <c r="DBG241" s="210"/>
      <c r="DBH241" s="210"/>
      <c r="DBI241" s="210"/>
      <c r="DBJ241" s="210"/>
      <c r="DBK241" s="210"/>
      <c r="DBL241" s="210"/>
      <c r="DBM241" s="210"/>
      <c r="DBN241" s="210"/>
      <c r="DBO241" s="210"/>
      <c r="DBP241" s="210"/>
      <c r="DBQ241" s="210"/>
      <c r="DBR241" s="210"/>
      <c r="DBS241" s="210"/>
      <c r="DBT241" s="210"/>
      <c r="DBU241" s="210"/>
      <c r="DBV241" s="210"/>
      <c r="DBW241" s="210"/>
      <c r="DBX241" s="210"/>
      <c r="DBY241" s="210"/>
      <c r="DBZ241" s="210"/>
      <c r="DCA241" s="210"/>
      <c r="DCB241" s="210"/>
      <c r="DCC241" s="210"/>
      <c r="DCD241" s="210"/>
      <c r="DCE241" s="210"/>
      <c r="DCF241" s="210"/>
      <c r="DCG241" s="210"/>
      <c r="DCH241" s="210"/>
      <c r="DCI241" s="210"/>
      <c r="DCJ241" s="210"/>
      <c r="DCK241" s="210"/>
      <c r="DCL241" s="210"/>
      <c r="DCM241" s="210"/>
      <c r="DCN241" s="210"/>
      <c r="DCO241" s="210"/>
      <c r="DCP241" s="210"/>
      <c r="DCQ241" s="210"/>
      <c r="DCR241" s="210"/>
      <c r="DCS241" s="210"/>
      <c r="DCT241" s="210"/>
      <c r="DCU241" s="210"/>
      <c r="DCV241" s="210"/>
      <c r="DCW241" s="210"/>
      <c r="DCX241" s="210"/>
      <c r="DCY241" s="210"/>
      <c r="DCZ241" s="210"/>
      <c r="DDA241" s="210"/>
      <c r="DDB241" s="210"/>
      <c r="DDC241" s="210"/>
      <c r="DDD241" s="210"/>
      <c r="DDE241" s="210"/>
      <c r="DDF241" s="210"/>
      <c r="DDG241" s="210"/>
      <c r="DDH241" s="210"/>
      <c r="DDI241" s="210"/>
      <c r="DDJ241" s="210"/>
      <c r="DDK241" s="210"/>
      <c r="DDL241" s="210"/>
      <c r="DDM241" s="210"/>
      <c r="DDN241" s="210"/>
      <c r="DDO241" s="210"/>
      <c r="DDP241" s="210"/>
      <c r="DDQ241" s="210"/>
      <c r="DDR241" s="210"/>
      <c r="DDS241" s="210"/>
      <c r="DDT241" s="210"/>
      <c r="DDU241" s="210"/>
      <c r="DDV241" s="210"/>
      <c r="DDW241" s="210"/>
      <c r="DDX241" s="210"/>
      <c r="DDY241" s="210"/>
      <c r="DDZ241" s="210"/>
      <c r="DEA241" s="210"/>
      <c r="DEB241" s="210"/>
      <c r="DEC241" s="210"/>
      <c r="DED241" s="210"/>
      <c r="DEE241" s="210"/>
      <c r="DEF241" s="210"/>
      <c r="DEG241" s="210"/>
      <c r="DEH241" s="210"/>
      <c r="DEI241" s="210"/>
      <c r="DEJ241" s="210"/>
      <c r="DEK241" s="210"/>
      <c r="DEL241" s="210"/>
      <c r="DEM241" s="210"/>
      <c r="DEN241" s="210"/>
      <c r="DEO241" s="210"/>
      <c r="DEP241" s="210"/>
      <c r="DEQ241" s="210"/>
      <c r="DER241" s="210"/>
      <c r="DES241" s="210"/>
      <c r="DET241" s="210"/>
      <c r="DEU241" s="210"/>
      <c r="DEV241" s="210"/>
      <c r="DEW241" s="210"/>
      <c r="DEX241" s="210"/>
      <c r="DEY241" s="210"/>
      <c r="DEZ241" s="210"/>
      <c r="DFA241" s="210"/>
      <c r="DFB241" s="210"/>
      <c r="DFC241" s="210"/>
      <c r="DFD241" s="210"/>
      <c r="DFE241" s="210"/>
      <c r="DFF241" s="210"/>
      <c r="DFG241" s="210"/>
      <c r="DFH241" s="210"/>
      <c r="DFI241" s="210"/>
      <c r="DFJ241" s="210"/>
      <c r="DFK241" s="210"/>
      <c r="DFL241" s="210"/>
      <c r="DFM241" s="210"/>
      <c r="DFN241" s="210"/>
      <c r="DFO241" s="210"/>
      <c r="DFP241" s="210"/>
      <c r="DFQ241" s="210"/>
      <c r="DFR241" s="210"/>
      <c r="DFS241" s="210"/>
      <c r="DFT241" s="210"/>
      <c r="DFU241" s="210"/>
      <c r="DFV241" s="210"/>
      <c r="DFW241" s="210"/>
      <c r="DFX241" s="210"/>
      <c r="DFY241" s="210"/>
      <c r="DFZ241" s="210"/>
      <c r="DGA241" s="210"/>
      <c r="DGB241" s="210"/>
      <c r="DGC241" s="210"/>
      <c r="DGD241" s="210"/>
      <c r="DGE241" s="210"/>
      <c r="DGF241" s="210"/>
      <c r="DGG241" s="210"/>
      <c r="DGH241" s="210"/>
      <c r="DGI241" s="210"/>
      <c r="DGJ241" s="210"/>
      <c r="DGK241" s="210"/>
      <c r="DGL241" s="210"/>
      <c r="DGM241" s="210"/>
      <c r="DGN241" s="210"/>
      <c r="DGO241" s="210"/>
      <c r="DGP241" s="210"/>
      <c r="DGQ241" s="210"/>
      <c r="DGR241" s="210"/>
      <c r="DGS241" s="210"/>
      <c r="DGT241" s="210"/>
      <c r="DGU241" s="210"/>
      <c r="DGV241" s="210"/>
      <c r="DGW241" s="210"/>
      <c r="DGX241" s="210"/>
      <c r="DGY241" s="210"/>
      <c r="DGZ241" s="210"/>
      <c r="DHA241" s="210"/>
      <c r="DHB241" s="210"/>
      <c r="DHC241" s="210"/>
      <c r="DHD241" s="210"/>
      <c r="DHE241" s="210"/>
      <c r="DHF241" s="210"/>
      <c r="DHG241" s="210"/>
      <c r="DHH241" s="210"/>
      <c r="DHI241" s="210"/>
      <c r="DHJ241" s="210"/>
      <c r="DHK241" s="210"/>
      <c r="DHL241" s="210"/>
      <c r="DHM241" s="210"/>
      <c r="DHN241" s="210"/>
      <c r="DHO241" s="210"/>
      <c r="DHP241" s="210"/>
      <c r="DHQ241" s="210"/>
      <c r="DHR241" s="210"/>
      <c r="DHS241" s="210"/>
      <c r="DHT241" s="210"/>
      <c r="DHU241" s="210"/>
      <c r="DHV241" s="210"/>
      <c r="DHW241" s="210"/>
      <c r="DHX241" s="210"/>
      <c r="DHY241" s="210"/>
      <c r="DHZ241" s="210"/>
      <c r="DIA241" s="210"/>
      <c r="DIB241" s="210"/>
      <c r="DIC241" s="210"/>
      <c r="DID241" s="210"/>
      <c r="DIE241" s="210"/>
      <c r="DIF241" s="210"/>
      <c r="DIG241" s="210"/>
      <c r="DIH241" s="210"/>
      <c r="DII241" s="210"/>
      <c r="DIJ241" s="210"/>
      <c r="DIK241" s="210"/>
      <c r="DIL241" s="210"/>
      <c r="DIM241" s="210"/>
      <c r="DIN241" s="210"/>
      <c r="DIO241" s="210"/>
      <c r="DIP241" s="210"/>
      <c r="DIQ241" s="210"/>
      <c r="DIR241" s="210"/>
      <c r="DIS241" s="210"/>
      <c r="DIT241" s="210"/>
      <c r="DIU241" s="210"/>
      <c r="DIV241" s="210"/>
      <c r="DIW241" s="210"/>
      <c r="DIX241" s="210"/>
      <c r="DIY241" s="210"/>
      <c r="DIZ241" s="210"/>
      <c r="DJA241" s="210"/>
      <c r="DJB241" s="210"/>
      <c r="DJC241" s="210"/>
      <c r="DJD241" s="210"/>
      <c r="DJE241" s="210"/>
      <c r="DJF241" s="210"/>
      <c r="DJG241" s="210"/>
      <c r="DJH241" s="210"/>
      <c r="DJI241" s="210"/>
      <c r="DJJ241" s="210"/>
      <c r="DJK241" s="210"/>
      <c r="DJL241" s="210"/>
      <c r="DJM241" s="210"/>
      <c r="DJN241" s="210"/>
      <c r="DJO241" s="210"/>
      <c r="DJP241" s="210"/>
      <c r="DJQ241" s="210"/>
      <c r="DJR241" s="210"/>
      <c r="DJS241" s="210"/>
      <c r="DJT241" s="210"/>
      <c r="DJU241" s="210"/>
      <c r="DJV241" s="210"/>
      <c r="DJW241" s="210"/>
      <c r="DJX241" s="210"/>
      <c r="DJY241" s="210"/>
      <c r="DJZ241" s="210"/>
      <c r="DKA241" s="210"/>
      <c r="DKB241" s="210"/>
      <c r="DKC241" s="210"/>
      <c r="DKD241" s="210"/>
      <c r="DKE241" s="210"/>
      <c r="DKF241" s="210"/>
      <c r="DKG241" s="210"/>
      <c r="DKH241" s="210"/>
      <c r="DKI241" s="210"/>
      <c r="DKJ241" s="210"/>
      <c r="DKK241" s="210"/>
      <c r="DKL241" s="210"/>
      <c r="DKM241" s="210"/>
      <c r="DKN241" s="210"/>
      <c r="DKO241" s="210"/>
      <c r="DKP241" s="210"/>
      <c r="DKQ241" s="210"/>
      <c r="DKR241" s="210"/>
      <c r="DKS241" s="210"/>
      <c r="DKT241" s="210"/>
      <c r="DKU241" s="210"/>
      <c r="DKV241" s="210"/>
      <c r="DKW241" s="210"/>
      <c r="DKX241" s="210"/>
      <c r="DKY241" s="210"/>
      <c r="DKZ241" s="210"/>
      <c r="DLA241" s="210"/>
      <c r="DLB241" s="210"/>
      <c r="DLC241" s="210"/>
      <c r="DLD241" s="210"/>
      <c r="DLE241" s="210"/>
      <c r="DLF241" s="210"/>
      <c r="DLG241" s="210"/>
      <c r="DLH241" s="210"/>
      <c r="DLI241" s="210"/>
      <c r="DLJ241" s="210"/>
      <c r="DLK241" s="210"/>
      <c r="DLL241" s="210"/>
      <c r="DLM241" s="210"/>
      <c r="DLN241" s="210"/>
      <c r="DLO241" s="210"/>
      <c r="DLP241" s="210"/>
      <c r="DLQ241" s="210"/>
      <c r="DLR241" s="210"/>
      <c r="DLS241" s="210"/>
      <c r="DLT241" s="210"/>
      <c r="DLU241" s="210"/>
      <c r="DLV241" s="210"/>
      <c r="DLW241" s="210"/>
      <c r="DLX241" s="210"/>
      <c r="DLY241" s="210"/>
      <c r="DLZ241" s="210"/>
      <c r="DMA241" s="210"/>
      <c r="DMB241" s="210"/>
      <c r="DMC241" s="210"/>
      <c r="DMD241" s="210"/>
      <c r="DME241" s="210"/>
      <c r="DMF241" s="210"/>
      <c r="DMG241" s="210"/>
      <c r="DMH241" s="210"/>
      <c r="DMI241" s="210"/>
      <c r="DMJ241" s="210"/>
      <c r="DMK241" s="210"/>
      <c r="DML241" s="210"/>
      <c r="DMM241" s="210"/>
      <c r="DMN241" s="210"/>
      <c r="DMO241" s="210"/>
      <c r="DMP241" s="210"/>
      <c r="DMQ241" s="210"/>
      <c r="DMR241" s="210"/>
      <c r="DMS241" s="210"/>
      <c r="DMT241" s="210"/>
      <c r="DMU241" s="210"/>
      <c r="DMV241" s="210"/>
      <c r="DMW241" s="210"/>
      <c r="DMX241" s="210"/>
      <c r="DMY241" s="210"/>
      <c r="DMZ241" s="210"/>
      <c r="DNA241" s="210"/>
      <c r="DNB241" s="210"/>
      <c r="DNC241" s="210"/>
      <c r="DND241" s="210"/>
      <c r="DNE241" s="210"/>
      <c r="DNF241" s="210"/>
      <c r="DNG241" s="210"/>
      <c r="DNH241" s="210"/>
      <c r="DNI241" s="210"/>
      <c r="DNJ241" s="210"/>
      <c r="DNK241" s="210"/>
      <c r="DNL241" s="210"/>
      <c r="DNM241" s="210"/>
      <c r="DNN241" s="210"/>
      <c r="DNO241" s="210"/>
      <c r="DNP241" s="210"/>
      <c r="DNQ241" s="210"/>
      <c r="DNR241" s="210"/>
      <c r="DNS241" s="210"/>
      <c r="DNT241" s="210"/>
      <c r="DNU241" s="210"/>
      <c r="DNV241" s="210"/>
      <c r="DNW241" s="210"/>
      <c r="DNX241" s="210"/>
      <c r="DNY241" s="210"/>
      <c r="DNZ241" s="210"/>
      <c r="DOA241" s="210"/>
      <c r="DOB241" s="210"/>
      <c r="DOC241" s="210"/>
      <c r="DOD241" s="210"/>
      <c r="DOE241" s="210"/>
      <c r="DOF241" s="210"/>
      <c r="DOG241" s="210"/>
      <c r="DOH241" s="210"/>
      <c r="DOI241" s="210"/>
      <c r="DOJ241" s="210"/>
      <c r="DOK241" s="210"/>
      <c r="DOL241" s="210"/>
      <c r="DOM241" s="210"/>
      <c r="DON241" s="210"/>
      <c r="DOO241" s="210"/>
      <c r="DOP241" s="210"/>
      <c r="DOQ241" s="210"/>
      <c r="DOR241" s="210"/>
      <c r="DOS241" s="210"/>
      <c r="DOT241" s="210"/>
      <c r="DOU241" s="210"/>
      <c r="DOV241" s="210"/>
      <c r="DOW241" s="210"/>
      <c r="DOX241" s="210"/>
      <c r="DOY241" s="210"/>
      <c r="DOZ241" s="210"/>
      <c r="DPA241" s="210"/>
      <c r="DPB241" s="210"/>
      <c r="DPC241" s="210"/>
      <c r="DPD241" s="210"/>
      <c r="DPE241" s="210"/>
      <c r="DPF241" s="210"/>
      <c r="DPG241" s="210"/>
      <c r="DPH241" s="210"/>
      <c r="DPI241" s="210"/>
      <c r="DPJ241" s="210"/>
      <c r="DPK241" s="210"/>
      <c r="DPL241" s="210"/>
      <c r="DPM241" s="210"/>
      <c r="DPN241" s="210"/>
      <c r="DPO241" s="210"/>
      <c r="DPP241" s="210"/>
      <c r="DPQ241" s="210"/>
      <c r="DPR241" s="210"/>
      <c r="DPS241" s="210"/>
      <c r="DPT241" s="210"/>
      <c r="DPU241" s="210"/>
      <c r="DPV241" s="210"/>
      <c r="DPW241" s="210"/>
      <c r="DPX241" s="210"/>
      <c r="DPY241" s="210"/>
      <c r="DPZ241" s="210"/>
      <c r="DQA241" s="210"/>
      <c r="DQB241" s="210"/>
      <c r="DQC241" s="210"/>
      <c r="DQD241" s="210"/>
      <c r="DQE241" s="210"/>
      <c r="DQF241" s="210"/>
      <c r="DQG241" s="210"/>
      <c r="DQH241" s="210"/>
      <c r="DQI241" s="210"/>
      <c r="DQJ241" s="210"/>
      <c r="DQK241" s="210"/>
      <c r="DQL241" s="210"/>
      <c r="DQM241" s="210"/>
      <c r="DQN241" s="210"/>
      <c r="DQO241" s="210"/>
      <c r="DQP241" s="210"/>
      <c r="DQQ241" s="210"/>
      <c r="DQR241" s="210"/>
      <c r="DQS241" s="210"/>
      <c r="DQT241" s="210"/>
      <c r="DQU241" s="210"/>
      <c r="DQV241" s="210"/>
      <c r="DQW241" s="210"/>
      <c r="DQX241" s="210"/>
      <c r="DQY241" s="210"/>
      <c r="DQZ241" s="210"/>
      <c r="DRA241" s="210"/>
      <c r="DRB241" s="210"/>
      <c r="DRC241" s="210"/>
      <c r="DRD241" s="210"/>
      <c r="DRE241" s="210"/>
      <c r="DRF241" s="210"/>
      <c r="DRG241" s="210"/>
      <c r="DRH241" s="210"/>
      <c r="DRI241" s="210"/>
      <c r="DRJ241" s="210"/>
      <c r="DRK241" s="210"/>
      <c r="DRL241" s="210"/>
      <c r="DRM241" s="210"/>
      <c r="DRN241" s="210"/>
      <c r="DRO241" s="210"/>
      <c r="DRP241" s="210"/>
      <c r="DRQ241" s="210"/>
      <c r="DRR241" s="210"/>
      <c r="DRS241" s="210"/>
      <c r="DRT241" s="210"/>
      <c r="DRU241" s="210"/>
      <c r="DRV241" s="210"/>
      <c r="DRW241" s="210"/>
      <c r="DRX241" s="210"/>
      <c r="DRY241" s="210"/>
      <c r="DRZ241" s="210"/>
      <c r="DSA241" s="210"/>
      <c r="DSB241" s="210"/>
      <c r="DSC241" s="210"/>
      <c r="DSD241" s="210"/>
      <c r="DSE241" s="210"/>
      <c r="DSF241" s="210"/>
      <c r="DSG241" s="210"/>
      <c r="DSH241" s="210"/>
      <c r="DSI241" s="210"/>
      <c r="DSJ241" s="210"/>
      <c r="DSK241" s="210"/>
      <c r="DSL241" s="210"/>
      <c r="DSM241" s="210"/>
      <c r="DSN241" s="210"/>
      <c r="DSO241" s="210"/>
      <c r="DSP241" s="210"/>
      <c r="DSQ241" s="210"/>
      <c r="DSR241" s="210"/>
      <c r="DSS241" s="210"/>
      <c r="DST241" s="210"/>
      <c r="DSU241" s="210"/>
      <c r="DSV241" s="210"/>
      <c r="DSW241" s="210"/>
      <c r="DSX241" s="210"/>
      <c r="DSY241" s="210"/>
      <c r="DSZ241" s="210"/>
      <c r="DTA241" s="210"/>
      <c r="DTB241" s="210"/>
      <c r="DTC241" s="210"/>
      <c r="DTD241" s="210"/>
      <c r="DTE241" s="210"/>
      <c r="DTF241" s="210"/>
      <c r="DTG241" s="210"/>
      <c r="DTH241" s="210"/>
      <c r="DTI241" s="210"/>
      <c r="DTJ241" s="210"/>
      <c r="DTK241" s="210"/>
      <c r="DTL241" s="210"/>
      <c r="DTM241" s="210"/>
      <c r="DTN241" s="210"/>
      <c r="DTO241" s="210"/>
      <c r="DTP241" s="210"/>
      <c r="DTQ241" s="210"/>
      <c r="DTR241" s="210"/>
      <c r="DTS241" s="210"/>
      <c r="DTT241" s="210"/>
      <c r="DTU241" s="210"/>
      <c r="DTV241" s="210"/>
      <c r="DTW241" s="210"/>
      <c r="DTX241" s="210"/>
      <c r="DTY241" s="210"/>
      <c r="DTZ241" s="210"/>
      <c r="DUA241" s="210"/>
      <c r="DUB241" s="210"/>
      <c r="DUC241" s="210"/>
      <c r="DUD241" s="210"/>
      <c r="DUE241" s="210"/>
      <c r="DUF241" s="210"/>
      <c r="DUG241" s="210"/>
      <c r="DUH241" s="210"/>
      <c r="DUI241" s="210"/>
      <c r="DUJ241" s="210"/>
      <c r="DUK241" s="210"/>
      <c r="DUL241" s="210"/>
      <c r="DUM241" s="210"/>
      <c r="DUN241" s="210"/>
      <c r="DUO241" s="210"/>
      <c r="DUP241" s="210"/>
      <c r="DUQ241" s="210"/>
      <c r="DUR241" s="210"/>
      <c r="DUS241" s="210"/>
      <c r="DUT241" s="210"/>
      <c r="DUU241" s="210"/>
      <c r="DUV241" s="210"/>
      <c r="DUW241" s="210"/>
      <c r="DUX241" s="210"/>
      <c r="DUY241" s="210"/>
      <c r="DUZ241" s="210"/>
      <c r="DVA241" s="210"/>
      <c r="DVB241" s="210"/>
      <c r="DVC241" s="210"/>
      <c r="DVD241" s="210"/>
      <c r="DVE241" s="210"/>
      <c r="DVF241" s="210"/>
      <c r="DVG241" s="210"/>
      <c r="DVH241" s="210"/>
      <c r="DVI241" s="210"/>
      <c r="DVJ241" s="210"/>
      <c r="DVK241" s="210"/>
      <c r="DVL241" s="210"/>
      <c r="DVM241" s="210"/>
      <c r="DVN241" s="210"/>
      <c r="DVO241" s="210"/>
      <c r="DVP241" s="210"/>
      <c r="DVQ241" s="210"/>
      <c r="DVR241" s="210"/>
      <c r="DVS241" s="210"/>
      <c r="DVT241" s="210"/>
      <c r="DVU241" s="210"/>
      <c r="DVV241" s="210"/>
      <c r="DVW241" s="210"/>
      <c r="DVX241" s="210"/>
      <c r="DVY241" s="210"/>
      <c r="DVZ241" s="210"/>
      <c r="DWA241" s="210"/>
      <c r="DWB241" s="210"/>
      <c r="DWC241" s="210"/>
      <c r="DWD241" s="210"/>
      <c r="DWE241" s="210"/>
      <c r="DWF241" s="210"/>
      <c r="DWG241" s="210"/>
      <c r="DWH241" s="210"/>
      <c r="DWI241" s="210"/>
      <c r="DWJ241" s="210"/>
      <c r="DWK241" s="210"/>
      <c r="DWL241" s="210"/>
      <c r="DWM241" s="210"/>
      <c r="DWN241" s="210"/>
      <c r="DWO241" s="210"/>
      <c r="DWP241" s="210"/>
      <c r="DWQ241" s="210"/>
      <c r="DWR241" s="210"/>
      <c r="DWS241" s="210"/>
      <c r="DWT241" s="210"/>
      <c r="DWU241" s="210"/>
      <c r="DWV241" s="210"/>
      <c r="DWW241" s="210"/>
      <c r="DWX241" s="210"/>
      <c r="DWY241" s="210"/>
      <c r="DWZ241" s="210"/>
      <c r="DXA241" s="210"/>
      <c r="DXB241" s="210"/>
      <c r="DXC241" s="210"/>
      <c r="DXD241" s="210"/>
      <c r="DXE241" s="210"/>
      <c r="DXF241" s="210"/>
      <c r="DXG241" s="210"/>
      <c r="DXH241" s="210"/>
      <c r="DXI241" s="210"/>
      <c r="DXJ241" s="210"/>
      <c r="DXK241" s="210"/>
      <c r="DXL241" s="210"/>
      <c r="DXM241" s="210"/>
      <c r="DXN241" s="210"/>
      <c r="DXO241" s="210"/>
      <c r="DXP241" s="210"/>
      <c r="DXQ241" s="210"/>
      <c r="DXR241" s="210"/>
      <c r="DXS241" s="210"/>
      <c r="DXT241" s="210"/>
      <c r="DXU241" s="210"/>
      <c r="DXV241" s="210"/>
      <c r="DXW241" s="210"/>
      <c r="DXX241" s="210"/>
      <c r="DXY241" s="210"/>
      <c r="DXZ241" s="210"/>
      <c r="DYA241" s="210"/>
      <c r="DYB241" s="210"/>
      <c r="DYC241" s="210"/>
      <c r="DYD241" s="210"/>
      <c r="DYE241" s="210"/>
      <c r="DYF241" s="210"/>
      <c r="DYG241" s="210"/>
      <c r="DYH241" s="210"/>
      <c r="DYI241" s="210"/>
      <c r="DYJ241" s="210"/>
      <c r="DYK241" s="210"/>
      <c r="DYL241" s="210"/>
      <c r="DYM241" s="210"/>
      <c r="DYN241" s="210"/>
      <c r="DYO241" s="210"/>
      <c r="DYP241" s="210"/>
      <c r="DYQ241" s="210"/>
      <c r="DYR241" s="210"/>
      <c r="DYS241" s="210"/>
      <c r="DYT241" s="210"/>
      <c r="DYU241" s="210"/>
      <c r="DYV241" s="210"/>
      <c r="DYW241" s="210"/>
      <c r="DYX241" s="210"/>
      <c r="DYY241" s="210"/>
      <c r="DYZ241" s="210"/>
      <c r="DZA241" s="210"/>
      <c r="DZB241" s="210"/>
      <c r="DZC241" s="210"/>
      <c r="DZD241" s="210"/>
      <c r="DZE241" s="210"/>
      <c r="DZF241" s="210"/>
      <c r="DZG241" s="210"/>
      <c r="DZH241" s="210"/>
      <c r="DZI241" s="210"/>
      <c r="DZJ241" s="210"/>
      <c r="DZK241" s="210"/>
      <c r="DZL241" s="210"/>
      <c r="DZM241" s="210"/>
      <c r="DZN241" s="210"/>
      <c r="DZO241" s="210"/>
      <c r="DZP241" s="210"/>
      <c r="DZQ241" s="210"/>
      <c r="DZR241" s="210"/>
      <c r="DZS241" s="210"/>
      <c r="DZT241" s="210"/>
      <c r="DZU241" s="210"/>
      <c r="DZV241" s="210"/>
      <c r="DZW241" s="210"/>
      <c r="DZX241" s="210"/>
      <c r="DZY241" s="210"/>
      <c r="DZZ241" s="210"/>
      <c r="EAA241" s="210"/>
      <c r="EAB241" s="210"/>
      <c r="EAC241" s="210"/>
      <c r="EAD241" s="210"/>
      <c r="EAE241" s="210"/>
      <c r="EAF241" s="210"/>
      <c r="EAG241" s="210"/>
      <c r="EAH241" s="210"/>
      <c r="EAI241" s="210"/>
      <c r="EAJ241" s="210"/>
      <c r="EAK241" s="210"/>
      <c r="EAL241" s="210"/>
      <c r="EAM241" s="210"/>
      <c r="EAN241" s="210"/>
      <c r="EAO241" s="210"/>
      <c r="EAP241" s="210"/>
      <c r="EAQ241" s="210"/>
      <c r="EAR241" s="210"/>
      <c r="EAS241" s="210"/>
      <c r="EAT241" s="210"/>
      <c r="EAU241" s="210"/>
      <c r="EAV241" s="210"/>
      <c r="EAW241" s="210"/>
      <c r="EAX241" s="210"/>
      <c r="EAY241" s="210"/>
      <c r="EAZ241" s="210"/>
      <c r="EBA241" s="210"/>
      <c r="EBB241" s="210"/>
      <c r="EBC241" s="210"/>
      <c r="EBD241" s="210"/>
      <c r="EBE241" s="210"/>
      <c r="EBF241" s="210"/>
      <c r="EBG241" s="210"/>
      <c r="EBH241" s="210"/>
      <c r="EBI241" s="210"/>
      <c r="EBJ241" s="210"/>
      <c r="EBK241" s="210"/>
      <c r="EBL241" s="210"/>
      <c r="EBM241" s="210"/>
      <c r="EBN241" s="210"/>
      <c r="EBO241" s="210"/>
      <c r="EBP241" s="210"/>
      <c r="EBQ241" s="210"/>
      <c r="EBR241" s="210"/>
      <c r="EBS241" s="210"/>
      <c r="EBT241" s="210"/>
      <c r="EBU241" s="210"/>
      <c r="EBV241" s="210"/>
      <c r="EBW241" s="210"/>
      <c r="EBX241" s="210"/>
      <c r="EBY241" s="210"/>
      <c r="EBZ241" s="210"/>
      <c r="ECA241" s="210"/>
      <c r="ECB241" s="210"/>
      <c r="ECC241" s="210"/>
      <c r="ECD241" s="210"/>
      <c r="ECE241" s="210"/>
      <c r="ECF241" s="210"/>
      <c r="ECG241" s="210"/>
      <c r="ECH241" s="210"/>
      <c r="ECI241" s="210"/>
      <c r="ECJ241" s="210"/>
      <c r="ECK241" s="210"/>
      <c r="ECL241" s="210"/>
      <c r="ECM241" s="210"/>
      <c r="ECN241" s="210"/>
      <c r="ECO241" s="210"/>
      <c r="ECP241" s="210"/>
      <c r="ECQ241" s="210"/>
      <c r="ECR241" s="210"/>
      <c r="ECS241" s="210"/>
      <c r="ECT241" s="210"/>
      <c r="ECU241" s="210"/>
      <c r="ECV241" s="210"/>
      <c r="ECW241" s="210"/>
      <c r="ECX241" s="210"/>
      <c r="ECY241" s="210"/>
      <c r="ECZ241" s="210"/>
      <c r="EDA241" s="210"/>
      <c r="EDB241" s="210"/>
      <c r="EDC241" s="210"/>
      <c r="EDD241" s="210"/>
      <c r="EDE241" s="210"/>
      <c r="EDF241" s="210"/>
      <c r="EDG241" s="210"/>
      <c r="EDH241" s="210"/>
      <c r="EDI241" s="210"/>
      <c r="EDJ241" s="210"/>
      <c r="EDK241" s="210"/>
      <c r="EDL241" s="210"/>
      <c r="EDM241" s="210"/>
      <c r="EDN241" s="210"/>
      <c r="EDO241" s="210"/>
      <c r="EDP241" s="210"/>
      <c r="EDQ241" s="210"/>
      <c r="EDR241" s="210"/>
      <c r="EDS241" s="210"/>
      <c r="EDT241" s="210"/>
      <c r="EDU241" s="210"/>
      <c r="EDV241" s="210"/>
      <c r="EDW241" s="210"/>
      <c r="EDX241" s="210"/>
      <c r="EDY241" s="210"/>
      <c r="EDZ241" s="210"/>
      <c r="EEA241" s="210"/>
      <c r="EEB241" s="210"/>
      <c r="EEC241" s="210"/>
      <c r="EED241" s="210"/>
      <c r="EEE241" s="210"/>
      <c r="EEF241" s="210"/>
      <c r="EEG241" s="210"/>
      <c r="EEH241" s="210"/>
      <c r="EEI241" s="210"/>
      <c r="EEJ241" s="210"/>
      <c r="EEK241" s="210"/>
      <c r="EEL241" s="210"/>
      <c r="EEM241" s="210"/>
      <c r="EEN241" s="210"/>
      <c r="EEO241" s="210"/>
      <c r="EEP241" s="210"/>
      <c r="EEQ241" s="210"/>
      <c r="EER241" s="210"/>
      <c r="EES241" s="210"/>
      <c r="EET241" s="210"/>
      <c r="EEU241" s="210"/>
      <c r="EEV241" s="210"/>
      <c r="EEW241" s="210"/>
      <c r="EEX241" s="210"/>
      <c r="EEY241" s="210"/>
      <c r="EEZ241" s="210"/>
      <c r="EFA241" s="210"/>
      <c r="EFB241" s="210"/>
      <c r="EFC241" s="210"/>
      <c r="EFD241" s="210"/>
      <c r="EFE241" s="210"/>
      <c r="EFF241" s="210"/>
      <c r="EFG241" s="210"/>
      <c r="EFH241" s="210"/>
      <c r="EFI241" s="210"/>
      <c r="EFJ241" s="210"/>
      <c r="EFK241" s="210"/>
      <c r="EFL241" s="210"/>
      <c r="EFM241" s="210"/>
      <c r="EFN241" s="210"/>
      <c r="EFO241" s="210"/>
      <c r="EFP241" s="210"/>
      <c r="EFQ241" s="210"/>
      <c r="EFR241" s="210"/>
      <c r="EFS241" s="210"/>
      <c r="EFT241" s="210"/>
      <c r="EFU241" s="210"/>
      <c r="EFV241" s="210"/>
      <c r="EFW241" s="210"/>
      <c r="EFX241" s="210"/>
      <c r="EFY241" s="210"/>
      <c r="EFZ241" s="210"/>
      <c r="EGA241" s="210"/>
      <c r="EGB241" s="210"/>
      <c r="EGC241" s="210"/>
      <c r="EGD241" s="210"/>
      <c r="EGE241" s="210"/>
      <c r="EGF241" s="210"/>
      <c r="EGG241" s="210"/>
      <c r="EGH241" s="210"/>
      <c r="EGI241" s="210"/>
      <c r="EGJ241" s="210"/>
      <c r="EGK241" s="210"/>
      <c r="EGL241" s="210"/>
      <c r="EGM241" s="210"/>
      <c r="EGN241" s="210"/>
      <c r="EGO241" s="210"/>
      <c r="EGP241" s="210"/>
      <c r="EGQ241" s="210"/>
      <c r="EGR241" s="210"/>
      <c r="EGS241" s="210"/>
      <c r="EGT241" s="210"/>
      <c r="EGU241" s="210"/>
      <c r="EGV241" s="210"/>
      <c r="EGW241" s="210"/>
      <c r="EGX241" s="210"/>
      <c r="EGY241" s="210"/>
      <c r="EGZ241" s="210"/>
      <c r="EHA241" s="210"/>
      <c r="EHB241" s="210"/>
      <c r="EHC241" s="210"/>
      <c r="EHD241" s="210"/>
      <c r="EHE241" s="210"/>
      <c r="EHF241" s="210"/>
      <c r="EHG241" s="210"/>
      <c r="EHH241" s="210"/>
      <c r="EHI241" s="210"/>
      <c r="EHJ241" s="210"/>
      <c r="EHK241" s="210"/>
      <c r="EHL241" s="210"/>
      <c r="EHM241" s="210"/>
      <c r="EHN241" s="210"/>
      <c r="EHO241" s="210"/>
      <c r="EHP241" s="210"/>
      <c r="EHQ241" s="210"/>
      <c r="EHR241" s="210"/>
      <c r="EHS241" s="210"/>
      <c r="EHT241" s="210"/>
      <c r="EHU241" s="210"/>
      <c r="EHV241" s="210"/>
      <c r="EHW241" s="210"/>
      <c r="EHX241" s="210"/>
      <c r="EHY241" s="210"/>
      <c r="EHZ241" s="210"/>
      <c r="EIA241" s="210"/>
      <c r="EIB241" s="210"/>
      <c r="EIC241" s="210"/>
      <c r="EID241" s="210"/>
      <c r="EIE241" s="210"/>
      <c r="EIF241" s="210"/>
      <c r="EIG241" s="210"/>
      <c r="EIH241" s="210"/>
      <c r="EII241" s="210"/>
      <c r="EIJ241" s="210"/>
      <c r="EIK241" s="210"/>
      <c r="EIL241" s="210"/>
      <c r="EIM241" s="210"/>
      <c r="EIN241" s="210"/>
      <c r="EIO241" s="210"/>
      <c r="EIP241" s="210"/>
      <c r="EIQ241" s="210"/>
      <c r="EIR241" s="210"/>
      <c r="EIS241" s="210"/>
      <c r="EIT241" s="210"/>
      <c r="EIU241" s="210"/>
      <c r="EIV241" s="210"/>
      <c r="EIW241" s="210"/>
      <c r="EIX241" s="210"/>
      <c r="EIY241" s="210"/>
      <c r="EIZ241" s="210"/>
      <c r="EJA241" s="210"/>
      <c r="EJB241" s="210"/>
      <c r="EJC241" s="210"/>
      <c r="EJD241" s="210"/>
      <c r="EJE241" s="210"/>
      <c r="EJF241" s="210"/>
      <c r="EJG241" s="210"/>
      <c r="EJH241" s="210"/>
      <c r="EJI241" s="210"/>
      <c r="EJJ241" s="210"/>
      <c r="EJK241" s="210"/>
      <c r="EJL241" s="210"/>
      <c r="EJM241" s="210"/>
      <c r="EJN241" s="210"/>
      <c r="EJO241" s="210"/>
      <c r="EJP241" s="210"/>
      <c r="EJQ241" s="210"/>
      <c r="EJR241" s="210"/>
      <c r="EJS241" s="210"/>
      <c r="EJT241" s="210"/>
      <c r="EJU241" s="210"/>
      <c r="EJV241" s="210"/>
      <c r="EJW241" s="210"/>
      <c r="EJX241" s="210"/>
      <c r="EJY241" s="210"/>
      <c r="EJZ241" s="210"/>
      <c r="EKA241" s="210"/>
      <c r="EKB241" s="210"/>
      <c r="EKC241" s="210"/>
      <c r="EKD241" s="210"/>
      <c r="EKE241" s="210"/>
      <c r="EKF241" s="210"/>
      <c r="EKG241" s="210"/>
      <c r="EKH241" s="210"/>
      <c r="EKI241" s="210"/>
      <c r="EKJ241" s="210"/>
      <c r="EKK241" s="210"/>
      <c r="EKL241" s="210"/>
      <c r="EKM241" s="210"/>
      <c r="EKN241" s="210"/>
      <c r="EKO241" s="210"/>
      <c r="EKP241" s="210"/>
      <c r="EKQ241" s="210"/>
      <c r="EKR241" s="210"/>
      <c r="EKS241" s="210"/>
      <c r="EKT241" s="210"/>
      <c r="EKU241" s="210"/>
      <c r="EKV241" s="210"/>
      <c r="EKW241" s="210"/>
      <c r="EKX241" s="210"/>
      <c r="EKY241" s="210"/>
      <c r="EKZ241" s="210"/>
      <c r="ELA241" s="210"/>
      <c r="ELB241" s="210"/>
      <c r="ELC241" s="210"/>
      <c r="ELD241" s="210"/>
      <c r="ELE241" s="210"/>
      <c r="ELF241" s="210"/>
      <c r="ELG241" s="210"/>
      <c r="ELH241" s="210"/>
      <c r="ELI241" s="210"/>
      <c r="ELJ241" s="210"/>
      <c r="ELK241" s="210"/>
      <c r="ELL241" s="210"/>
      <c r="ELM241" s="210"/>
      <c r="ELN241" s="210"/>
      <c r="ELO241" s="210"/>
      <c r="ELP241" s="210"/>
      <c r="ELQ241" s="210"/>
      <c r="ELR241" s="210"/>
      <c r="ELS241" s="210"/>
      <c r="ELT241" s="210"/>
      <c r="ELU241" s="210"/>
      <c r="ELV241" s="210"/>
      <c r="ELW241" s="210"/>
      <c r="ELX241" s="210"/>
      <c r="ELY241" s="210"/>
      <c r="ELZ241" s="210"/>
      <c r="EMA241" s="210"/>
      <c r="EMB241" s="210"/>
      <c r="EMC241" s="210"/>
      <c r="EMD241" s="210"/>
      <c r="EME241" s="210"/>
      <c r="EMF241" s="210"/>
      <c r="EMG241" s="210"/>
      <c r="EMH241" s="210"/>
      <c r="EMI241" s="210"/>
      <c r="EMJ241" s="210"/>
      <c r="EMK241" s="210"/>
      <c r="EML241" s="210"/>
      <c r="EMM241" s="210"/>
      <c r="EMN241" s="210"/>
      <c r="EMO241" s="210"/>
      <c r="EMP241" s="210"/>
      <c r="EMQ241" s="210"/>
      <c r="EMR241" s="210"/>
      <c r="EMS241" s="210"/>
      <c r="EMT241" s="210"/>
      <c r="EMU241" s="210"/>
      <c r="EMV241" s="210"/>
      <c r="EMW241" s="210"/>
      <c r="EMX241" s="210"/>
      <c r="EMY241" s="210"/>
      <c r="EMZ241" s="210"/>
      <c r="ENA241" s="210"/>
      <c r="ENB241" s="210"/>
      <c r="ENC241" s="210"/>
      <c r="END241" s="210"/>
      <c r="ENE241" s="210"/>
      <c r="ENF241" s="210"/>
      <c r="ENG241" s="210"/>
      <c r="ENH241" s="210"/>
      <c r="ENI241" s="210"/>
      <c r="ENJ241" s="210"/>
      <c r="ENK241" s="210"/>
      <c r="ENL241" s="210"/>
      <c r="ENM241" s="210"/>
      <c r="ENN241" s="210"/>
      <c r="ENO241" s="210"/>
      <c r="ENP241" s="210"/>
      <c r="ENQ241" s="210"/>
      <c r="ENR241" s="210"/>
      <c r="ENS241" s="210"/>
      <c r="ENT241" s="210"/>
      <c r="ENU241" s="210"/>
      <c r="ENV241" s="210"/>
      <c r="ENW241" s="210"/>
      <c r="ENX241" s="210"/>
      <c r="ENY241" s="210"/>
      <c r="ENZ241" s="210"/>
      <c r="EOA241" s="210"/>
      <c r="EOB241" s="210"/>
      <c r="EOC241" s="210"/>
      <c r="EOD241" s="210"/>
      <c r="EOE241" s="210"/>
      <c r="EOF241" s="210"/>
      <c r="EOG241" s="210"/>
      <c r="EOH241" s="210"/>
      <c r="EOI241" s="210"/>
      <c r="EOJ241" s="210"/>
      <c r="EOK241" s="210"/>
      <c r="EOL241" s="210"/>
      <c r="EOM241" s="210"/>
      <c r="EON241" s="210"/>
      <c r="EOO241" s="210"/>
      <c r="EOP241" s="210"/>
      <c r="EOQ241" s="210"/>
      <c r="EOR241" s="210"/>
      <c r="EOS241" s="210"/>
      <c r="EOT241" s="210"/>
      <c r="EOU241" s="210"/>
      <c r="EOV241" s="210"/>
      <c r="EOW241" s="210"/>
      <c r="EOX241" s="210"/>
      <c r="EOY241" s="210"/>
      <c r="EOZ241" s="210"/>
      <c r="EPA241" s="210"/>
      <c r="EPB241" s="210"/>
      <c r="EPC241" s="210"/>
      <c r="EPD241" s="210"/>
      <c r="EPE241" s="210"/>
      <c r="EPF241" s="210"/>
      <c r="EPG241" s="210"/>
      <c r="EPH241" s="210"/>
      <c r="EPI241" s="210"/>
      <c r="EPJ241" s="210"/>
      <c r="EPK241" s="210"/>
      <c r="EPL241" s="210"/>
      <c r="EPM241" s="210"/>
      <c r="EPN241" s="210"/>
      <c r="EPO241" s="210"/>
      <c r="EPP241" s="210"/>
      <c r="EPQ241" s="210"/>
      <c r="EPR241" s="210"/>
      <c r="EPS241" s="210"/>
      <c r="EPT241" s="210"/>
      <c r="EPU241" s="210"/>
      <c r="EPV241" s="210"/>
      <c r="EPW241" s="210"/>
      <c r="EPX241" s="210"/>
      <c r="EPY241" s="210"/>
      <c r="EPZ241" s="210"/>
      <c r="EQA241" s="210"/>
      <c r="EQB241" s="210"/>
      <c r="EQC241" s="210"/>
      <c r="EQD241" s="210"/>
      <c r="EQE241" s="210"/>
      <c r="EQF241" s="210"/>
      <c r="EQG241" s="210"/>
      <c r="EQH241" s="210"/>
      <c r="EQI241" s="210"/>
      <c r="EQJ241" s="210"/>
      <c r="EQK241" s="210"/>
      <c r="EQL241" s="210"/>
      <c r="EQM241" s="210"/>
      <c r="EQN241" s="210"/>
      <c r="EQO241" s="210"/>
      <c r="EQP241" s="210"/>
      <c r="EQQ241" s="210"/>
      <c r="EQR241" s="210"/>
      <c r="EQS241" s="210"/>
      <c r="EQT241" s="210"/>
      <c r="EQU241" s="210"/>
      <c r="EQV241" s="210"/>
      <c r="EQW241" s="210"/>
      <c r="EQX241" s="210"/>
      <c r="EQY241" s="210"/>
      <c r="EQZ241" s="210"/>
      <c r="ERA241" s="210"/>
      <c r="ERB241" s="210"/>
      <c r="ERC241" s="210"/>
      <c r="ERD241" s="210"/>
      <c r="ERE241" s="210"/>
      <c r="ERF241" s="210"/>
      <c r="ERG241" s="210"/>
      <c r="ERH241" s="210"/>
      <c r="ERI241" s="210"/>
      <c r="ERJ241" s="210"/>
      <c r="ERK241" s="210"/>
      <c r="ERL241" s="210"/>
      <c r="ERM241" s="210"/>
      <c r="ERN241" s="210"/>
      <c r="ERO241" s="210"/>
      <c r="ERP241" s="210"/>
      <c r="ERQ241" s="210"/>
      <c r="ERR241" s="210"/>
      <c r="ERS241" s="210"/>
      <c r="ERT241" s="210"/>
      <c r="ERU241" s="210"/>
      <c r="ERV241" s="210"/>
      <c r="ERW241" s="210"/>
      <c r="ERX241" s="210"/>
      <c r="ERY241" s="210"/>
      <c r="ERZ241" s="210"/>
      <c r="ESA241" s="210"/>
      <c r="ESB241" s="210"/>
      <c r="ESC241" s="210"/>
      <c r="ESD241" s="210"/>
      <c r="ESE241" s="210"/>
      <c r="ESF241" s="210"/>
      <c r="ESG241" s="210"/>
      <c r="ESH241" s="210"/>
      <c r="ESI241" s="210"/>
      <c r="ESJ241" s="210"/>
      <c r="ESK241" s="210"/>
      <c r="ESL241" s="210"/>
      <c r="ESM241" s="210"/>
      <c r="ESN241" s="210"/>
      <c r="ESO241" s="210"/>
      <c r="ESP241" s="210"/>
      <c r="ESQ241" s="210"/>
      <c r="ESR241" s="210"/>
      <c r="ESS241" s="210"/>
      <c r="EST241" s="210"/>
      <c r="ESU241" s="210"/>
      <c r="ESV241" s="210"/>
      <c r="ESW241" s="210"/>
      <c r="ESX241" s="210"/>
      <c r="ESY241" s="210"/>
      <c r="ESZ241" s="210"/>
      <c r="ETA241" s="210"/>
      <c r="ETB241" s="210"/>
      <c r="ETC241" s="210"/>
      <c r="ETD241" s="210"/>
      <c r="ETE241" s="210"/>
      <c r="ETF241" s="210"/>
      <c r="ETG241" s="210"/>
      <c r="ETH241" s="210"/>
      <c r="ETI241" s="210"/>
      <c r="ETJ241" s="210"/>
      <c r="ETK241" s="210"/>
      <c r="ETL241" s="210"/>
      <c r="ETM241" s="210"/>
      <c r="ETN241" s="210"/>
      <c r="ETO241" s="210"/>
      <c r="ETP241" s="210"/>
      <c r="ETQ241" s="210"/>
      <c r="ETR241" s="210"/>
      <c r="ETS241" s="210"/>
      <c r="ETT241" s="210"/>
      <c r="ETU241" s="210"/>
      <c r="ETV241" s="210"/>
      <c r="ETW241" s="210"/>
      <c r="ETX241" s="210"/>
      <c r="ETY241" s="210"/>
      <c r="ETZ241" s="210"/>
      <c r="EUA241" s="210"/>
      <c r="EUB241" s="210"/>
      <c r="EUC241" s="210"/>
      <c r="EUD241" s="210"/>
      <c r="EUE241" s="210"/>
      <c r="EUF241" s="210"/>
      <c r="EUG241" s="210"/>
      <c r="EUH241" s="210"/>
      <c r="EUI241" s="210"/>
      <c r="EUJ241" s="210"/>
      <c r="EUK241" s="210"/>
      <c r="EUL241" s="210"/>
      <c r="EUM241" s="210"/>
      <c r="EUN241" s="210"/>
      <c r="EUO241" s="210"/>
      <c r="EUP241" s="210"/>
      <c r="EUQ241" s="210"/>
      <c r="EUR241" s="210"/>
      <c r="EUS241" s="210"/>
      <c r="EUT241" s="210"/>
      <c r="EUU241" s="210"/>
      <c r="EUV241" s="210"/>
      <c r="EUW241" s="210"/>
      <c r="EUX241" s="210"/>
      <c r="EUY241" s="210"/>
      <c r="EUZ241" s="210"/>
      <c r="EVA241" s="210"/>
      <c r="EVB241" s="210"/>
      <c r="EVC241" s="210"/>
      <c r="EVD241" s="210"/>
      <c r="EVE241" s="210"/>
      <c r="EVF241" s="210"/>
      <c r="EVG241" s="210"/>
      <c r="EVH241" s="210"/>
      <c r="EVI241" s="210"/>
      <c r="EVJ241" s="210"/>
      <c r="EVK241" s="210"/>
      <c r="EVL241" s="210"/>
      <c r="EVM241" s="210"/>
      <c r="EVN241" s="210"/>
      <c r="EVO241" s="210"/>
      <c r="EVP241" s="210"/>
      <c r="EVQ241" s="210"/>
      <c r="EVR241" s="210"/>
      <c r="EVS241" s="210"/>
      <c r="EVT241" s="210"/>
      <c r="EVU241" s="210"/>
      <c r="EVV241" s="210"/>
      <c r="EVW241" s="210"/>
      <c r="EVX241" s="210"/>
      <c r="EVY241" s="210"/>
      <c r="EVZ241" s="210"/>
      <c r="EWA241" s="210"/>
      <c r="EWB241" s="210"/>
      <c r="EWC241" s="210"/>
      <c r="EWD241" s="210"/>
      <c r="EWE241" s="210"/>
      <c r="EWF241" s="210"/>
      <c r="EWG241" s="210"/>
      <c r="EWH241" s="210"/>
      <c r="EWI241" s="210"/>
      <c r="EWJ241" s="210"/>
      <c r="EWK241" s="210"/>
      <c r="EWL241" s="210"/>
      <c r="EWM241" s="210"/>
      <c r="EWN241" s="210"/>
      <c r="EWO241" s="210"/>
      <c r="EWP241" s="210"/>
      <c r="EWQ241" s="210"/>
      <c r="EWR241" s="210"/>
      <c r="EWS241" s="210"/>
      <c r="EWT241" s="210"/>
      <c r="EWU241" s="210"/>
      <c r="EWV241" s="210"/>
      <c r="EWW241" s="210"/>
      <c r="EWX241" s="210"/>
      <c r="EWY241" s="210"/>
      <c r="EWZ241" s="210"/>
      <c r="EXA241" s="210"/>
      <c r="EXB241" s="210"/>
      <c r="EXC241" s="210"/>
      <c r="EXD241" s="210"/>
      <c r="EXE241" s="210"/>
      <c r="EXF241" s="210"/>
      <c r="EXG241" s="210"/>
      <c r="EXH241" s="210"/>
      <c r="EXI241" s="210"/>
      <c r="EXJ241" s="210"/>
      <c r="EXK241" s="210"/>
      <c r="EXL241" s="210"/>
      <c r="EXM241" s="210"/>
      <c r="EXN241" s="210"/>
      <c r="EXO241" s="210"/>
      <c r="EXP241" s="210"/>
      <c r="EXQ241" s="210"/>
      <c r="EXR241" s="210"/>
      <c r="EXS241" s="210"/>
      <c r="EXT241" s="210"/>
      <c r="EXU241" s="210"/>
      <c r="EXV241" s="210"/>
      <c r="EXW241" s="210"/>
      <c r="EXX241" s="210"/>
      <c r="EXY241" s="210"/>
      <c r="EXZ241" s="210"/>
      <c r="EYA241" s="210"/>
      <c r="EYB241" s="210"/>
      <c r="EYC241" s="210"/>
      <c r="EYD241" s="210"/>
      <c r="EYE241" s="210"/>
      <c r="EYF241" s="210"/>
      <c r="EYG241" s="210"/>
      <c r="EYH241" s="210"/>
      <c r="EYI241" s="210"/>
      <c r="EYJ241" s="210"/>
      <c r="EYK241" s="210"/>
      <c r="EYL241" s="210"/>
      <c r="EYM241" s="210"/>
      <c r="EYN241" s="210"/>
      <c r="EYO241" s="210"/>
      <c r="EYP241" s="210"/>
      <c r="EYQ241" s="210"/>
      <c r="EYR241" s="210"/>
      <c r="EYS241" s="210"/>
      <c r="EYT241" s="210"/>
      <c r="EYU241" s="210"/>
      <c r="EYV241" s="210"/>
      <c r="EYW241" s="210"/>
      <c r="EYX241" s="210"/>
      <c r="EYY241" s="210"/>
      <c r="EYZ241" s="210"/>
      <c r="EZA241" s="210"/>
      <c r="EZB241" s="210"/>
      <c r="EZC241" s="210"/>
      <c r="EZD241" s="210"/>
      <c r="EZE241" s="210"/>
      <c r="EZF241" s="210"/>
      <c r="EZG241" s="210"/>
      <c r="EZH241" s="210"/>
      <c r="EZI241" s="210"/>
      <c r="EZJ241" s="210"/>
      <c r="EZK241" s="210"/>
      <c r="EZL241" s="210"/>
      <c r="EZM241" s="210"/>
      <c r="EZN241" s="210"/>
      <c r="EZO241" s="210"/>
      <c r="EZP241" s="210"/>
      <c r="EZQ241" s="210"/>
      <c r="EZR241" s="210"/>
      <c r="EZS241" s="210"/>
      <c r="EZT241" s="210"/>
      <c r="EZU241" s="210"/>
      <c r="EZV241" s="210"/>
      <c r="EZW241" s="210"/>
      <c r="EZX241" s="210"/>
      <c r="EZY241" s="210"/>
      <c r="EZZ241" s="210"/>
      <c r="FAA241" s="210"/>
      <c r="FAB241" s="210"/>
      <c r="FAC241" s="210"/>
      <c r="FAD241" s="210"/>
      <c r="FAE241" s="210"/>
      <c r="FAF241" s="210"/>
      <c r="FAG241" s="210"/>
      <c r="FAH241" s="210"/>
      <c r="FAI241" s="210"/>
      <c r="FAJ241" s="210"/>
      <c r="FAK241" s="210"/>
      <c r="FAL241" s="210"/>
      <c r="FAM241" s="210"/>
      <c r="FAN241" s="210"/>
      <c r="FAO241" s="210"/>
      <c r="FAP241" s="210"/>
      <c r="FAQ241" s="210"/>
      <c r="FAR241" s="210"/>
      <c r="FAS241" s="210"/>
      <c r="FAT241" s="210"/>
      <c r="FAU241" s="210"/>
      <c r="FAV241" s="210"/>
      <c r="FAW241" s="210"/>
      <c r="FAX241" s="210"/>
      <c r="FAY241" s="210"/>
      <c r="FAZ241" s="210"/>
      <c r="FBA241" s="210"/>
      <c r="FBB241" s="210"/>
      <c r="FBC241" s="210"/>
      <c r="FBD241" s="210"/>
      <c r="FBE241" s="210"/>
      <c r="FBF241" s="210"/>
      <c r="FBG241" s="210"/>
      <c r="FBH241" s="210"/>
      <c r="FBI241" s="210"/>
      <c r="FBJ241" s="210"/>
      <c r="FBK241" s="210"/>
      <c r="FBL241" s="210"/>
      <c r="FBM241" s="210"/>
      <c r="FBN241" s="210"/>
      <c r="FBO241" s="210"/>
      <c r="FBP241" s="210"/>
      <c r="FBQ241" s="210"/>
      <c r="FBR241" s="210"/>
      <c r="FBS241" s="210"/>
      <c r="FBT241" s="210"/>
      <c r="FBU241" s="210"/>
      <c r="FBV241" s="210"/>
      <c r="FBW241" s="210"/>
      <c r="FBX241" s="210"/>
      <c r="FBY241" s="210"/>
      <c r="FBZ241" s="210"/>
      <c r="FCA241" s="210"/>
      <c r="FCB241" s="210"/>
      <c r="FCC241" s="210"/>
      <c r="FCD241" s="210"/>
      <c r="FCE241" s="210"/>
      <c r="FCF241" s="210"/>
      <c r="FCG241" s="210"/>
      <c r="FCH241" s="210"/>
      <c r="FCI241" s="210"/>
      <c r="FCJ241" s="210"/>
      <c r="FCK241" s="210"/>
      <c r="FCL241" s="210"/>
      <c r="FCM241" s="210"/>
      <c r="FCN241" s="210"/>
      <c r="FCO241" s="210"/>
      <c r="FCP241" s="210"/>
      <c r="FCQ241" s="210"/>
      <c r="FCR241" s="210"/>
      <c r="FCS241" s="210"/>
      <c r="FCT241" s="210"/>
      <c r="FCU241" s="210"/>
      <c r="FCV241" s="210"/>
      <c r="FCW241" s="210"/>
      <c r="FCX241" s="210"/>
      <c r="FCY241" s="210"/>
      <c r="FCZ241" s="210"/>
      <c r="FDA241" s="210"/>
      <c r="FDB241" s="210"/>
      <c r="FDC241" s="210"/>
      <c r="FDD241" s="210"/>
      <c r="FDE241" s="210"/>
      <c r="FDF241" s="210"/>
      <c r="FDG241" s="210"/>
      <c r="FDH241" s="210"/>
      <c r="FDI241" s="210"/>
      <c r="FDJ241" s="210"/>
      <c r="FDK241" s="210"/>
      <c r="FDL241" s="210"/>
      <c r="FDM241" s="210"/>
      <c r="FDN241" s="210"/>
      <c r="FDO241" s="210"/>
      <c r="FDP241" s="210"/>
      <c r="FDQ241" s="210"/>
      <c r="FDR241" s="210"/>
      <c r="FDS241" s="210"/>
      <c r="FDT241" s="210"/>
      <c r="FDU241" s="210"/>
      <c r="FDV241" s="210"/>
      <c r="FDW241" s="210"/>
      <c r="FDX241" s="210"/>
      <c r="FDY241" s="210"/>
      <c r="FDZ241" s="210"/>
      <c r="FEA241" s="210"/>
      <c r="FEB241" s="210"/>
      <c r="FEC241" s="210"/>
      <c r="FED241" s="210"/>
      <c r="FEE241" s="210"/>
      <c r="FEF241" s="210"/>
      <c r="FEG241" s="210"/>
      <c r="FEH241" s="210"/>
      <c r="FEI241" s="210"/>
      <c r="FEJ241" s="210"/>
      <c r="FEK241" s="210"/>
      <c r="FEL241" s="210"/>
      <c r="FEM241" s="210"/>
      <c r="FEN241" s="210"/>
      <c r="FEO241" s="210"/>
      <c r="FEP241" s="210"/>
      <c r="FEQ241" s="210"/>
      <c r="FER241" s="210"/>
      <c r="FES241" s="210"/>
      <c r="FET241" s="210"/>
      <c r="FEU241" s="210"/>
      <c r="FEV241" s="210"/>
      <c r="FEW241" s="210"/>
      <c r="FEX241" s="210"/>
      <c r="FEY241" s="210"/>
      <c r="FEZ241" s="210"/>
      <c r="FFA241" s="210"/>
      <c r="FFB241" s="210"/>
      <c r="FFC241" s="210"/>
      <c r="FFD241" s="210"/>
      <c r="FFE241" s="210"/>
      <c r="FFF241" s="210"/>
      <c r="FFG241" s="210"/>
      <c r="FFH241" s="210"/>
      <c r="FFI241" s="210"/>
      <c r="FFJ241" s="210"/>
      <c r="FFK241" s="210"/>
      <c r="FFL241" s="210"/>
      <c r="FFM241" s="210"/>
      <c r="FFN241" s="210"/>
      <c r="FFO241" s="210"/>
      <c r="FFP241" s="210"/>
      <c r="FFQ241" s="210"/>
      <c r="FFR241" s="210"/>
      <c r="FFS241" s="210"/>
      <c r="FFT241" s="210"/>
      <c r="FFU241" s="210"/>
      <c r="FFV241" s="210"/>
      <c r="FFW241" s="210"/>
      <c r="FFX241" s="210"/>
      <c r="FFY241" s="210"/>
      <c r="FFZ241" s="210"/>
      <c r="FGA241" s="210"/>
      <c r="FGB241" s="210"/>
      <c r="FGC241" s="210"/>
      <c r="FGD241" s="210"/>
      <c r="FGE241" s="210"/>
      <c r="FGF241" s="210"/>
      <c r="FGG241" s="210"/>
      <c r="FGH241" s="210"/>
      <c r="FGI241" s="210"/>
      <c r="FGJ241" s="210"/>
      <c r="FGK241" s="210"/>
      <c r="FGL241" s="210"/>
      <c r="FGM241" s="210"/>
      <c r="FGN241" s="210"/>
      <c r="FGO241" s="210"/>
      <c r="FGP241" s="210"/>
      <c r="FGQ241" s="210"/>
      <c r="FGR241" s="210"/>
      <c r="FGS241" s="210"/>
      <c r="FGT241" s="210"/>
      <c r="FGU241" s="210"/>
      <c r="FGV241" s="210"/>
      <c r="FGW241" s="210"/>
      <c r="FGX241" s="210"/>
      <c r="FGY241" s="210"/>
      <c r="FGZ241" s="210"/>
      <c r="FHA241" s="210"/>
      <c r="FHB241" s="210"/>
      <c r="FHC241" s="210"/>
      <c r="FHD241" s="210"/>
      <c r="FHE241" s="210"/>
      <c r="FHF241" s="210"/>
      <c r="FHG241" s="210"/>
      <c r="FHH241" s="210"/>
      <c r="FHI241" s="210"/>
      <c r="FHJ241" s="210"/>
      <c r="FHK241" s="210"/>
      <c r="FHL241" s="210"/>
      <c r="FHM241" s="210"/>
      <c r="FHN241" s="210"/>
      <c r="FHO241" s="210"/>
      <c r="FHP241" s="210"/>
      <c r="FHQ241" s="210"/>
      <c r="FHR241" s="210"/>
      <c r="FHS241" s="210"/>
      <c r="FHT241" s="210"/>
      <c r="FHU241" s="210"/>
      <c r="FHV241" s="210"/>
      <c r="FHW241" s="210"/>
      <c r="FHX241" s="210"/>
      <c r="FHY241" s="210"/>
      <c r="FHZ241" s="210"/>
      <c r="FIA241" s="210"/>
      <c r="FIB241" s="210"/>
      <c r="FIC241" s="210"/>
      <c r="FID241" s="210"/>
      <c r="FIE241" s="210"/>
      <c r="FIF241" s="210"/>
      <c r="FIG241" s="210"/>
      <c r="FIH241" s="210"/>
      <c r="FII241" s="210"/>
      <c r="FIJ241" s="210"/>
      <c r="FIK241" s="210"/>
      <c r="FIL241" s="210"/>
      <c r="FIM241" s="210"/>
      <c r="FIN241" s="210"/>
      <c r="FIO241" s="210"/>
      <c r="FIP241" s="210"/>
      <c r="FIQ241" s="210"/>
      <c r="FIR241" s="210"/>
      <c r="FIS241" s="210"/>
      <c r="FIT241" s="210"/>
      <c r="FIU241" s="210"/>
      <c r="FIV241" s="210"/>
      <c r="FIW241" s="210"/>
      <c r="FIX241" s="210"/>
      <c r="FIY241" s="210"/>
      <c r="FIZ241" s="210"/>
      <c r="FJA241" s="210"/>
      <c r="FJB241" s="210"/>
      <c r="FJC241" s="210"/>
      <c r="FJD241" s="210"/>
      <c r="FJE241" s="210"/>
      <c r="FJF241" s="210"/>
      <c r="FJG241" s="210"/>
      <c r="FJH241" s="210"/>
      <c r="FJI241" s="210"/>
      <c r="FJJ241" s="210"/>
      <c r="FJK241" s="210"/>
      <c r="FJL241" s="210"/>
      <c r="FJM241" s="210"/>
      <c r="FJN241" s="210"/>
      <c r="FJO241" s="210"/>
      <c r="FJP241" s="210"/>
      <c r="FJQ241" s="210"/>
      <c r="FJR241" s="210"/>
      <c r="FJS241" s="210"/>
      <c r="FJT241" s="210"/>
      <c r="FJU241" s="210"/>
      <c r="FJV241" s="210"/>
      <c r="FJW241" s="210"/>
      <c r="FJX241" s="210"/>
      <c r="FJY241" s="210"/>
      <c r="FJZ241" s="210"/>
      <c r="FKA241" s="210"/>
      <c r="FKB241" s="210"/>
      <c r="FKC241" s="210"/>
      <c r="FKD241" s="210"/>
      <c r="FKE241" s="210"/>
      <c r="FKF241" s="210"/>
      <c r="FKG241" s="210"/>
      <c r="FKH241" s="210"/>
      <c r="FKI241" s="210"/>
      <c r="FKJ241" s="210"/>
      <c r="FKK241" s="210"/>
      <c r="FKL241" s="210"/>
      <c r="FKM241" s="210"/>
      <c r="FKN241" s="210"/>
      <c r="FKO241" s="210"/>
      <c r="FKP241" s="210"/>
      <c r="FKQ241" s="210"/>
      <c r="FKR241" s="210"/>
      <c r="FKS241" s="210"/>
      <c r="FKT241" s="210"/>
      <c r="FKU241" s="210"/>
      <c r="FKV241" s="210"/>
      <c r="FKW241" s="210"/>
      <c r="FKX241" s="210"/>
      <c r="FKY241" s="210"/>
      <c r="FKZ241" s="210"/>
      <c r="FLA241" s="210"/>
      <c r="FLB241" s="210"/>
      <c r="FLC241" s="210"/>
      <c r="FLD241" s="210"/>
      <c r="FLE241" s="210"/>
      <c r="FLF241" s="210"/>
      <c r="FLG241" s="210"/>
      <c r="FLH241" s="210"/>
      <c r="FLI241" s="210"/>
      <c r="FLJ241" s="210"/>
      <c r="FLK241" s="210"/>
      <c r="FLL241" s="210"/>
      <c r="FLM241" s="210"/>
      <c r="FLN241" s="210"/>
      <c r="FLO241" s="210"/>
      <c r="FLP241" s="210"/>
      <c r="FLQ241" s="210"/>
      <c r="FLR241" s="210"/>
      <c r="FLS241" s="210"/>
      <c r="FLT241" s="210"/>
      <c r="FLU241" s="210"/>
      <c r="FLV241" s="210"/>
      <c r="FLW241" s="210"/>
      <c r="FLX241" s="210"/>
      <c r="FLY241" s="210"/>
      <c r="FLZ241" s="210"/>
      <c r="FMA241" s="210"/>
      <c r="FMB241" s="210"/>
      <c r="FMC241" s="210"/>
      <c r="FMD241" s="210"/>
      <c r="FME241" s="210"/>
      <c r="FMF241" s="210"/>
      <c r="FMG241" s="210"/>
      <c r="FMH241" s="210"/>
      <c r="FMI241" s="210"/>
      <c r="FMJ241" s="210"/>
      <c r="FMK241" s="210"/>
      <c r="FML241" s="210"/>
      <c r="FMM241" s="210"/>
      <c r="FMN241" s="210"/>
      <c r="FMO241" s="210"/>
      <c r="FMP241" s="210"/>
      <c r="FMQ241" s="210"/>
      <c r="FMR241" s="210"/>
      <c r="FMS241" s="210"/>
      <c r="FMT241" s="210"/>
      <c r="FMU241" s="210"/>
      <c r="FMV241" s="210"/>
      <c r="FMW241" s="210"/>
      <c r="FMX241" s="210"/>
      <c r="FMY241" s="210"/>
      <c r="FMZ241" s="210"/>
      <c r="FNA241" s="210"/>
      <c r="FNB241" s="210"/>
      <c r="FNC241" s="210"/>
      <c r="FND241" s="210"/>
      <c r="FNE241" s="210"/>
      <c r="FNF241" s="210"/>
      <c r="FNG241" s="210"/>
      <c r="FNH241" s="210"/>
      <c r="FNI241" s="210"/>
      <c r="FNJ241" s="210"/>
      <c r="FNK241" s="210"/>
      <c r="FNL241" s="210"/>
      <c r="FNM241" s="210"/>
      <c r="FNN241" s="210"/>
      <c r="FNO241" s="210"/>
      <c r="FNP241" s="210"/>
      <c r="FNQ241" s="210"/>
      <c r="FNR241" s="210"/>
      <c r="FNS241" s="210"/>
      <c r="FNT241" s="210"/>
      <c r="FNU241" s="210"/>
      <c r="FNV241" s="210"/>
      <c r="FNW241" s="210"/>
      <c r="FNX241" s="210"/>
      <c r="FNY241" s="210"/>
      <c r="FNZ241" s="210"/>
      <c r="FOA241" s="210"/>
      <c r="FOB241" s="210"/>
      <c r="FOC241" s="210"/>
      <c r="FOD241" s="210"/>
      <c r="FOE241" s="210"/>
      <c r="FOF241" s="210"/>
      <c r="FOG241" s="210"/>
      <c r="FOH241" s="210"/>
      <c r="FOI241" s="210"/>
      <c r="FOJ241" s="210"/>
      <c r="FOK241" s="210"/>
      <c r="FOL241" s="210"/>
      <c r="FOM241" s="210"/>
      <c r="FON241" s="210"/>
      <c r="FOO241" s="210"/>
      <c r="FOP241" s="210"/>
      <c r="FOQ241" s="210"/>
      <c r="FOR241" s="210"/>
      <c r="FOS241" s="210"/>
      <c r="FOT241" s="210"/>
      <c r="FOU241" s="210"/>
      <c r="FOV241" s="210"/>
      <c r="FOW241" s="210"/>
      <c r="FOX241" s="210"/>
      <c r="FOY241" s="210"/>
      <c r="FOZ241" s="210"/>
      <c r="FPA241" s="210"/>
      <c r="FPB241" s="210"/>
      <c r="FPC241" s="210"/>
      <c r="FPD241" s="210"/>
      <c r="FPE241" s="210"/>
      <c r="FPF241" s="210"/>
      <c r="FPG241" s="210"/>
      <c r="FPH241" s="210"/>
      <c r="FPI241" s="210"/>
      <c r="FPJ241" s="210"/>
      <c r="FPK241" s="210"/>
      <c r="FPL241" s="210"/>
      <c r="FPM241" s="210"/>
      <c r="FPN241" s="210"/>
      <c r="FPO241" s="210"/>
      <c r="FPP241" s="210"/>
      <c r="FPQ241" s="210"/>
      <c r="FPR241" s="210"/>
      <c r="FPS241" s="210"/>
      <c r="FPT241" s="210"/>
      <c r="FPU241" s="210"/>
      <c r="FPV241" s="210"/>
      <c r="FPW241" s="210"/>
      <c r="FPX241" s="210"/>
      <c r="FPY241" s="210"/>
      <c r="FPZ241" s="210"/>
      <c r="FQA241" s="210"/>
      <c r="FQB241" s="210"/>
      <c r="FQC241" s="210"/>
      <c r="FQD241" s="210"/>
      <c r="FQE241" s="210"/>
      <c r="FQF241" s="210"/>
      <c r="FQG241" s="210"/>
      <c r="FQH241" s="210"/>
      <c r="FQI241" s="210"/>
      <c r="FQJ241" s="210"/>
      <c r="FQK241" s="210"/>
      <c r="FQL241" s="210"/>
      <c r="FQM241" s="210"/>
      <c r="FQN241" s="210"/>
      <c r="FQO241" s="210"/>
      <c r="FQP241" s="210"/>
      <c r="FQQ241" s="210"/>
      <c r="FQR241" s="210"/>
      <c r="FQS241" s="210"/>
      <c r="FQT241" s="210"/>
      <c r="FQU241" s="210"/>
      <c r="FQV241" s="210"/>
      <c r="FQW241" s="210"/>
      <c r="FQX241" s="210"/>
      <c r="FQY241" s="210"/>
      <c r="FQZ241" s="210"/>
      <c r="FRA241" s="210"/>
      <c r="FRB241" s="210"/>
      <c r="FRC241" s="210"/>
      <c r="FRD241" s="210"/>
      <c r="FRE241" s="210"/>
      <c r="FRF241" s="210"/>
      <c r="FRG241" s="210"/>
      <c r="FRH241" s="210"/>
      <c r="FRI241" s="210"/>
      <c r="FRJ241" s="210"/>
      <c r="FRK241" s="210"/>
      <c r="FRL241" s="210"/>
      <c r="FRM241" s="210"/>
      <c r="FRN241" s="210"/>
      <c r="FRO241" s="210"/>
      <c r="FRP241" s="210"/>
      <c r="FRQ241" s="210"/>
      <c r="FRR241" s="210"/>
      <c r="FRS241" s="210"/>
      <c r="FRT241" s="210"/>
      <c r="FRU241" s="210"/>
      <c r="FRV241" s="210"/>
      <c r="FRW241" s="210"/>
      <c r="FRX241" s="210"/>
      <c r="FRY241" s="210"/>
      <c r="FRZ241" s="210"/>
      <c r="FSA241" s="210"/>
      <c r="FSB241" s="210"/>
      <c r="FSC241" s="210"/>
      <c r="FSD241" s="210"/>
      <c r="FSE241" s="210"/>
      <c r="FSF241" s="210"/>
      <c r="FSG241" s="210"/>
      <c r="FSH241" s="210"/>
      <c r="FSI241" s="210"/>
      <c r="FSJ241" s="210"/>
      <c r="FSK241" s="210"/>
      <c r="FSL241" s="210"/>
      <c r="FSM241" s="210"/>
      <c r="FSN241" s="210"/>
      <c r="FSO241" s="210"/>
      <c r="FSP241" s="210"/>
      <c r="FSQ241" s="210"/>
      <c r="FSR241" s="210"/>
      <c r="FSS241" s="210"/>
      <c r="FST241" s="210"/>
      <c r="FSU241" s="210"/>
      <c r="FSV241" s="210"/>
      <c r="FSW241" s="210"/>
      <c r="FSX241" s="210"/>
      <c r="FSY241" s="210"/>
      <c r="FSZ241" s="210"/>
      <c r="FTA241" s="210"/>
      <c r="FTB241" s="210"/>
      <c r="FTC241" s="210"/>
      <c r="FTD241" s="210"/>
      <c r="FTE241" s="210"/>
      <c r="FTF241" s="210"/>
      <c r="FTG241" s="210"/>
      <c r="FTH241" s="210"/>
      <c r="FTI241" s="210"/>
      <c r="FTJ241" s="210"/>
      <c r="FTK241" s="210"/>
      <c r="FTL241" s="210"/>
      <c r="FTM241" s="210"/>
      <c r="FTN241" s="210"/>
      <c r="FTO241" s="210"/>
      <c r="FTP241" s="210"/>
      <c r="FTQ241" s="210"/>
      <c r="FTR241" s="210"/>
      <c r="FTS241" s="210"/>
      <c r="FTT241" s="210"/>
      <c r="FTU241" s="210"/>
      <c r="FTV241" s="210"/>
      <c r="FTW241" s="210"/>
      <c r="FTX241" s="210"/>
      <c r="FTY241" s="210"/>
      <c r="FTZ241" s="210"/>
      <c r="FUA241" s="210"/>
      <c r="FUB241" s="210"/>
      <c r="FUC241" s="210"/>
      <c r="FUD241" s="210"/>
      <c r="FUE241" s="210"/>
      <c r="FUF241" s="210"/>
      <c r="FUG241" s="210"/>
      <c r="FUH241" s="210"/>
      <c r="FUI241" s="210"/>
      <c r="FUJ241" s="210"/>
      <c r="FUK241" s="210"/>
      <c r="FUL241" s="210"/>
      <c r="FUM241" s="210"/>
      <c r="FUN241" s="210"/>
      <c r="FUO241" s="210"/>
      <c r="FUP241" s="210"/>
      <c r="FUQ241" s="210"/>
      <c r="FUR241" s="210"/>
      <c r="FUS241" s="210"/>
      <c r="FUT241" s="210"/>
      <c r="FUU241" s="210"/>
      <c r="FUV241" s="210"/>
      <c r="FUW241" s="210"/>
      <c r="FUX241" s="210"/>
      <c r="FUY241" s="210"/>
      <c r="FUZ241" s="210"/>
      <c r="FVA241" s="210"/>
      <c r="FVB241" s="210"/>
      <c r="FVC241" s="210"/>
      <c r="FVD241" s="210"/>
      <c r="FVE241" s="210"/>
      <c r="FVF241" s="210"/>
      <c r="FVG241" s="210"/>
      <c r="FVH241" s="210"/>
      <c r="FVI241" s="210"/>
      <c r="FVJ241" s="210"/>
      <c r="FVK241" s="210"/>
      <c r="FVL241" s="210"/>
      <c r="FVM241" s="210"/>
      <c r="FVN241" s="210"/>
      <c r="FVO241" s="210"/>
      <c r="FVP241" s="210"/>
      <c r="FVQ241" s="210"/>
      <c r="FVR241" s="210"/>
      <c r="FVS241" s="210"/>
      <c r="FVT241" s="210"/>
      <c r="FVU241" s="210"/>
      <c r="FVV241" s="210"/>
      <c r="FVW241" s="210"/>
      <c r="FVX241" s="210"/>
      <c r="FVY241" s="210"/>
      <c r="FVZ241" s="210"/>
      <c r="FWA241" s="210"/>
      <c r="FWB241" s="210"/>
      <c r="FWC241" s="210"/>
      <c r="FWD241" s="210"/>
      <c r="FWE241" s="210"/>
      <c r="FWF241" s="210"/>
      <c r="FWG241" s="210"/>
      <c r="FWH241" s="210"/>
      <c r="FWI241" s="210"/>
      <c r="FWJ241" s="210"/>
      <c r="FWK241" s="210"/>
      <c r="FWL241" s="210"/>
      <c r="FWM241" s="210"/>
      <c r="FWN241" s="210"/>
      <c r="FWO241" s="210"/>
      <c r="FWP241" s="210"/>
      <c r="FWQ241" s="210"/>
      <c r="FWR241" s="210"/>
      <c r="FWS241" s="210"/>
      <c r="FWT241" s="210"/>
      <c r="FWU241" s="210"/>
      <c r="FWV241" s="210"/>
      <c r="FWW241" s="210"/>
      <c r="FWX241" s="210"/>
      <c r="FWY241" s="210"/>
      <c r="FWZ241" s="210"/>
      <c r="FXA241" s="210"/>
      <c r="FXB241" s="210"/>
      <c r="FXC241" s="210"/>
      <c r="FXD241" s="210"/>
      <c r="FXE241" s="210"/>
      <c r="FXF241" s="210"/>
      <c r="FXG241" s="210"/>
      <c r="FXH241" s="210"/>
      <c r="FXI241" s="210"/>
      <c r="FXJ241" s="210"/>
      <c r="FXK241" s="210"/>
      <c r="FXL241" s="210"/>
      <c r="FXM241" s="210"/>
      <c r="FXN241" s="210"/>
      <c r="FXO241" s="210"/>
      <c r="FXP241" s="210"/>
      <c r="FXQ241" s="210"/>
      <c r="FXR241" s="210"/>
      <c r="FXS241" s="210"/>
      <c r="FXT241" s="210"/>
      <c r="FXU241" s="210"/>
      <c r="FXV241" s="210"/>
      <c r="FXW241" s="210"/>
      <c r="FXX241" s="210"/>
      <c r="FXY241" s="210"/>
      <c r="FXZ241" s="210"/>
      <c r="FYA241" s="210"/>
      <c r="FYB241" s="210"/>
      <c r="FYC241" s="210"/>
      <c r="FYD241" s="210"/>
      <c r="FYE241" s="210"/>
      <c r="FYF241" s="210"/>
      <c r="FYG241" s="210"/>
      <c r="FYH241" s="210"/>
      <c r="FYI241" s="210"/>
      <c r="FYJ241" s="210"/>
      <c r="FYK241" s="210"/>
      <c r="FYL241" s="210"/>
      <c r="FYM241" s="210"/>
      <c r="FYN241" s="210"/>
      <c r="FYO241" s="210"/>
      <c r="FYP241" s="210"/>
      <c r="FYQ241" s="210"/>
      <c r="FYR241" s="210"/>
      <c r="FYS241" s="210"/>
      <c r="FYT241" s="210"/>
      <c r="FYU241" s="210"/>
      <c r="FYV241" s="210"/>
      <c r="FYW241" s="210"/>
      <c r="FYX241" s="210"/>
      <c r="FYY241" s="210"/>
      <c r="FYZ241" s="210"/>
      <c r="FZA241" s="210"/>
      <c r="FZB241" s="210"/>
      <c r="FZC241" s="210"/>
      <c r="FZD241" s="210"/>
      <c r="FZE241" s="210"/>
      <c r="FZF241" s="210"/>
      <c r="FZG241" s="210"/>
      <c r="FZH241" s="210"/>
      <c r="FZI241" s="210"/>
      <c r="FZJ241" s="210"/>
      <c r="FZK241" s="210"/>
      <c r="FZL241" s="210"/>
      <c r="FZM241" s="210"/>
      <c r="FZN241" s="210"/>
      <c r="FZO241" s="210"/>
      <c r="FZP241" s="210"/>
      <c r="FZQ241" s="210"/>
      <c r="FZR241" s="210"/>
      <c r="FZS241" s="210"/>
      <c r="FZT241" s="210"/>
      <c r="FZU241" s="210"/>
      <c r="FZV241" s="210"/>
      <c r="FZW241" s="210"/>
      <c r="FZX241" s="210"/>
      <c r="FZY241" s="210"/>
      <c r="FZZ241" s="210"/>
      <c r="GAA241" s="210"/>
      <c r="GAB241" s="210"/>
      <c r="GAC241" s="210"/>
      <c r="GAD241" s="210"/>
      <c r="GAE241" s="210"/>
      <c r="GAF241" s="210"/>
      <c r="GAG241" s="210"/>
      <c r="GAH241" s="210"/>
      <c r="GAI241" s="210"/>
      <c r="GAJ241" s="210"/>
      <c r="GAK241" s="210"/>
      <c r="GAL241" s="210"/>
      <c r="GAM241" s="210"/>
      <c r="GAN241" s="210"/>
      <c r="GAO241" s="210"/>
      <c r="GAP241" s="210"/>
      <c r="GAQ241" s="210"/>
      <c r="GAR241" s="210"/>
      <c r="GAS241" s="210"/>
      <c r="GAT241" s="210"/>
      <c r="GAU241" s="210"/>
      <c r="GAV241" s="210"/>
      <c r="GAW241" s="210"/>
      <c r="GAX241" s="210"/>
      <c r="GAY241" s="210"/>
      <c r="GAZ241" s="210"/>
      <c r="GBA241" s="210"/>
      <c r="GBB241" s="210"/>
      <c r="GBC241" s="210"/>
      <c r="GBD241" s="210"/>
      <c r="GBE241" s="210"/>
      <c r="GBF241" s="210"/>
      <c r="GBG241" s="210"/>
      <c r="GBH241" s="210"/>
      <c r="GBI241" s="210"/>
      <c r="GBJ241" s="210"/>
      <c r="GBK241" s="210"/>
      <c r="GBL241" s="210"/>
      <c r="GBM241" s="210"/>
      <c r="GBN241" s="210"/>
      <c r="GBO241" s="210"/>
      <c r="GBP241" s="210"/>
      <c r="GBQ241" s="210"/>
      <c r="GBR241" s="210"/>
      <c r="GBS241" s="210"/>
      <c r="GBT241" s="210"/>
      <c r="GBU241" s="210"/>
      <c r="GBV241" s="210"/>
      <c r="GBW241" s="210"/>
      <c r="GBX241" s="210"/>
      <c r="GBY241" s="210"/>
      <c r="GBZ241" s="210"/>
      <c r="GCA241" s="210"/>
      <c r="GCB241" s="210"/>
      <c r="GCC241" s="210"/>
      <c r="GCD241" s="210"/>
      <c r="GCE241" s="210"/>
      <c r="GCF241" s="210"/>
      <c r="GCG241" s="210"/>
      <c r="GCH241" s="210"/>
      <c r="GCI241" s="210"/>
      <c r="GCJ241" s="210"/>
      <c r="GCK241" s="210"/>
      <c r="GCL241" s="210"/>
      <c r="GCM241" s="210"/>
      <c r="GCN241" s="210"/>
      <c r="GCO241" s="210"/>
      <c r="GCP241" s="210"/>
      <c r="GCQ241" s="210"/>
      <c r="GCR241" s="210"/>
      <c r="GCS241" s="210"/>
      <c r="GCT241" s="210"/>
      <c r="GCU241" s="210"/>
      <c r="GCV241" s="210"/>
      <c r="GCW241" s="210"/>
      <c r="GCX241" s="210"/>
      <c r="GCY241" s="210"/>
      <c r="GCZ241" s="210"/>
      <c r="GDA241" s="210"/>
      <c r="GDB241" s="210"/>
      <c r="GDC241" s="210"/>
      <c r="GDD241" s="210"/>
      <c r="GDE241" s="210"/>
      <c r="GDF241" s="210"/>
      <c r="GDG241" s="210"/>
      <c r="GDH241" s="210"/>
      <c r="GDI241" s="210"/>
      <c r="GDJ241" s="210"/>
      <c r="GDK241" s="210"/>
      <c r="GDL241" s="210"/>
      <c r="GDM241" s="210"/>
      <c r="GDN241" s="210"/>
      <c r="GDO241" s="210"/>
      <c r="GDP241" s="210"/>
      <c r="GDQ241" s="210"/>
      <c r="GDR241" s="210"/>
      <c r="GDS241" s="210"/>
      <c r="GDT241" s="210"/>
      <c r="GDU241" s="210"/>
      <c r="GDV241" s="210"/>
      <c r="GDW241" s="210"/>
      <c r="GDX241" s="210"/>
      <c r="GDY241" s="210"/>
      <c r="GDZ241" s="210"/>
      <c r="GEA241" s="210"/>
      <c r="GEB241" s="210"/>
      <c r="GEC241" s="210"/>
      <c r="GED241" s="210"/>
      <c r="GEE241" s="210"/>
      <c r="GEF241" s="210"/>
      <c r="GEG241" s="210"/>
      <c r="GEH241" s="210"/>
      <c r="GEI241" s="210"/>
      <c r="GEJ241" s="210"/>
      <c r="GEK241" s="210"/>
      <c r="GEL241" s="210"/>
      <c r="GEM241" s="210"/>
      <c r="GEN241" s="210"/>
      <c r="GEO241" s="210"/>
      <c r="GEP241" s="210"/>
      <c r="GEQ241" s="210"/>
      <c r="GER241" s="210"/>
      <c r="GES241" s="210"/>
      <c r="GET241" s="210"/>
      <c r="GEU241" s="210"/>
      <c r="GEV241" s="210"/>
      <c r="GEW241" s="210"/>
      <c r="GEX241" s="210"/>
      <c r="GEY241" s="210"/>
      <c r="GEZ241" s="210"/>
      <c r="GFA241" s="210"/>
      <c r="GFB241" s="210"/>
      <c r="GFC241" s="210"/>
      <c r="GFD241" s="210"/>
      <c r="GFE241" s="210"/>
      <c r="GFF241" s="210"/>
      <c r="GFG241" s="210"/>
      <c r="GFH241" s="210"/>
      <c r="GFI241" s="210"/>
      <c r="GFJ241" s="210"/>
      <c r="GFK241" s="210"/>
      <c r="GFL241" s="210"/>
      <c r="GFM241" s="210"/>
      <c r="GFN241" s="210"/>
      <c r="GFO241" s="210"/>
      <c r="GFP241" s="210"/>
      <c r="GFQ241" s="210"/>
      <c r="GFR241" s="210"/>
      <c r="GFS241" s="210"/>
      <c r="GFT241" s="210"/>
      <c r="GFU241" s="210"/>
      <c r="GFV241" s="210"/>
      <c r="GFW241" s="210"/>
      <c r="GFX241" s="210"/>
      <c r="GFY241" s="210"/>
      <c r="GFZ241" s="210"/>
      <c r="GGA241" s="210"/>
      <c r="GGB241" s="210"/>
      <c r="GGC241" s="210"/>
      <c r="GGD241" s="210"/>
      <c r="GGE241" s="210"/>
      <c r="GGF241" s="210"/>
      <c r="GGG241" s="210"/>
      <c r="GGH241" s="210"/>
      <c r="GGI241" s="210"/>
      <c r="GGJ241" s="210"/>
      <c r="GGK241" s="210"/>
      <c r="GGL241" s="210"/>
      <c r="GGM241" s="210"/>
      <c r="GGN241" s="210"/>
      <c r="GGO241" s="210"/>
      <c r="GGP241" s="210"/>
      <c r="GGQ241" s="210"/>
      <c r="GGR241" s="210"/>
      <c r="GGS241" s="210"/>
      <c r="GGT241" s="210"/>
      <c r="GGU241" s="210"/>
      <c r="GGV241" s="210"/>
      <c r="GGW241" s="210"/>
      <c r="GGX241" s="210"/>
      <c r="GGY241" s="210"/>
      <c r="GGZ241" s="210"/>
      <c r="GHA241" s="210"/>
      <c r="GHB241" s="210"/>
      <c r="GHC241" s="210"/>
      <c r="GHD241" s="210"/>
      <c r="GHE241" s="210"/>
      <c r="GHF241" s="210"/>
      <c r="GHG241" s="210"/>
      <c r="GHH241" s="210"/>
      <c r="GHI241" s="210"/>
      <c r="GHJ241" s="210"/>
      <c r="GHK241" s="210"/>
      <c r="GHL241" s="210"/>
      <c r="GHM241" s="210"/>
      <c r="GHN241" s="210"/>
      <c r="GHO241" s="210"/>
      <c r="GHP241" s="210"/>
      <c r="GHQ241" s="210"/>
      <c r="GHR241" s="210"/>
      <c r="GHS241" s="210"/>
      <c r="GHT241" s="210"/>
      <c r="GHU241" s="210"/>
      <c r="GHV241" s="210"/>
      <c r="GHW241" s="210"/>
      <c r="GHX241" s="210"/>
      <c r="GHY241" s="210"/>
      <c r="GHZ241" s="210"/>
      <c r="GIA241" s="210"/>
      <c r="GIB241" s="210"/>
      <c r="GIC241" s="210"/>
      <c r="GID241" s="210"/>
      <c r="GIE241" s="210"/>
      <c r="GIF241" s="210"/>
      <c r="GIG241" s="210"/>
      <c r="GIH241" s="210"/>
      <c r="GII241" s="210"/>
      <c r="GIJ241" s="210"/>
      <c r="GIK241" s="210"/>
      <c r="GIL241" s="210"/>
      <c r="GIM241" s="210"/>
      <c r="GIN241" s="210"/>
      <c r="GIO241" s="210"/>
      <c r="GIP241" s="210"/>
      <c r="GIQ241" s="210"/>
      <c r="GIR241" s="210"/>
      <c r="GIS241" s="210"/>
      <c r="GIT241" s="210"/>
      <c r="GIU241" s="210"/>
      <c r="GIV241" s="210"/>
      <c r="GIW241" s="210"/>
      <c r="GIX241" s="210"/>
      <c r="GIY241" s="210"/>
      <c r="GIZ241" s="210"/>
      <c r="GJA241" s="210"/>
      <c r="GJB241" s="210"/>
      <c r="GJC241" s="210"/>
      <c r="GJD241" s="210"/>
      <c r="GJE241" s="210"/>
      <c r="GJF241" s="210"/>
      <c r="GJG241" s="210"/>
      <c r="GJH241" s="210"/>
      <c r="GJI241" s="210"/>
      <c r="GJJ241" s="210"/>
      <c r="GJK241" s="210"/>
      <c r="GJL241" s="210"/>
      <c r="GJM241" s="210"/>
      <c r="GJN241" s="210"/>
      <c r="GJO241" s="210"/>
      <c r="GJP241" s="210"/>
      <c r="GJQ241" s="210"/>
      <c r="GJR241" s="210"/>
      <c r="GJS241" s="210"/>
      <c r="GJT241" s="210"/>
      <c r="GJU241" s="210"/>
      <c r="GJV241" s="210"/>
      <c r="GJW241" s="210"/>
      <c r="GJX241" s="210"/>
      <c r="GJY241" s="210"/>
      <c r="GJZ241" s="210"/>
      <c r="GKA241" s="210"/>
      <c r="GKB241" s="210"/>
      <c r="GKC241" s="210"/>
      <c r="GKD241" s="210"/>
      <c r="GKE241" s="210"/>
      <c r="GKF241" s="210"/>
      <c r="GKG241" s="210"/>
      <c r="GKH241" s="210"/>
      <c r="GKI241" s="210"/>
      <c r="GKJ241" s="210"/>
      <c r="GKK241" s="210"/>
      <c r="GKL241" s="210"/>
      <c r="GKM241" s="210"/>
      <c r="GKN241" s="210"/>
      <c r="GKO241" s="210"/>
      <c r="GKP241" s="210"/>
      <c r="GKQ241" s="210"/>
      <c r="GKR241" s="210"/>
      <c r="GKS241" s="210"/>
      <c r="GKT241" s="210"/>
      <c r="GKU241" s="210"/>
      <c r="GKV241" s="210"/>
      <c r="GKW241" s="210"/>
      <c r="GKX241" s="210"/>
      <c r="GKY241" s="210"/>
      <c r="GKZ241" s="210"/>
      <c r="GLA241" s="210"/>
      <c r="GLB241" s="210"/>
      <c r="GLC241" s="210"/>
      <c r="GLD241" s="210"/>
      <c r="GLE241" s="210"/>
      <c r="GLF241" s="210"/>
      <c r="GLG241" s="210"/>
      <c r="GLH241" s="210"/>
      <c r="GLI241" s="210"/>
      <c r="GLJ241" s="210"/>
      <c r="GLK241" s="210"/>
      <c r="GLL241" s="210"/>
      <c r="GLM241" s="210"/>
      <c r="GLN241" s="210"/>
      <c r="GLO241" s="210"/>
      <c r="GLP241" s="210"/>
      <c r="GLQ241" s="210"/>
      <c r="GLR241" s="210"/>
      <c r="GLS241" s="210"/>
      <c r="GLT241" s="210"/>
      <c r="GLU241" s="210"/>
      <c r="GLV241" s="210"/>
      <c r="GLW241" s="210"/>
      <c r="GLX241" s="210"/>
      <c r="GLY241" s="210"/>
      <c r="GLZ241" s="210"/>
      <c r="GMA241" s="210"/>
      <c r="GMB241" s="210"/>
      <c r="GMC241" s="210"/>
      <c r="GMD241" s="210"/>
      <c r="GME241" s="210"/>
      <c r="GMF241" s="210"/>
      <c r="GMG241" s="210"/>
      <c r="GMH241" s="210"/>
      <c r="GMI241" s="210"/>
      <c r="GMJ241" s="210"/>
      <c r="GMK241" s="210"/>
      <c r="GML241" s="210"/>
      <c r="GMM241" s="210"/>
      <c r="GMN241" s="210"/>
      <c r="GMO241" s="210"/>
      <c r="GMP241" s="210"/>
      <c r="GMQ241" s="210"/>
      <c r="GMR241" s="210"/>
      <c r="GMS241" s="210"/>
      <c r="GMT241" s="210"/>
      <c r="GMU241" s="210"/>
      <c r="GMV241" s="210"/>
      <c r="GMW241" s="210"/>
      <c r="GMX241" s="210"/>
      <c r="GMY241" s="210"/>
      <c r="GMZ241" s="210"/>
      <c r="GNA241" s="210"/>
      <c r="GNB241" s="210"/>
      <c r="GNC241" s="210"/>
      <c r="GND241" s="210"/>
      <c r="GNE241" s="210"/>
      <c r="GNF241" s="210"/>
      <c r="GNG241" s="210"/>
      <c r="GNH241" s="210"/>
      <c r="GNI241" s="210"/>
      <c r="GNJ241" s="210"/>
      <c r="GNK241" s="210"/>
      <c r="GNL241" s="210"/>
      <c r="GNM241" s="210"/>
      <c r="GNN241" s="210"/>
      <c r="GNO241" s="210"/>
      <c r="GNP241" s="210"/>
      <c r="GNQ241" s="210"/>
      <c r="GNR241" s="210"/>
      <c r="GNS241" s="210"/>
      <c r="GNT241" s="210"/>
      <c r="GNU241" s="210"/>
      <c r="GNV241" s="210"/>
      <c r="GNW241" s="210"/>
      <c r="GNX241" s="210"/>
      <c r="GNY241" s="210"/>
      <c r="GNZ241" s="210"/>
      <c r="GOA241" s="210"/>
      <c r="GOB241" s="210"/>
      <c r="GOC241" s="210"/>
      <c r="GOD241" s="210"/>
      <c r="GOE241" s="210"/>
      <c r="GOF241" s="210"/>
      <c r="GOG241" s="210"/>
      <c r="GOH241" s="210"/>
      <c r="GOI241" s="210"/>
      <c r="GOJ241" s="210"/>
      <c r="GOK241" s="210"/>
      <c r="GOL241" s="210"/>
      <c r="GOM241" s="210"/>
      <c r="GON241" s="210"/>
      <c r="GOO241" s="210"/>
      <c r="GOP241" s="210"/>
      <c r="GOQ241" s="210"/>
      <c r="GOR241" s="210"/>
      <c r="GOS241" s="210"/>
      <c r="GOT241" s="210"/>
      <c r="GOU241" s="210"/>
      <c r="GOV241" s="210"/>
      <c r="GOW241" s="210"/>
      <c r="GOX241" s="210"/>
      <c r="GOY241" s="210"/>
      <c r="GOZ241" s="210"/>
      <c r="GPA241" s="210"/>
      <c r="GPB241" s="210"/>
      <c r="GPC241" s="210"/>
      <c r="GPD241" s="210"/>
      <c r="GPE241" s="210"/>
      <c r="GPF241" s="210"/>
      <c r="GPG241" s="210"/>
      <c r="GPH241" s="210"/>
      <c r="GPI241" s="210"/>
      <c r="GPJ241" s="210"/>
      <c r="GPK241" s="210"/>
      <c r="GPL241" s="210"/>
      <c r="GPM241" s="210"/>
      <c r="GPN241" s="210"/>
      <c r="GPO241" s="210"/>
      <c r="GPP241" s="210"/>
      <c r="GPQ241" s="210"/>
      <c r="GPR241" s="210"/>
      <c r="GPS241" s="210"/>
      <c r="GPT241" s="210"/>
      <c r="GPU241" s="210"/>
      <c r="GPV241" s="210"/>
      <c r="GPW241" s="210"/>
      <c r="GPX241" s="210"/>
      <c r="GPY241" s="210"/>
      <c r="GPZ241" s="210"/>
      <c r="GQA241" s="210"/>
      <c r="GQB241" s="210"/>
      <c r="GQC241" s="210"/>
      <c r="GQD241" s="210"/>
      <c r="GQE241" s="210"/>
      <c r="GQF241" s="210"/>
      <c r="GQG241" s="210"/>
      <c r="GQH241" s="210"/>
      <c r="GQI241" s="210"/>
      <c r="GQJ241" s="210"/>
      <c r="GQK241" s="210"/>
      <c r="GQL241" s="210"/>
      <c r="GQM241" s="210"/>
      <c r="GQN241" s="210"/>
      <c r="GQO241" s="210"/>
      <c r="GQP241" s="210"/>
      <c r="GQQ241" s="210"/>
      <c r="GQR241" s="210"/>
      <c r="GQS241" s="210"/>
      <c r="GQT241" s="210"/>
      <c r="GQU241" s="210"/>
      <c r="GQV241" s="210"/>
      <c r="GQW241" s="210"/>
      <c r="GQX241" s="210"/>
      <c r="GQY241" s="210"/>
      <c r="GQZ241" s="210"/>
      <c r="GRA241" s="210"/>
      <c r="GRB241" s="210"/>
      <c r="GRC241" s="210"/>
      <c r="GRD241" s="210"/>
      <c r="GRE241" s="210"/>
      <c r="GRF241" s="210"/>
      <c r="GRG241" s="210"/>
      <c r="GRH241" s="210"/>
      <c r="GRI241" s="210"/>
      <c r="GRJ241" s="210"/>
      <c r="GRK241" s="210"/>
      <c r="GRL241" s="210"/>
      <c r="GRM241" s="210"/>
      <c r="GRN241" s="210"/>
      <c r="GRO241" s="210"/>
      <c r="GRP241" s="210"/>
      <c r="GRQ241" s="210"/>
      <c r="GRR241" s="210"/>
      <c r="GRS241" s="210"/>
      <c r="GRT241" s="210"/>
      <c r="GRU241" s="210"/>
      <c r="GRV241" s="210"/>
      <c r="GRW241" s="210"/>
      <c r="GRX241" s="210"/>
      <c r="GRY241" s="210"/>
      <c r="GRZ241" s="210"/>
      <c r="GSA241" s="210"/>
      <c r="GSB241" s="210"/>
      <c r="GSC241" s="210"/>
      <c r="GSD241" s="210"/>
      <c r="GSE241" s="210"/>
      <c r="GSF241" s="210"/>
      <c r="GSG241" s="210"/>
      <c r="GSH241" s="210"/>
      <c r="GSI241" s="210"/>
      <c r="GSJ241" s="210"/>
      <c r="GSK241" s="210"/>
      <c r="GSL241" s="210"/>
      <c r="GSM241" s="210"/>
      <c r="GSN241" s="210"/>
      <c r="GSO241" s="210"/>
      <c r="GSP241" s="210"/>
      <c r="GSQ241" s="210"/>
      <c r="GSR241" s="210"/>
      <c r="GSS241" s="210"/>
      <c r="GST241" s="210"/>
      <c r="GSU241" s="210"/>
      <c r="GSV241" s="210"/>
      <c r="GSW241" s="210"/>
      <c r="GSX241" s="210"/>
      <c r="GSY241" s="210"/>
      <c r="GSZ241" s="210"/>
      <c r="GTA241" s="210"/>
      <c r="GTB241" s="210"/>
      <c r="GTC241" s="210"/>
      <c r="GTD241" s="210"/>
      <c r="GTE241" s="210"/>
      <c r="GTF241" s="210"/>
      <c r="GTG241" s="210"/>
      <c r="GTH241" s="210"/>
      <c r="GTI241" s="210"/>
      <c r="GTJ241" s="210"/>
      <c r="GTK241" s="210"/>
      <c r="GTL241" s="210"/>
      <c r="GTM241" s="210"/>
      <c r="GTN241" s="210"/>
      <c r="GTO241" s="210"/>
      <c r="GTP241" s="210"/>
      <c r="GTQ241" s="210"/>
      <c r="GTR241" s="210"/>
      <c r="GTS241" s="210"/>
      <c r="GTT241" s="210"/>
      <c r="GTU241" s="210"/>
      <c r="GTV241" s="210"/>
      <c r="GTW241" s="210"/>
      <c r="GTX241" s="210"/>
      <c r="GTY241" s="210"/>
      <c r="GTZ241" s="210"/>
      <c r="GUA241" s="210"/>
      <c r="GUB241" s="210"/>
      <c r="GUC241" s="210"/>
      <c r="GUD241" s="210"/>
      <c r="GUE241" s="210"/>
      <c r="GUF241" s="210"/>
      <c r="GUG241" s="210"/>
      <c r="GUH241" s="210"/>
      <c r="GUI241" s="210"/>
      <c r="GUJ241" s="210"/>
      <c r="GUK241" s="210"/>
      <c r="GUL241" s="210"/>
      <c r="GUM241" s="210"/>
      <c r="GUN241" s="210"/>
      <c r="GUO241" s="210"/>
      <c r="GUP241" s="210"/>
      <c r="GUQ241" s="210"/>
      <c r="GUR241" s="210"/>
      <c r="GUS241" s="210"/>
      <c r="GUT241" s="210"/>
      <c r="GUU241" s="210"/>
      <c r="GUV241" s="210"/>
      <c r="GUW241" s="210"/>
      <c r="GUX241" s="210"/>
      <c r="GUY241" s="210"/>
      <c r="GUZ241" s="210"/>
      <c r="GVA241" s="210"/>
      <c r="GVB241" s="210"/>
      <c r="GVC241" s="210"/>
      <c r="GVD241" s="210"/>
      <c r="GVE241" s="210"/>
      <c r="GVF241" s="210"/>
      <c r="GVG241" s="210"/>
      <c r="GVH241" s="210"/>
      <c r="GVI241" s="210"/>
      <c r="GVJ241" s="210"/>
      <c r="GVK241" s="210"/>
      <c r="GVL241" s="210"/>
      <c r="GVM241" s="210"/>
      <c r="GVN241" s="210"/>
      <c r="GVO241" s="210"/>
      <c r="GVP241" s="210"/>
      <c r="GVQ241" s="210"/>
      <c r="GVR241" s="210"/>
      <c r="GVS241" s="210"/>
      <c r="GVT241" s="210"/>
      <c r="GVU241" s="210"/>
      <c r="GVV241" s="210"/>
      <c r="GVW241" s="210"/>
      <c r="GVX241" s="210"/>
      <c r="GVY241" s="210"/>
      <c r="GVZ241" s="210"/>
      <c r="GWA241" s="210"/>
      <c r="GWB241" s="210"/>
      <c r="GWC241" s="210"/>
      <c r="GWD241" s="210"/>
      <c r="GWE241" s="210"/>
      <c r="GWF241" s="210"/>
      <c r="GWG241" s="210"/>
      <c r="GWH241" s="210"/>
      <c r="GWI241" s="210"/>
      <c r="GWJ241" s="210"/>
      <c r="GWK241" s="210"/>
      <c r="GWL241" s="210"/>
      <c r="GWM241" s="210"/>
      <c r="GWN241" s="210"/>
      <c r="GWO241" s="210"/>
      <c r="GWP241" s="210"/>
      <c r="GWQ241" s="210"/>
      <c r="GWR241" s="210"/>
      <c r="GWS241" s="210"/>
      <c r="GWT241" s="210"/>
      <c r="GWU241" s="210"/>
      <c r="GWV241" s="210"/>
      <c r="GWW241" s="210"/>
      <c r="GWX241" s="210"/>
      <c r="GWY241" s="210"/>
      <c r="GWZ241" s="210"/>
      <c r="GXA241" s="210"/>
      <c r="GXB241" s="210"/>
      <c r="GXC241" s="210"/>
      <c r="GXD241" s="210"/>
      <c r="GXE241" s="210"/>
      <c r="GXF241" s="210"/>
      <c r="GXG241" s="210"/>
      <c r="GXH241" s="210"/>
      <c r="GXI241" s="210"/>
      <c r="GXJ241" s="210"/>
      <c r="GXK241" s="210"/>
      <c r="GXL241" s="210"/>
      <c r="GXM241" s="210"/>
      <c r="GXN241" s="210"/>
      <c r="GXO241" s="210"/>
      <c r="GXP241" s="210"/>
      <c r="GXQ241" s="210"/>
      <c r="GXR241" s="210"/>
      <c r="GXS241" s="210"/>
      <c r="GXT241" s="210"/>
      <c r="GXU241" s="210"/>
      <c r="GXV241" s="210"/>
      <c r="GXW241" s="210"/>
      <c r="GXX241" s="210"/>
      <c r="GXY241" s="210"/>
      <c r="GXZ241" s="210"/>
      <c r="GYA241" s="210"/>
      <c r="GYB241" s="210"/>
      <c r="GYC241" s="210"/>
      <c r="GYD241" s="210"/>
      <c r="GYE241" s="210"/>
      <c r="GYF241" s="210"/>
      <c r="GYG241" s="210"/>
      <c r="GYH241" s="210"/>
      <c r="GYI241" s="210"/>
      <c r="GYJ241" s="210"/>
      <c r="GYK241" s="210"/>
      <c r="GYL241" s="210"/>
      <c r="GYM241" s="210"/>
      <c r="GYN241" s="210"/>
      <c r="GYO241" s="210"/>
      <c r="GYP241" s="210"/>
      <c r="GYQ241" s="210"/>
      <c r="GYR241" s="210"/>
      <c r="GYS241" s="210"/>
      <c r="GYT241" s="210"/>
      <c r="GYU241" s="210"/>
      <c r="GYV241" s="210"/>
      <c r="GYW241" s="210"/>
      <c r="GYX241" s="210"/>
      <c r="GYY241" s="210"/>
      <c r="GYZ241" s="210"/>
      <c r="GZA241" s="210"/>
      <c r="GZB241" s="210"/>
      <c r="GZC241" s="210"/>
      <c r="GZD241" s="210"/>
      <c r="GZE241" s="210"/>
      <c r="GZF241" s="210"/>
      <c r="GZG241" s="210"/>
      <c r="GZH241" s="210"/>
      <c r="GZI241" s="210"/>
      <c r="GZJ241" s="210"/>
      <c r="GZK241" s="210"/>
      <c r="GZL241" s="210"/>
      <c r="GZM241" s="210"/>
      <c r="GZN241" s="210"/>
      <c r="GZO241" s="210"/>
      <c r="GZP241" s="210"/>
      <c r="GZQ241" s="210"/>
      <c r="GZR241" s="210"/>
      <c r="GZS241" s="210"/>
      <c r="GZT241" s="210"/>
      <c r="GZU241" s="210"/>
      <c r="GZV241" s="210"/>
      <c r="GZW241" s="210"/>
      <c r="GZX241" s="210"/>
      <c r="GZY241" s="210"/>
      <c r="GZZ241" s="210"/>
      <c r="HAA241" s="210"/>
      <c r="HAB241" s="210"/>
      <c r="HAC241" s="210"/>
      <c r="HAD241" s="210"/>
      <c r="HAE241" s="210"/>
      <c r="HAF241" s="210"/>
      <c r="HAG241" s="210"/>
      <c r="HAH241" s="210"/>
      <c r="HAI241" s="210"/>
      <c r="HAJ241" s="210"/>
      <c r="HAK241" s="210"/>
      <c r="HAL241" s="210"/>
      <c r="HAM241" s="210"/>
      <c r="HAN241" s="210"/>
      <c r="HAO241" s="210"/>
      <c r="HAP241" s="210"/>
      <c r="HAQ241" s="210"/>
      <c r="HAR241" s="210"/>
      <c r="HAS241" s="210"/>
      <c r="HAT241" s="210"/>
      <c r="HAU241" s="210"/>
      <c r="HAV241" s="210"/>
      <c r="HAW241" s="210"/>
      <c r="HAX241" s="210"/>
      <c r="HAY241" s="210"/>
      <c r="HAZ241" s="210"/>
      <c r="HBA241" s="210"/>
      <c r="HBB241" s="210"/>
      <c r="HBC241" s="210"/>
      <c r="HBD241" s="210"/>
      <c r="HBE241" s="210"/>
      <c r="HBF241" s="210"/>
      <c r="HBG241" s="210"/>
      <c r="HBH241" s="210"/>
      <c r="HBI241" s="210"/>
      <c r="HBJ241" s="210"/>
      <c r="HBK241" s="210"/>
      <c r="HBL241" s="210"/>
      <c r="HBM241" s="210"/>
      <c r="HBN241" s="210"/>
      <c r="HBO241" s="210"/>
      <c r="HBP241" s="210"/>
      <c r="HBQ241" s="210"/>
      <c r="HBR241" s="210"/>
      <c r="HBS241" s="210"/>
      <c r="HBT241" s="210"/>
      <c r="HBU241" s="210"/>
      <c r="HBV241" s="210"/>
      <c r="HBW241" s="210"/>
      <c r="HBX241" s="210"/>
      <c r="HBY241" s="210"/>
      <c r="HBZ241" s="210"/>
      <c r="HCA241" s="210"/>
      <c r="HCB241" s="210"/>
      <c r="HCC241" s="210"/>
      <c r="HCD241" s="210"/>
      <c r="HCE241" s="210"/>
      <c r="HCF241" s="210"/>
      <c r="HCG241" s="210"/>
      <c r="HCH241" s="210"/>
      <c r="HCI241" s="210"/>
      <c r="HCJ241" s="210"/>
      <c r="HCK241" s="210"/>
      <c r="HCL241" s="210"/>
      <c r="HCM241" s="210"/>
      <c r="HCN241" s="210"/>
      <c r="HCO241" s="210"/>
      <c r="HCP241" s="210"/>
      <c r="HCQ241" s="210"/>
      <c r="HCR241" s="210"/>
      <c r="HCS241" s="210"/>
      <c r="HCT241" s="210"/>
      <c r="HCU241" s="210"/>
      <c r="HCV241" s="210"/>
      <c r="HCW241" s="210"/>
      <c r="HCX241" s="210"/>
      <c r="HCY241" s="210"/>
      <c r="HCZ241" s="210"/>
      <c r="HDA241" s="210"/>
      <c r="HDB241" s="210"/>
      <c r="HDC241" s="210"/>
      <c r="HDD241" s="210"/>
      <c r="HDE241" s="210"/>
      <c r="HDF241" s="210"/>
      <c r="HDG241" s="210"/>
      <c r="HDH241" s="210"/>
      <c r="HDI241" s="210"/>
      <c r="HDJ241" s="210"/>
      <c r="HDK241" s="210"/>
      <c r="HDL241" s="210"/>
      <c r="HDM241" s="210"/>
      <c r="HDN241" s="210"/>
      <c r="HDO241" s="210"/>
      <c r="HDP241" s="210"/>
      <c r="HDQ241" s="210"/>
      <c r="HDR241" s="210"/>
      <c r="HDS241" s="210"/>
      <c r="HDT241" s="210"/>
      <c r="HDU241" s="210"/>
      <c r="HDV241" s="210"/>
      <c r="HDW241" s="210"/>
      <c r="HDX241" s="210"/>
      <c r="HDY241" s="210"/>
      <c r="HDZ241" s="210"/>
      <c r="HEA241" s="210"/>
      <c r="HEB241" s="210"/>
      <c r="HEC241" s="210"/>
      <c r="HED241" s="210"/>
      <c r="HEE241" s="210"/>
      <c r="HEF241" s="210"/>
      <c r="HEG241" s="210"/>
      <c r="HEH241" s="210"/>
      <c r="HEI241" s="210"/>
      <c r="HEJ241" s="210"/>
      <c r="HEK241" s="210"/>
      <c r="HEL241" s="210"/>
      <c r="HEM241" s="210"/>
      <c r="HEN241" s="210"/>
      <c r="HEO241" s="210"/>
      <c r="HEP241" s="210"/>
      <c r="HEQ241" s="210"/>
      <c r="HER241" s="210"/>
      <c r="HES241" s="210"/>
      <c r="HET241" s="210"/>
      <c r="HEU241" s="210"/>
      <c r="HEV241" s="210"/>
      <c r="HEW241" s="210"/>
      <c r="HEX241" s="210"/>
      <c r="HEY241" s="210"/>
      <c r="HEZ241" s="210"/>
      <c r="HFA241" s="210"/>
      <c r="HFB241" s="210"/>
      <c r="HFC241" s="210"/>
      <c r="HFD241" s="210"/>
      <c r="HFE241" s="210"/>
      <c r="HFF241" s="210"/>
      <c r="HFG241" s="210"/>
      <c r="HFH241" s="210"/>
      <c r="HFI241" s="210"/>
      <c r="HFJ241" s="210"/>
      <c r="HFK241" s="210"/>
      <c r="HFL241" s="210"/>
      <c r="HFM241" s="210"/>
      <c r="HFN241" s="210"/>
      <c r="HFO241" s="210"/>
      <c r="HFP241" s="210"/>
      <c r="HFQ241" s="210"/>
      <c r="HFR241" s="210"/>
      <c r="HFS241" s="210"/>
      <c r="HFT241" s="210"/>
      <c r="HFU241" s="210"/>
      <c r="HFV241" s="210"/>
      <c r="HFW241" s="210"/>
      <c r="HFX241" s="210"/>
      <c r="HFY241" s="210"/>
      <c r="HFZ241" s="210"/>
      <c r="HGA241" s="210"/>
      <c r="HGB241" s="210"/>
      <c r="HGC241" s="210"/>
      <c r="HGD241" s="210"/>
      <c r="HGE241" s="210"/>
      <c r="HGF241" s="210"/>
      <c r="HGG241" s="210"/>
      <c r="HGH241" s="210"/>
      <c r="HGI241" s="210"/>
      <c r="HGJ241" s="210"/>
      <c r="HGK241" s="210"/>
      <c r="HGL241" s="210"/>
      <c r="HGM241" s="210"/>
      <c r="HGN241" s="210"/>
      <c r="HGO241" s="210"/>
      <c r="HGP241" s="210"/>
      <c r="HGQ241" s="210"/>
      <c r="HGR241" s="210"/>
      <c r="HGS241" s="210"/>
      <c r="HGT241" s="210"/>
      <c r="HGU241" s="210"/>
      <c r="HGV241" s="210"/>
      <c r="HGW241" s="210"/>
      <c r="HGX241" s="210"/>
      <c r="HGY241" s="210"/>
      <c r="HGZ241" s="210"/>
      <c r="HHA241" s="210"/>
      <c r="HHB241" s="210"/>
      <c r="HHC241" s="210"/>
      <c r="HHD241" s="210"/>
      <c r="HHE241" s="210"/>
      <c r="HHF241" s="210"/>
      <c r="HHG241" s="210"/>
      <c r="HHH241" s="210"/>
      <c r="HHI241" s="210"/>
      <c r="HHJ241" s="210"/>
      <c r="HHK241" s="210"/>
      <c r="HHL241" s="210"/>
      <c r="HHM241" s="210"/>
      <c r="HHN241" s="210"/>
      <c r="HHO241" s="210"/>
      <c r="HHP241" s="210"/>
      <c r="HHQ241" s="210"/>
      <c r="HHR241" s="210"/>
      <c r="HHS241" s="210"/>
      <c r="HHT241" s="210"/>
      <c r="HHU241" s="210"/>
      <c r="HHV241" s="210"/>
      <c r="HHW241" s="210"/>
      <c r="HHX241" s="210"/>
      <c r="HHY241" s="210"/>
      <c r="HHZ241" s="210"/>
      <c r="HIA241" s="210"/>
      <c r="HIB241" s="210"/>
      <c r="HIC241" s="210"/>
      <c r="HID241" s="210"/>
      <c r="HIE241" s="210"/>
      <c r="HIF241" s="210"/>
      <c r="HIG241" s="210"/>
      <c r="HIH241" s="210"/>
      <c r="HII241" s="210"/>
      <c r="HIJ241" s="210"/>
      <c r="HIK241" s="210"/>
      <c r="HIL241" s="210"/>
      <c r="HIM241" s="210"/>
      <c r="HIN241" s="210"/>
      <c r="HIO241" s="210"/>
      <c r="HIP241" s="210"/>
      <c r="HIQ241" s="210"/>
      <c r="HIR241" s="210"/>
      <c r="HIS241" s="210"/>
      <c r="HIT241" s="210"/>
      <c r="HIU241" s="210"/>
      <c r="HIV241" s="210"/>
      <c r="HIW241" s="210"/>
      <c r="HIX241" s="210"/>
      <c r="HIY241" s="210"/>
      <c r="HIZ241" s="210"/>
      <c r="HJA241" s="210"/>
      <c r="HJB241" s="210"/>
      <c r="HJC241" s="210"/>
      <c r="HJD241" s="210"/>
      <c r="HJE241" s="210"/>
      <c r="HJF241" s="210"/>
      <c r="HJG241" s="210"/>
      <c r="HJH241" s="210"/>
      <c r="HJI241" s="210"/>
      <c r="HJJ241" s="210"/>
      <c r="HJK241" s="210"/>
      <c r="HJL241" s="210"/>
      <c r="HJM241" s="210"/>
      <c r="HJN241" s="210"/>
      <c r="HJO241" s="210"/>
      <c r="HJP241" s="210"/>
      <c r="HJQ241" s="210"/>
      <c r="HJR241" s="210"/>
      <c r="HJS241" s="210"/>
      <c r="HJT241" s="210"/>
      <c r="HJU241" s="210"/>
      <c r="HJV241" s="210"/>
      <c r="HJW241" s="210"/>
      <c r="HJX241" s="210"/>
      <c r="HJY241" s="210"/>
      <c r="HJZ241" s="210"/>
      <c r="HKA241" s="210"/>
      <c r="HKB241" s="210"/>
      <c r="HKC241" s="210"/>
      <c r="HKD241" s="210"/>
      <c r="HKE241" s="210"/>
      <c r="HKF241" s="210"/>
      <c r="HKG241" s="210"/>
      <c r="HKH241" s="210"/>
      <c r="HKI241" s="210"/>
      <c r="HKJ241" s="210"/>
      <c r="HKK241" s="210"/>
      <c r="HKL241" s="210"/>
      <c r="HKM241" s="210"/>
      <c r="HKN241" s="210"/>
      <c r="HKO241" s="210"/>
      <c r="HKP241" s="210"/>
      <c r="HKQ241" s="210"/>
      <c r="HKR241" s="210"/>
      <c r="HKS241" s="210"/>
      <c r="HKT241" s="210"/>
      <c r="HKU241" s="210"/>
      <c r="HKV241" s="210"/>
      <c r="HKW241" s="210"/>
      <c r="HKX241" s="210"/>
      <c r="HKY241" s="210"/>
      <c r="HKZ241" s="210"/>
      <c r="HLA241" s="210"/>
      <c r="HLB241" s="210"/>
      <c r="HLC241" s="210"/>
      <c r="HLD241" s="210"/>
      <c r="HLE241" s="210"/>
      <c r="HLF241" s="210"/>
      <c r="HLG241" s="210"/>
      <c r="HLH241" s="210"/>
      <c r="HLI241" s="210"/>
      <c r="HLJ241" s="210"/>
      <c r="HLK241" s="210"/>
      <c r="HLL241" s="210"/>
      <c r="HLM241" s="210"/>
      <c r="HLN241" s="210"/>
      <c r="HLO241" s="210"/>
      <c r="HLP241" s="210"/>
      <c r="HLQ241" s="210"/>
      <c r="HLR241" s="210"/>
      <c r="HLS241" s="210"/>
      <c r="HLT241" s="210"/>
      <c r="HLU241" s="210"/>
      <c r="HLV241" s="210"/>
      <c r="HLW241" s="210"/>
      <c r="HLX241" s="210"/>
      <c r="HLY241" s="210"/>
      <c r="HLZ241" s="210"/>
      <c r="HMA241" s="210"/>
      <c r="HMB241" s="210"/>
      <c r="HMC241" s="210"/>
      <c r="HMD241" s="210"/>
      <c r="HME241" s="210"/>
      <c r="HMF241" s="210"/>
      <c r="HMG241" s="210"/>
      <c r="HMH241" s="210"/>
      <c r="HMI241" s="210"/>
      <c r="HMJ241" s="210"/>
      <c r="HMK241" s="210"/>
      <c r="HML241" s="210"/>
      <c r="HMM241" s="210"/>
      <c r="HMN241" s="210"/>
      <c r="HMO241" s="210"/>
      <c r="HMP241" s="210"/>
      <c r="HMQ241" s="210"/>
      <c r="HMR241" s="210"/>
      <c r="HMS241" s="210"/>
      <c r="HMT241" s="210"/>
      <c r="HMU241" s="210"/>
      <c r="HMV241" s="210"/>
      <c r="HMW241" s="210"/>
      <c r="HMX241" s="210"/>
      <c r="HMY241" s="210"/>
      <c r="HMZ241" s="210"/>
      <c r="HNA241" s="210"/>
      <c r="HNB241" s="210"/>
      <c r="HNC241" s="210"/>
      <c r="HND241" s="210"/>
      <c r="HNE241" s="210"/>
      <c r="HNF241" s="210"/>
      <c r="HNG241" s="210"/>
      <c r="HNH241" s="210"/>
      <c r="HNI241" s="210"/>
      <c r="HNJ241" s="210"/>
      <c r="HNK241" s="210"/>
      <c r="HNL241" s="210"/>
      <c r="HNM241" s="210"/>
      <c r="HNN241" s="210"/>
      <c r="HNO241" s="210"/>
      <c r="HNP241" s="210"/>
      <c r="HNQ241" s="210"/>
      <c r="HNR241" s="210"/>
      <c r="HNS241" s="210"/>
      <c r="HNT241" s="210"/>
      <c r="HNU241" s="210"/>
      <c r="HNV241" s="210"/>
      <c r="HNW241" s="210"/>
      <c r="HNX241" s="210"/>
      <c r="HNY241" s="210"/>
      <c r="HNZ241" s="210"/>
      <c r="HOA241" s="210"/>
      <c r="HOB241" s="210"/>
      <c r="HOC241" s="210"/>
      <c r="HOD241" s="210"/>
      <c r="HOE241" s="210"/>
      <c r="HOF241" s="210"/>
      <c r="HOG241" s="210"/>
      <c r="HOH241" s="210"/>
      <c r="HOI241" s="210"/>
      <c r="HOJ241" s="210"/>
      <c r="HOK241" s="210"/>
      <c r="HOL241" s="210"/>
      <c r="HOM241" s="210"/>
      <c r="HON241" s="210"/>
      <c r="HOO241" s="210"/>
      <c r="HOP241" s="210"/>
      <c r="HOQ241" s="210"/>
      <c r="HOR241" s="210"/>
      <c r="HOS241" s="210"/>
      <c r="HOT241" s="210"/>
      <c r="HOU241" s="210"/>
      <c r="HOV241" s="210"/>
      <c r="HOW241" s="210"/>
      <c r="HOX241" s="210"/>
      <c r="HOY241" s="210"/>
      <c r="HOZ241" s="210"/>
      <c r="HPA241" s="210"/>
      <c r="HPB241" s="210"/>
      <c r="HPC241" s="210"/>
      <c r="HPD241" s="210"/>
      <c r="HPE241" s="210"/>
      <c r="HPF241" s="210"/>
      <c r="HPG241" s="210"/>
      <c r="HPH241" s="210"/>
      <c r="HPI241" s="210"/>
      <c r="HPJ241" s="210"/>
      <c r="HPK241" s="210"/>
      <c r="HPL241" s="210"/>
      <c r="HPM241" s="210"/>
      <c r="HPN241" s="210"/>
      <c r="HPO241" s="210"/>
      <c r="HPP241" s="210"/>
      <c r="HPQ241" s="210"/>
      <c r="HPR241" s="210"/>
      <c r="HPS241" s="210"/>
      <c r="HPT241" s="210"/>
      <c r="HPU241" s="210"/>
      <c r="HPV241" s="210"/>
      <c r="HPW241" s="210"/>
      <c r="HPX241" s="210"/>
      <c r="HPY241" s="210"/>
      <c r="HPZ241" s="210"/>
      <c r="HQA241" s="210"/>
      <c r="HQB241" s="210"/>
      <c r="HQC241" s="210"/>
      <c r="HQD241" s="210"/>
      <c r="HQE241" s="210"/>
      <c r="HQF241" s="210"/>
      <c r="HQG241" s="210"/>
      <c r="HQH241" s="210"/>
      <c r="HQI241" s="210"/>
      <c r="HQJ241" s="210"/>
      <c r="HQK241" s="210"/>
      <c r="HQL241" s="210"/>
      <c r="HQM241" s="210"/>
      <c r="HQN241" s="210"/>
      <c r="HQO241" s="210"/>
      <c r="HQP241" s="210"/>
      <c r="HQQ241" s="210"/>
      <c r="HQR241" s="210"/>
      <c r="HQS241" s="210"/>
      <c r="HQT241" s="210"/>
      <c r="HQU241" s="210"/>
      <c r="HQV241" s="210"/>
      <c r="HQW241" s="210"/>
      <c r="HQX241" s="210"/>
      <c r="HQY241" s="210"/>
      <c r="HQZ241" s="210"/>
      <c r="HRA241" s="210"/>
      <c r="HRB241" s="210"/>
      <c r="HRC241" s="210"/>
      <c r="HRD241" s="210"/>
      <c r="HRE241" s="210"/>
      <c r="HRF241" s="210"/>
      <c r="HRG241" s="210"/>
      <c r="HRH241" s="210"/>
      <c r="HRI241" s="210"/>
      <c r="HRJ241" s="210"/>
      <c r="HRK241" s="210"/>
      <c r="HRL241" s="210"/>
      <c r="HRM241" s="210"/>
      <c r="HRN241" s="210"/>
      <c r="HRO241" s="210"/>
      <c r="HRP241" s="210"/>
      <c r="HRQ241" s="210"/>
      <c r="HRR241" s="210"/>
      <c r="HRS241" s="210"/>
      <c r="HRT241" s="210"/>
      <c r="HRU241" s="210"/>
      <c r="HRV241" s="210"/>
      <c r="HRW241" s="210"/>
      <c r="HRX241" s="210"/>
      <c r="HRY241" s="210"/>
      <c r="HRZ241" s="210"/>
      <c r="HSA241" s="210"/>
      <c r="HSB241" s="210"/>
      <c r="HSC241" s="210"/>
      <c r="HSD241" s="210"/>
      <c r="HSE241" s="210"/>
      <c r="HSF241" s="210"/>
      <c r="HSG241" s="210"/>
      <c r="HSH241" s="210"/>
      <c r="HSI241" s="210"/>
      <c r="HSJ241" s="210"/>
      <c r="HSK241" s="210"/>
      <c r="HSL241" s="210"/>
      <c r="HSM241" s="210"/>
      <c r="HSN241" s="210"/>
      <c r="HSO241" s="210"/>
      <c r="HSP241" s="210"/>
      <c r="HSQ241" s="210"/>
      <c r="HSR241" s="210"/>
      <c r="HSS241" s="210"/>
      <c r="HST241" s="210"/>
      <c r="HSU241" s="210"/>
      <c r="HSV241" s="210"/>
      <c r="HSW241" s="210"/>
      <c r="HSX241" s="210"/>
      <c r="HSY241" s="210"/>
      <c r="HSZ241" s="210"/>
      <c r="HTA241" s="210"/>
      <c r="HTB241" s="210"/>
      <c r="HTC241" s="210"/>
      <c r="HTD241" s="210"/>
      <c r="HTE241" s="210"/>
      <c r="HTF241" s="210"/>
      <c r="HTG241" s="210"/>
      <c r="HTH241" s="210"/>
      <c r="HTI241" s="210"/>
      <c r="HTJ241" s="210"/>
      <c r="HTK241" s="210"/>
      <c r="HTL241" s="210"/>
      <c r="HTM241" s="210"/>
      <c r="HTN241" s="210"/>
      <c r="HTO241" s="210"/>
      <c r="HTP241" s="210"/>
      <c r="HTQ241" s="210"/>
      <c r="HTR241" s="210"/>
      <c r="HTS241" s="210"/>
      <c r="HTT241" s="210"/>
      <c r="HTU241" s="210"/>
      <c r="HTV241" s="210"/>
      <c r="HTW241" s="210"/>
      <c r="HTX241" s="210"/>
      <c r="HTY241" s="210"/>
      <c r="HTZ241" s="210"/>
      <c r="HUA241" s="210"/>
      <c r="HUB241" s="210"/>
      <c r="HUC241" s="210"/>
      <c r="HUD241" s="210"/>
      <c r="HUE241" s="210"/>
      <c r="HUF241" s="210"/>
      <c r="HUG241" s="210"/>
      <c r="HUH241" s="210"/>
      <c r="HUI241" s="210"/>
      <c r="HUJ241" s="210"/>
      <c r="HUK241" s="210"/>
      <c r="HUL241" s="210"/>
      <c r="HUM241" s="210"/>
      <c r="HUN241" s="210"/>
      <c r="HUO241" s="210"/>
      <c r="HUP241" s="210"/>
      <c r="HUQ241" s="210"/>
      <c r="HUR241" s="210"/>
      <c r="HUS241" s="210"/>
      <c r="HUT241" s="210"/>
      <c r="HUU241" s="210"/>
      <c r="HUV241" s="210"/>
      <c r="HUW241" s="210"/>
      <c r="HUX241" s="210"/>
      <c r="HUY241" s="210"/>
      <c r="HUZ241" s="210"/>
      <c r="HVA241" s="210"/>
      <c r="HVB241" s="210"/>
      <c r="HVC241" s="210"/>
      <c r="HVD241" s="210"/>
      <c r="HVE241" s="210"/>
      <c r="HVF241" s="210"/>
      <c r="HVG241" s="210"/>
      <c r="HVH241" s="210"/>
      <c r="HVI241" s="210"/>
      <c r="HVJ241" s="210"/>
      <c r="HVK241" s="210"/>
      <c r="HVL241" s="210"/>
      <c r="HVM241" s="210"/>
      <c r="HVN241" s="210"/>
      <c r="HVO241" s="210"/>
      <c r="HVP241" s="210"/>
      <c r="HVQ241" s="210"/>
      <c r="HVR241" s="210"/>
      <c r="HVS241" s="210"/>
      <c r="HVT241" s="210"/>
      <c r="HVU241" s="210"/>
      <c r="HVV241" s="210"/>
      <c r="HVW241" s="210"/>
      <c r="HVX241" s="210"/>
      <c r="HVY241" s="210"/>
      <c r="HVZ241" s="210"/>
      <c r="HWA241" s="210"/>
      <c r="HWB241" s="210"/>
      <c r="HWC241" s="210"/>
      <c r="HWD241" s="210"/>
      <c r="HWE241" s="210"/>
      <c r="HWF241" s="210"/>
      <c r="HWG241" s="210"/>
      <c r="HWH241" s="210"/>
      <c r="HWI241" s="210"/>
      <c r="HWJ241" s="210"/>
      <c r="HWK241" s="210"/>
      <c r="HWL241" s="210"/>
      <c r="HWM241" s="210"/>
      <c r="HWN241" s="210"/>
      <c r="HWO241" s="210"/>
      <c r="HWP241" s="210"/>
      <c r="HWQ241" s="210"/>
      <c r="HWR241" s="210"/>
      <c r="HWS241" s="210"/>
      <c r="HWT241" s="210"/>
      <c r="HWU241" s="210"/>
      <c r="HWV241" s="210"/>
      <c r="HWW241" s="210"/>
      <c r="HWX241" s="210"/>
      <c r="HWY241" s="210"/>
      <c r="HWZ241" s="210"/>
      <c r="HXA241" s="210"/>
      <c r="HXB241" s="210"/>
      <c r="HXC241" s="210"/>
      <c r="HXD241" s="210"/>
      <c r="HXE241" s="210"/>
      <c r="HXF241" s="210"/>
      <c r="HXG241" s="210"/>
      <c r="HXH241" s="210"/>
      <c r="HXI241" s="210"/>
      <c r="HXJ241" s="210"/>
      <c r="HXK241" s="210"/>
      <c r="HXL241" s="210"/>
      <c r="HXM241" s="210"/>
      <c r="HXN241" s="210"/>
      <c r="HXO241" s="210"/>
      <c r="HXP241" s="210"/>
      <c r="HXQ241" s="210"/>
      <c r="HXR241" s="210"/>
      <c r="HXS241" s="210"/>
      <c r="HXT241" s="210"/>
      <c r="HXU241" s="210"/>
      <c r="HXV241" s="210"/>
      <c r="HXW241" s="210"/>
      <c r="HXX241" s="210"/>
      <c r="HXY241" s="210"/>
      <c r="HXZ241" s="210"/>
      <c r="HYA241" s="210"/>
      <c r="HYB241" s="210"/>
      <c r="HYC241" s="210"/>
      <c r="HYD241" s="210"/>
      <c r="HYE241" s="210"/>
      <c r="HYF241" s="210"/>
      <c r="HYG241" s="210"/>
      <c r="HYH241" s="210"/>
      <c r="HYI241" s="210"/>
      <c r="HYJ241" s="210"/>
      <c r="HYK241" s="210"/>
      <c r="HYL241" s="210"/>
      <c r="HYM241" s="210"/>
      <c r="HYN241" s="210"/>
      <c r="HYO241" s="210"/>
      <c r="HYP241" s="210"/>
      <c r="HYQ241" s="210"/>
      <c r="HYR241" s="210"/>
      <c r="HYS241" s="210"/>
      <c r="HYT241" s="210"/>
      <c r="HYU241" s="210"/>
      <c r="HYV241" s="210"/>
      <c r="HYW241" s="210"/>
      <c r="HYX241" s="210"/>
      <c r="HYY241" s="210"/>
      <c r="HYZ241" s="210"/>
      <c r="HZA241" s="210"/>
      <c r="HZB241" s="210"/>
      <c r="HZC241" s="210"/>
      <c r="HZD241" s="210"/>
      <c r="HZE241" s="210"/>
      <c r="HZF241" s="210"/>
      <c r="HZG241" s="210"/>
      <c r="HZH241" s="210"/>
      <c r="HZI241" s="210"/>
      <c r="HZJ241" s="210"/>
      <c r="HZK241" s="210"/>
      <c r="HZL241" s="210"/>
      <c r="HZM241" s="210"/>
      <c r="HZN241" s="210"/>
      <c r="HZO241" s="210"/>
      <c r="HZP241" s="210"/>
      <c r="HZQ241" s="210"/>
      <c r="HZR241" s="210"/>
      <c r="HZS241" s="210"/>
      <c r="HZT241" s="210"/>
      <c r="HZU241" s="210"/>
      <c r="HZV241" s="210"/>
      <c r="HZW241" s="210"/>
      <c r="HZX241" s="210"/>
      <c r="HZY241" s="210"/>
      <c r="HZZ241" s="210"/>
      <c r="IAA241" s="210"/>
      <c r="IAB241" s="210"/>
      <c r="IAC241" s="210"/>
      <c r="IAD241" s="210"/>
      <c r="IAE241" s="210"/>
      <c r="IAF241" s="210"/>
      <c r="IAG241" s="210"/>
      <c r="IAH241" s="210"/>
      <c r="IAI241" s="210"/>
      <c r="IAJ241" s="210"/>
      <c r="IAK241" s="210"/>
      <c r="IAL241" s="210"/>
      <c r="IAM241" s="210"/>
      <c r="IAN241" s="210"/>
      <c r="IAO241" s="210"/>
      <c r="IAP241" s="210"/>
      <c r="IAQ241" s="210"/>
      <c r="IAR241" s="210"/>
      <c r="IAS241" s="210"/>
      <c r="IAT241" s="210"/>
      <c r="IAU241" s="210"/>
      <c r="IAV241" s="210"/>
      <c r="IAW241" s="210"/>
      <c r="IAX241" s="210"/>
      <c r="IAY241" s="210"/>
      <c r="IAZ241" s="210"/>
      <c r="IBA241" s="210"/>
      <c r="IBB241" s="210"/>
      <c r="IBC241" s="210"/>
      <c r="IBD241" s="210"/>
      <c r="IBE241" s="210"/>
      <c r="IBF241" s="210"/>
      <c r="IBG241" s="210"/>
      <c r="IBH241" s="210"/>
      <c r="IBI241" s="210"/>
      <c r="IBJ241" s="210"/>
      <c r="IBK241" s="210"/>
      <c r="IBL241" s="210"/>
      <c r="IBM241" s="210"/>
      <c r="IBN241" s="210"/>
      <c r="IBO241" s="210"/>
      <c r="IBP241" s="210"/>
      <c r="IBQ241" s="210"/>
      <c r="IBR241" s="210"/>
      <c r="IBS241" s="210"/>
      <c r="IBT241" s="210"/>
      <c r="IBU241" s="210"/>
      <c r="IBV241" s="210"/>
      <c r="IBW241" s="210"/>
      <c r="IBX241" s="210"/>
      <c r="IBY241" s="210"/>
      <c r="IBZ241" s="210"/>
      <c r="ICA241" s="210"/>
      <c r="ICB241" s="210"/>
      <c r="ICC241" s="210"/>
      <c r="ICD241" s="210"/>
      <c r="ICE241" s="210"/>
      <c r="ICF241" s="210"/>
      <c r="ICG241" s="210"/>
      <c r="ICH241" s="210"/>
      <c r="ICI241" s="210"/>
      <c r="ICJ241" s="210"/>
      <c r="ICK241" s="210"/>
      <c r="ICL241" s="210"/>
      <c r="ICM241" s="210"/>
      <c r="ICN241" s="210"/>
      <c r="ICO241" s="210"/>
      <c r="ICP241" s="210"/>
      <c r="ICQ241" s="210"/>
      <c r="ICR241" s="210"/>
      <c r="ICS241" s="210"/>
      <c r="ICT241" s="210"/>
      <c r="ICU241" s="210"/>
      <c r="ICV241" s="210"/>
      <c r="ICW241" s="210"/>
      <c r="ICX241" s="210"/>
      <c r="ICY241" s="210"/>
      <c r="ICZ241" s="210"/>
      <c r="IDA241" s="210"/>
      <c r="IDB241" s="210"/>
      <c r="IDC241" s="210"/>
      <c r="IDD241" s="210"/>
      <c r="IDE241" s="210"/>
      <c r="IDF241" s="210"/>
      <c r="IDG241" s="210"/>
      <c r="IDH241" s="210"/>
      <c r="IDI241" s="210"/>
      <c r="IDJ241" s="210"/>
      <c r="IDK241" s="210"/>
      <c r="IDL241" s="210"/>
      <c r="IDM241" s="210"/>
      <c r="IDN241" s="210"/>
      <c r="IDO241" s="210"/>
      <c r="IDP241" s="210"/>
      <c r="IDQ241" s="210"/>
      <c r="IDR241" s="210"/>
      <c r="IDS241" s="210"/>
      <c r="IDT241" s="210"/>
      <c r="IDU241" s="210"/>
      <c r="IDV241" s="210"/>
      <c r="IDW241" s="210"/>
      <c r="IDX241" s="210"/>
      <c r="IDY241" s="210"/>
      <c r="IDZ241" s="210"/>
      <c r="IEA241" s="210"/>
      <c r="IEB241" s="210"/>
      <c r="IEC241" s="210"/>
      <c r="IED241" s="210"/>
      <c r="IEE241" s="210"/>
      <c r="IEF241" s="210"/>
      <c r="IEG241" s="210"/>
      <c r="IEH241" s="210"/>
      <c r="IEI241" s="210"/>
      <c r="IEJ241" s="210"/>
      <c r="IEK241" s="210"/>
      <c r="IEL241" s="210"/>
      <c r="IEM241" s="210"/>
      <c r="IEN241" s="210"/>
      <c r="IEO241" s="210"/>
      <c r="IEP241" s="210"/>
      <c r="IEQ241" s="210"/>
      <c r="IER241" s="210"/>
      <c r="IES241" s="210"/>
      <c r="IET241" s="210"/>
      <c r="IEU241" s="210"/>
      <c r="IEV241" s="210"/>
      <c r="IEW241" s="210"/>
      <c r="IEX241" s="210"/>
      <c r="IEY241" s="210"/>
      <c r="IEZ241" s="210"/>
      <c r="IFA241" s="210"/>
      <c r="IFB241" s="210"/>
      <c r="IFC241" s="210"/>
      <c r="IFD241" s="210"/>
      <c r="IFE241" s="210"/>
      <c r="IFF241" s="210"/>
      <c r="IFG241" s="210"/>
      <c r="IFH241" s="210"/>
      <c r="IFI241" s="210"/>
      <c r="IFJ241" s="210"/>
      <c r="IFK241" s="210"/>
      <c r="IFL241" s="210"/>
      <c r="IFM241" s="210"/>
      <c r="IFN241" s="210"/>
      <c r="IFO241" s="210"/>
      <c r="IFP241" s="210"/>
      <c r="IFQ241" s="210"/>
      <c r="IFR241" s="210"/>
      <c r="IFS241" s="210"/>
      <c r="IFT241" s="210"/>
      <c r="IFU241" s="210"/>
      <c r="IFV241" s="210"/>
      <c r="IFW241" s="210"/>
      <c r="IFX241" s="210"/>
      <c r="IFY241" s="210"/>
      <c r="IFZ241" s="210"/>
      <c r="IGA241" s="210"/>
      <c r="IGB241" s="210"/>
      <c r="IGC241" s="210"/>
      <c r="IGD241" s="210"/>
      <c r="IGE241" s="210"/>
      <c r="IGF241" s="210"/>
      <c r="IGG241" s="210"/>
      <c r="IGH241" s="210"/>
      <c r="IGI241" s="210"/>
      <c r="IGJ241" s="210"/>
      <c r="IGK241" s="210"/>
      <c r="IGL241" s="210"/>
      <c r="IGM241" s="210"/>
      <c r="IGN241" s="210"/>
      <c r="IGO241" s="210"/>
      <c r="IGP241" s="210"/>
      <c r="IGQ241" s="210"/>
      <c r="IGR241" s="210"/>
      <c r="IGS241" s="210"/>
      <c r="IGT241" s="210"/>
      <c r="IGU241" s="210"/>
      <c r="IGV241" s="210"/>
      <c r="IGW241" s="210"/>
      <c r="IGX241" s="210"/>
      <c r="IGY241" s="210"/>
      <c r="IGZ241" s="210"/>
      <c r="IHA241" s="210"/>
      <c r="IHB241" s="210"/>
      <c r="IHC241" s="210"/>
      <c r="IHD241" s="210"/>
      <c r="IHE241" s="210"/>
      <c r="IHF241" s="210"/>
      <c r="IHG241" s="210"/>
      <c r="IHH241" s="210"/>
      <c r="IHI241" s="210"/>
      <c r="IHJ241" s="210"/>
      <c r="IHK241" s="210"/>
      <c r="IHL241" s="210"/>
      <c r="IHM241" s="210"/>
      <c r="IHN241" s="210"/>
      <c r="IHO241" s="210"/>
      <c r="IHP241" s="210"/>
      <c r="IHQ241" s="210"/>
      <c r="IHR241" s="210"/>
      <c r="IHS241" s="210"/>
      <c r="IHT241" s="210"/>
      <c r="IHU241" s="210"/>
      <c r="IHV241" s="210"/>
      <c r="IHW241" s="210"/>
      <c r="IHX241" s="210"/>
      <c r="IHY241" s="210"/>
      <c r="IHZ241" s="210"/>
      <c r="IIA241" s="210"/>
      <c r="IIB241" s="210"/>
      <c r="IIC241" s="210"/>
      <c r="IID241" s="210"/>
      <c r="IIE241" s="210"/>
      <c r="IIF241" s="210"/>
      <c r="IIG241" s="210"/>
      <c r="IIH241" s="210"/>
      <c r="III241" s="210"/>
      <c r="IIJ241" s="210"/>
      <c r="IIK241" s="210"/>
      <c r="IIL241" s="210"/>
      <c r="IIM241" s="210"/>
      <c r="IIN241" s="210"/>
      <c r="IIO241" s="210"/>
      <c r="IIP241" s="210"/>
      <c r="IIQ241" s="210"/>
      <c r="IIR241" s="210"/>
      <c r="IIS241" s="210"/>
      <c r="IIT241" s="210"/>
      <c r="IIU241" s="210"/>
      <c r="IIV241" s="210"/>
      <c r="IIW241" s="210"/>
      <c r="IIX241" s="210"/>
      <c r="IIY241" s="210"/>
      <c r="IIZ241" s="210"/>
      <c r="IJA241" s="210"/>
      <c r="IJB241" s="210"/>
      <c r="IJC241" s="210"/>
      <c r="IJD241" s="210"/>
      <c r="IJE241" s="210"/>
      <c r="IJF241" s="210"/>
      <c r="IJG241" s="210"/>
      <c r="IJH241" s="210"/>
      <c r="IJI241" s="210"/>
      <c r="IJJ241" s="210"/>
      <c r="IJK241" s="210"/>
      <c r="IJL241" s="210"/>
      <c r="IJM241" s="210"/>
      <c r="IJN241" s="210"/>
      <c r="IJO241" s="210"/>
      <c r="IJP241" s="210"/>
      <c r="IJQ241" s="210"/>
      <c r="IJR241" s="210"/>
      <c r="IJS241" s="210"/>
      <c r="IJT241" s="210"/>
      <c r="IJU241" s="210"/>
      <c r="IJV241" s="210"/>
      <c r="IJW241" s="210"/>
      <c r="IJX241" s="210"/>
      <c r="IJY241" s="210"/>
      <c r="IJZ241" s="210"/>
      <c r="IKA241" s="210"/>
      <c r="IKB241" s="210"/>
      <c r="IKC241" s="210"/>
      <c r="IKD241" s="210"/>
      <c r="IKE241" s="210"/>
      <c r="IKF241" s="210"/>
      <c r="IKG241" s="210"/>
      <c r="IKH241" s="210"/>
      <c r="IKI241" s="210"/>
      <c r="IKJ241" s="210"/>
      <c r="IKK241" s="210"/>
      <c r="IKL241" s="210"/>
      <c r="IKM241" s="210"/>
      <c r="IKN241" s="210"/>
      <c r="IKO241" s="210"/>
      <c r="IKP241" s="210"/>
      <c r="IKQ241" s="210"/>
      <c r="IKR241" s="210"/>
      <c r="IKS241" s="210"/>
      <c r="IKT241" s="210"/>
      <c r="IKU241" s="210"/>
      <c r="IKV241" s="210"/>
      <c r="IKW241" s="210"/>
      <c r="IKX241" s="210"/>
      <c r="IKY241" s="210"/>
      <c r="IKZ241" s="210"/>
      <c r="ILA241" s="210"/>
      <c r="ILB241" s="210"/>
      <c r="ILC241" s="210"/>
      <c r="ILD241" s="210"/>
      <c r="ILE241" s="210"/>
      <c r="ILF241" s="210"/>
      <c r="ILG241" s="210"/>
      <c r="ILH241" s="210"/>
      <c r="ILI241" s="210"/>
      <c r="ILJ241" s="210"/>
      <c r="ILK241" s="210"/>
      <c r="ILL241" s="210"/>
      <c r="ILM241" s="210"/>
      <c r="ILN241" s="210"/>
      <c r="ILO241" s="210"/>
      <c r="ILP241" s="210"/>
      <c r="ILQ241" s="210"/>
      <c r="ILR241" s="210"/>
      <c r="ILS241" s="210"/>
      <c r="ILT241" s="210"/>
      <c r="ILU241" s="210"/>
      <c r="ILV241" s="210"/>
      <c r="ILW241" s="210"/>
      <c r="ILX241" s="210"/>
      <c r="ILY241" s="210"/>
      <c r="ILZ241" s="210"/>
      <c r="IMA241" s="210"/>
      <c r="IMB241" s="210"/>
      <c r="IMC241" s="210"/>
      <c r="IMD241" s="210"/>
      <c r="IME241" s="210"/>
      <c r="IMF241" s="210"/>
      <c r="IMG241" s="210"/>
      <c r="IMH241" s="210"/>
      <c r="IMI241" s="210"/>
      <c r="IMJ241" s="210"/>
      <c r="IMK241" s="210"/>
      <c r="IML241" s="210"/>
      <c r="IMM241" s="210"/>
      <c r="IMN241" s="210"/>
      <c r="IMO241" s="210"/>
      <c r="IMP241" s="210"/>
      <c r="IMQ241" s="210"/>
      <c r="IMR241" s="210"/>
      <c r="IMS241" s="210"/>
      <c r="IMT241" s="210"/>
      <c r="IMU241" s="210"/>
      <c r="IMV241" s="210"/>
      <c r="IMW241" s="210"/>
      <c r="IMX241" s="210"/>
      <c r="IMY241" s="210"/>
      <c r="IMZ241" s="210"/>
      <c r="INA241" s="210"/>
      <c r="INB241" s="210"/>
      <c r="INC241" s="210"/>
      <c r="IND241" s="210"/>
      <c r="INE241" s="210"/>
      <c r="INF241" s="210"/>
      <c r="ING241" s="210"/>
      <c r="INH241" s="210"/>
      <c r="INI241" s="210"/>
      <c r="INJ241" s="210"/>
      <c r="INK241" s="210"/>
      <c r="INL241" s="210"/>
      <c r="INM241" s="210"/>
      <c r="INN241" s="210"/>
      <c r="INO241" s="210"/>
      <c r="INP241" s="210"/>
      <c r="INQ241" s="210"/>
      <c r="INR241" s="210"/>
      <c r="INS241" s="210"/>
      <c r="INT241" s="210"/>
      <c r="INU241" s="210"/>
      <c r="INV241" s="210"/>
      <c r="INW241" s="210"/>
      <c r="INX241" s="210"/>
      <c r="INY241" s="210"/>
      <c r="INZ241" s="210"/>
      <c r="IOA241" s="210"/>
      <c r="IOB241" s="210"/>
      <c r="IOC241" s="210"/>
      <c r="IOD241" s="210"/>
      <c r="IOE241" s="210"/>
      <c r="IOF241" s="210"/>
      <c r="IOG241" s="210"/>
      <c r="IOH241" s="210"/>
      <c r="IOI241" s="210"/>
      <c r="IOJ241" s="210"/>
      <c r="IOK241" s="210"/>
      <c r="IOL241" s="210"/>
      <c r="IOM241" s="210"/>
      <c r="ION241" s="210"/>
      <c r="IOO241" s="210"/>
      <c r="IOP241" s="210"/>
      <c r="IOQ241" s="210"/>
      <c r="IOR241" s="210"/>
      <c r="IOS241" s="210"/>
      <c r="IOT241" s="210"/>
      <c r="IOU241" s="210"/>
      <c r="IOV241" s="210"/>
      <c r="IOW241" s="210"/>
      <c r="IOX241" s="210"/>
      <c r="IOY241" s="210"/>
      <c r="IOZ241" s="210"/>
      <c r="IPA241" s="210"/>
      <c r="IPB241" s="210"/>
      <c r="IPC241" s="210"/>
      <c r="IPD241" s="210"/>
      <c r="IPE241" s="210"/>
      <c r="IPF241" s="210"/>
      <c r="IPG241" s="210"/>
      <c r="IPH241" s="210"/>
      <c r="IPI241" s="210"/>
      <c r="IPJ241" s="210"/>
      <c r="IPK241" s="210"/>
      <c r="IPL241" s="210"/>
      <c r="IPM241" s="210"/>
      <c r="IPN241" s="210"/>
      <c r="IPO241" s="210"/>
      <c r="IPP241" s="210"/>
      <c r="IPQ241" s="210"/>
      <c r="IPR241" s="210"/>
      <c r="IPS241" s="210"/>
      <c r="IPT241" s="210"/>
      <c r="IPU241" s="210"/>
      <c r="IPV241" s="210"/>
      <c r="IPW241" s="210"/>
      <c r="IPX241" s="210"/>
      <c r="IPY241" s="210"/>
      <c r="IPZ241" s="210"/>
      <c r="IQA241" s="210"/>
      <c r="IQB241" s="210"/>
      <c r="IQC241" s="210"/>
      <c r="IQD241" s="210"/>
      <c r="IQE241" s="210"/>
      <c r="IQF241" s="210"/>
      <c r="IQG241" s="210"/>
      <c r="IQH241" s="210"/>
      <c r="IQI241" s="210"/>
      <c r="IQJ241" s="210"/>
      <c r="IQK241" s="210"/>
      <c r="IQL241" s="210"/>
      <c r="IQM241" s="210"/>
      <c r="IQN241" s="210"/>
      <c r="IQO241" s="210"/>
      <c r="IQP241" s="210"/>
      <c r="IQQ241" s="210"/>
      <c r="IQR241" s="210"/>
      <c r="IQS241" s="210"/>
      <c r="IQT241" s="210"/>
      <c r="IQU241" s="210"/>
      <c r="IQV241" s="210"/>
      <c r="IQW241" s="210"/>
      <c r="IQX241" s="210"/>
      <c r="IQY241" s="210"/>
      <c r="IQZ241" s="210"/>
      <c r="IRA241" s="210"/>
      <c r="IRB241" s="210"/>
      <c r="IRC241" s="210"/>
      <c r="IRD241" s="210"/>
      <c r="IRE241" s="210"/>
      <c r="IRF241" s="210"/>
      <c r="IRG241" s="210"/>
      <c r="IRH241" s="210"/>
      <c r="IRI241" s="210"/>
      <c r="IRJ241" s="210"/>
      <c r="IRK241" s="210"/>
      <c r="IRL241" s="210"/>
      <c r="IRM241" s="210"/>
      <c r="IRN241" s="210"/>
      <c r="IRO241" s="210"/>
      <c r="IRP241" s="210"/>
      <c r="IRQ241" s="210"/>
      <c r="IRR241" s="210"/>
      <c r="IRS241" s="210"/>
      <c r="IRT241" s="210"/>
      <c r="IRU241" s="210"/>
      <c r="IRV241" s="210"/>
      <c r="IRW241" s="210"/>
      <c r="IRX241" s="210"/>
      <c r="IRY241" s="210"/>
      <c r="IRZ241" s="210"/>
      <c r="ISA241" s="210"/>
      <c r="ISB241" s="210"/>
      <c r="ISC241" s="210"/>
      <c r="ISD241" s="210"/>
      <c r="ISE241" s="210"/>
      <c r="ISF241" s="210"/>
      <c r="ISG241" s="210"/>
      <c r="ISH241" s="210"/>
      <c r="ISI241" s="210"/>
      <c r="ISJ241" s="210"/>
      <c r="ISK241" s="210"/>
      <c r="ISL241" s="210"/>
      <c r="ISM241" s="210"/>
      <c r="ISN241" s="210"/>
      <c r="ISO241" s="210"/>
      <c r="ISP241" s="210"/>
      <c r="ISQ241" s="210"/>
      <c r="ISR241" s="210"/>
      <c r="ISS241" s="210"/>
      <c r="IST241" s="210"/>
      <c r="ISU241" s="210"/>
      <c r="ISV241" s="210"/>
      <c r="ISW241" s="210"/>
      <c r="ISX241" s="210"/>
      <c r="ISY241" s="210"/>
      <c r="ISZ241" s="210"/>
      <c r="ITA241" s="210"/>
      <c r="ITB241" s="210"/>
      <c r="ITC241" s="210"/>
      <c r="ITD241" s="210"/>
      <c r="ITE241" s="210"/>
      <c r="ITF241" s="210"/>
      <c r="ITG241" s="210"/>
      <c r="ITH241" s="210"/>
      <c r="ITI241" s="210"/>
      <c r="ITJ241" s="210"/>
      <c r="ITK241" s="210"/>
      <c r="ITL241" s="210"/>
      <c r="ITM241" s="210"/>
      <c r="ITN241" s="210"/>
      <c r="ITO241" s="210"/>
      <c r="ITP241" s="210"/>
      <c r="ITQ241" s="210"/>
      <c r="ITR241" s="210"/>
      <c r="ITS241" s="210"/>
      <c r="ITT241" s="210"/>
      <c r="ITU241" s="210"/>
      <c r="ITV241" s="210"/>
      <c r="ITW241" s="210"/>
      <c r="ITX241" s="210"/>
      <c r="ITY241" s="210"/>
      <c r="ITZ241" s="210"/>
      <c r="IUA241" s="210"/>
      <c r="IUB241" s="210"/>
      <c r="IUC241" s="210"/>
      <c r="IUD241" s="210"/>
      <c r="IUE241" s="210"/>
      <c r="IUF241" s="210"/>
      <c r="IUG241" s="210"/>
      <c r="IUH241" s="210"/>
      <c r="IUI241" s="210"/>
      <c r="IUJ241" s="210"/>
      <c r="IUK241" s="210"/>
      <c r="IUL241" s="210"/>
      <c r="IUM241" s="210"/>
      <c r="IUN241" s="210"/>
      <c r="IUO241" s="210"/>
      <c r="IUP241" s="210"/>
      <c r="IUQ241" s="210"/>
      <c r="IUR241" s="210"/>
      <c r="IUS241" s="210"/>
      <c r="IUT241" s="210"/>
      <c r="IUU241" s="210"/>
      <c r="IUV241" s="210"/>
      <c r="IUW241" s="210"/>
      <c r="IUX241" s="210"/>
      <c r="IUY241" s="210"/>
      <c r="IUZ241" s="210"/>
      <c r="IVA241" s="210"/>
      <c r="IVB241" s="210"/>
      <c r="IVC241" s="210"/>
      <c r="IVD241" s="210"/>
      <c r="IVE241" s="210"/>
      <c r="IVF241" s="210"/>
      <c r="IVG241" s="210"/>
      <c r="IVH241" s="210"/>
      <c r="IVI241" s="210"/>
      <c r="IVJ241" s="210"/>
      <c r="IVK241" s="210"/>
      <c r="IVL241" s="210"/>
      <c r="IVM241" s="210"/>
      <c r="IVN241" s="210"/>
      <c r="IVO241" s="210"/>
      <c r="IVP241" s="210"/>
      <c r="IVQ241" s="210"/>
      <c r="IVR241" s="210"/>
      <c r="IVS241" s="210"/>
      <c r="IVT241" s="210"/>
      <c r="IVU241" s="210"/>
      <c r="IVV241" s="210"/>
      <c r="IVW241" s="210"/>
      <c r="IVX241" s="210"/>
      <c r="IVY241" s="210"/>
      <c r="IVZ241" s="210"/>
      <c r="IWA241" s="210"/>
      <c r="IWB241" s="210"/>
      <c r="IWC241" s="210"/>
      <c r="IWD241" s="210"/>
      <c r="IWE241" s="210"/>
      <c r="IWF241" s="210"/>
      <c r="IWG241" s="210"/>
      <c r="IWH241" s="210"/>
      <c r="IWI241" s="210"/>
      <c r="IWJ241" s="210"/>
      <c r="IWK241" s="210"/>
      <c r="IWL241" s="210"/>
      <c r="IWM241" s="210"/>
      <c r="IWN241" s="210"/>
      <c r="IWO241" s="210"/>
      <c r="IWP241" s="210"/>
      <c r="IWQ241" s="210"/>
      <c r="IWR241" s="210"/>
      <c r="IWS241" s="210"/>
      <c r="IWT241" s="210"/>
      <c r="IWU241" s="210"/>
      <c r="IWV241" s="210"/>
      <c r="IWW241" s="210"/>
      <c r="IWX241" s="210"/>
      <c r="IWY241" s="210"/>
      <c r="IWZ241" s="210"/>
      <c r="IXA241" s="210"/>
      <c r="IXB241" s="210"/>
      <c r="IXC241" s="210"/>
      <c r="IXD241" s="210"/>
      <c r="IXE241" s="210"/>
      <c r="IXF241" s="210"/>
      <c r="IXG241" s="210"/>
      <c r="IXH241" s="210"/>
      <c r="IXI241" s="210"/>
      <c r="IXJ241" s="210"/>
      <c r="IXK241" s="210"/>
      <c r="IXL241" s="210"/>
      <c r="IXM241" s="210"/>
      <c r="IXN241" s="210"/>
      <c r="IXO241" s="210"/>
      <c r="IXP241" s="210"/>
      <c r="IXQ241" s="210"/>
      <c r="IXR241" s="210"/>
      <c r="IXS241" s="210"/>
      <c r="IXT241" s="210"/>
      <c r="IXU241" s="210"/>
      <c r="IXV241" s="210"/>
      <c r="IXW241" s="210"/>
      <c r="IXX241" s="210"/>
      <c r="IXY241" s="210"/>
      <c r="IXZ241" s="210"/>
      <c r="IYA241" s="210"/>
      <c r="IYB241" s="210"/>
      <c r="IYC241" s="210"/>
      <c r="IYD241" s="210"/>
      <c r="IYE241" s="210"/>
      <c r="IYF241" s="210"/>
      <c r="IYG241" s="210"/>
      <c r="IYH241" s="210"/>
      <c r="IYI241" s="210"/>
      <c r="IYJ241" s="210"/>
      <c r="IYK241" s="210"/>
      <c r="IYL241" s="210"/>
      <c r="IYM241" s="210"/>
      <c r="IYN241" s="210"/>
      <c r="IYO241" s="210"/>
      <c r="IYP241" s="210"/>
      <c r="IYQ241" s="210"/>
      <c r="IYR241" s="210"/>
      <c r="IYS241" s="210"/>
      <c r="IYT241" s="210"/>
      <c r="IYU241" s="210"/>
      <c r="IYV241" s="210"/>
      <c r="IYW241" s="210"/>
      <c r="IYX241" s="210"/>
      <c r="IYY241" s="210"/>
      <c r="IYZ241" s="210"/>
      <c r="IZA241" s="210"/>
      <c r="IZB241" s="210"/>
      <c r="IZC241" s="210"/>
      <c r="IZD241" s="210"/>
      <c r="IZE241" s="210"/>
      <c r="IZF241" s="210"/>
      <c r="IZG241" s="210"/>
      <c r="IZH241" s="210"/>
      <c r="IZI241" s="210"/>
      <c r="IZJ241" s="210"/>
      <c r="IZK241" s="210"/>
      <c r="IZL241" s="210"/>
      <c r="IZM241" s="210"/>
      <c r="IZN241" s="210"/>
      <c r="IZO241" s="210"/>
      <c r="IZP241" s="210"/>
      <c r="IZQ241" s="210"/>
      <c r="IZR241" s="210"/>
      <c r="IZS241" s="210"/>
      <c r="IZT241" s="210"/>
      <c r="IZU241" s="210"/>
      <c r="IZV241" s="210"/>
      <c r="IZW241" s="210"/>
      <c r="IZX241" s="210"/>
      <c r="IZY241" s="210"/>
      <c r="IZZ241" s="210"/>
      <c r="JAA241" s="210"/>
      <c r="JAB241" s="210"/>
      <c r="JAC241" s="210"/>
      <c r="JAD241" s="210"/>
      <c r="JAE241" s="210"/>
      <c r="JAF241" s="210"/>
      <c r="JAG241" s="210"/>
      <c r="JAH241" s="210"/>
      <c r="JAI241" s="210"/>
      <c r="JAJ241" s="210"/>
      <c r="JAK241" s="210"/>
      <c r="JAL241" s="210"/>
      <c r="JAM241" s="210"/>
      <c r="JAN241" s="210"/>
      <c r="JAO241" s="210"/>
      <c r="JAP241" s="210"/>
      <c r="JAQ241" s="210"/>
      <c r="JAR241" s="210"/>
      <c r="JAS241" s="210"/>
      <c r="JAT241" s="210"/>
      <c r="JAU241" s="210"/>
      <c r="JAV241" s="210"/>
      <c r="JAW241" s="210"/>
      <c r="JAX241" s="210"/>
      <c r="JAY241" s="210"/>
      <c r="JAZ241" s="210"/>
      <c r="JBA241" s="210"/>
      <c r="JBB241" s="210"/>
      <c r="JBC241" s="210"/>
      <c r="JBD241" s="210"/>
      <c r="JBE241" s="210"/>
      <c r="JBF241" s="210"/>
      <c r="JBG241" s="210"/>
      <c r="JBH241" s="210"/>
      <c r="JBI241" s="210"/>
      <c r="JBJ241" s="210"/>
      <c r="JBK241" s="210"/>
      <c r="JBL241" s="210"/>
      <c r="JBM241" s="210"/>
      <c r="JBN241" s="210"/>
      <c r="JBO241" s="210"/>
      <c r="JBP241" s="210"/>
      <c r="JBQ241" s="210"/>
      <c r="JBR241" s="210"/>
      <c r="JBS241" s="210"/>
      <c r="JBT241" s="210"/>
      <c r="JBU241" s="210"/>
      <c r="JBV241" s="210"/>
      <c r="JBW241" s="210"/>
      <c r="JBX241" s="210"/>
      <c r="JBY241" s="210"/>
      <c r="JBZ241" s="210"/>
      <c r="JCA241" s="210"/>
      <c r="JCB241" s="210"/>
      <c r="JCC241" s="210"/>
      <c r="JCD241" s="210"/>
      <c r="JCE241" s="210"/>
      <c r="JCF241" s="210"/>
      <c r="JCG241" s="210"/>
      <c r="JCH241" s="210"/>
      <c r="JCI241" s="210"/>
      <c r="JCJ241" s="210"/>
      <c r="JCK241" s="210"/>
      <c r="JCL241" s="210"/>
      <c r="JCM241" s="210"/>
      <c r="JCN241" s="210"/>
      <c r="JCO241" s="210"/>
      <c r="JCP241" s="210"/>
      <c r="JCQ241" s="210"/>
      <c r="JCR241" s="210"/>
      <c r="JCS241" s="210"/>
      <c r="JCT241" s="210"/>
      <c r="JCU241" s="210"/>
      <c r="JCV241" s="210"/>
      <c r="JCW241" s="210"/>
      <c r="JCX241" s="210"/>
      <c r="JCY241" s="210"/>
      <c r="JCZ241" s="210"/>
      <c r="JDA241" s="210"/>
      <c r="JDB241" s="210"/>
      <c r="JDC241" s="210"/>
      <c r="JDD241" s="210"/>
      <c r="JDE241" s="210"/>
      <c r="JDF241" s="210"/>
      <c r="JDG241" s="210"/>
      <c r="JDH241" s="210"/>
      <c r="JDI241" s="210"/>
      <c r="JDJ241" s="210"/>
      <c r="JDK241" s="210"/>
      <c r="JDL241" s="210"/>
      <c r="JDM241" s="210"/>
      <c r="JDN241" s="210"/>
      <c r="JDO241" s="210"/>
      <c r="JDP241" s="210"/>
      <c r="JDQ241" s="210"/>
      <c r="JDR241" s="210"/>
      <c r="JDS241" s="210"/>
      <c r="JDT241" s="210"/>
      <c r="JDU241" s="210"/>
      <c r="JDV241" s="210"/>
      <c r="JDW241" s="210"/>
      <c r="JDX241" s="210"/>
      <c r="JDY241" s="210"/>
      <c r="JDZ241" s="210"/>
      <c r="JEA241" s="210"/>
      <c r="JEB241" s="210"/>
      <c r="JEC241" s="210"/>
      <c r="JED241" s="210"/>
      <c r="JEE241" s="210"/>
      <c r="JEF241" s="210"/>
      <c r="JEG241" s="210"/>
      <c r="JEH241" s="210"/>
      <c r="JEI241" s="210"/>
      <c r="JEJ241" s="210"/>
      <c r="JEK241" s="210"/>
      <c r="JEL241" s="210"/>
      <c r="JEM241" s="210"/>
      <c r="JEN241" s="210"/>
      <c r="JEO241" s="210"/>
      <c r="JEP241" s="210"/>
      <c r="JEQ241" s="210"/>
      <c r="JER241" s="210"/>
      <c r="JES241" s="210"/>
      <c r="JET241" s="210"/>
      <c r="JEU241" s="210"/>
      <c r="JEV241" s="210"/>
      <c r="JEW241" s="210"/>
      <c r="JEX241" s="210"/>
      <c r="JEY241" s="210"/>
      <c r="JEZ241" s="210"/>
      <c r="JFA241" s="210"/>
      <c r="JFB241" s="210"/>
      <c r="JFC241" s="210"/>
      <c r="JFD241" s="210"/>
      <c r="JFE241" s="210"/>
      <c r="JFF241" s="210"/>
      <c r="JFG241" s="210"/>
      <c r="JFH241" s="210"/>
      <c r="JFI241" s="210"/>
      <c r="JFJ241" s="210"/>
      <c r="JFK241" s="210"/>
      <c r="JFL241" s="210"/>
      <c r="JFM241" s="210"/>
      <c r="JFN241" s="210"/>
      <c r="JFO241" s="210"/>
      <c r="JFP241" s="210"/>
      <c r="JFQ241" s="210"/>
      <c r="JFR241" s="210"/>
      <c r="JFS241" s="210"/>
      <c r="JFT241" s="210"/>
      <c r="JFU241" s="210"/>
      <c r="JFV241" s="210"/>
      <c r="JFW241" s="210"/>
      <c r="JFX241" s="210"/>
      <c r="JFY241" s="210"/>
      <c r="JFZ241" s="210"/>
      <c r="JGA241" s="210"/>
      <c r="JGB241" s="210"/>
      <c r="JGC241" s="210"/>
      <c r="JGD241" s="210"/>
      <c r="JGE241" s="210"/>
      <c r="JGF241" s="210"/>
      <c r="JGG241" s="210"/>
      <c r="JGH241" s="210"/>
      <c r="JGI241" s="210"/>
      <c r="JGJ241" s="210"/>
      <c r="JGK241" s="210"/>
      <c r="JGL241" s="210"/>
      <c r="JGM241" s="210"/>
      <c r="JGN241" s="210"/>
      <c r="JGO241" s="210"/>
      <c r="JGP241" s="210"/>
      <c r="JGQ241" s="210"/>
      <c r="JGR241" s="210"/>
      <c r="JGS241" s="210"/>
      <c r="JGT241" s="210"/>
      <c r="JGU241" s="210"/>
      <c r="JGV241" s="210"/>
      <c r="JGW241" s="210"/>
      <c r="JGX241" s="210"/>
      <c r="JGY241" s="210"/>
      <c r="JGZ241" s="210"/>
      <c r="JHA241" s="210"/>
      <c r="JHB241" s="210"/>
      <c r="JHC241" s="210"/>
      <c r="JHD241" s="210"/>
      <c r="JHE241" s="210"/>
      <c r="JHF241" s="210"/>
      <c r="JHG241" s="210"/>
      <c r="JHH241" s="210"/>
      <c r="JHI241" s="210"/>
      <c r="JHJ241" s="210"/>
      <c r="JHK241" s="210"/>
      <c r="JHL241" s="210"/>
      <c r="JHM241" s="210"/>
      <c r="JHN241" s="210"/>
      <c r="JHO241" s="210"/>
      <c r="JHP241" s="210"/>
      <c r="JHQ241" s="210"/>
      <c r="JHR241" s="210"/>
      <c r="JHS241" s="210"/>
      <c r="JHT241" s="210"/>
      <c r="JHU241" s="210"/>
      <c r="JHV241" s="210"/>
      <c r="JHW241" s="210"/>
      <c r="JHX241" s="210"/>
      <c r="JHY241" s="210"/>
      <c r="JHZ241" s="210"/>
      <c r="JIA241" s="210"/>
      <c r="JIB241" s="210"/>
      <c r="JIC241" s="210"/>
      <c r="JID241" s="210"/>
      <c r="JIE241" s="210"/>
      <c r="JIF241" s="210"/>
      <c r="JIG241" s="210"/>
      <c r="JIH241" s="210"/>
      <c r="JII241" s="210"/>
      <c r="JIJ241" s="210"/>
      <c r="JIK241" s="210"/>
      <c r="JIL241" s="210"/>
      <c r="JIM241" s="210"/>
      <c r="JIN241" s="210"/>
      <c r="JIO241" s="210"/>
      <c r="JIP241" s="210"/>
      <c r="JIQ241" s="210"/>
      <c r="JIR241" s="210"/>
      <c r="JIS241" s="210"/>
      <c r="JIT241" s="210"/>
      <c r="JIU241" s="210"/>
      <c r="JIV241" s="210"/>
      <c r="JIW241" s="210"/>
      <c r="JIX241" s="210"/>
      <c r="JIY241" s="210"/>
      <c r="JIZ241" s="210"/>
      <c r="JJA241" s="210"/>
      <c r="JJB241" s="210"/>
      <c r="JJC241" s="210"/>
      <c r="JJD241" s="210"/>
      <c r="JJE241" s="210"/>
      <c r="JJF241" s="210"/>
      <c r="JJG241" s="210"/>
      <c r="JJH241" s="210"/>
      <c r="JJI241" s="210"/>
      <c r="JJJ241" s="210"/>
      <c r="JJK241" s="210"/>
      <c r="JJL241" s="210"/>
      <c r="JJM241" s="210"/>
      <c r="JJN241" s="210"/>
      <c r="JJO241" s="210"/>
      <c r="JJP241" s="210"/>
      <c r="JJQ241" s="210"/>
      <c r="JJR241" s="210"/>
      <c r="JJS241" s="210"/>
      <c r="JJT241" s="210"/>
      <c r="JJU241" s="210"/>
      <c r="JJV241" s="210"/>
      <c r="JJW241" s="210"/>
      <c r="JJX241" s="210"/>
      <c r="JJY241" s="210"/>
      <c r="JJZ241" s="210"/>
      <c r="JKA241" s="210"/>
      <c r="JKB241" s="210"/>
      <c r="JKC241" s="210"/>
      <c r="JKD241" s="210"/>
      <c r="JKE241" s="210"/>
      <c r="JKF241" s="210"/>
      <c r="JKG241" s="210"/>
      <c r="JKH241" s="210"/>
      <c r="JKI241" s="210"/>
      <c r="JKJ241" s="210"/>
      <c r="JKK241" s="210"/>
      <c r="JKL241" s="210"/>
      <c r="JKM241" s="210"/>
      <c r="JKN241" s="210"/>
      <c r="JKO241" s="210"/>
      <c r="JKP241" s="210"/>
      <c r="JKQ241" s="210"/>
      <c r="JKR241" s="210"/>
      <c r="JKS241" s="210"/>
      <c r="JKT241" s="210"/>
      <c r="JKU241" s="210"/>
      <c r="JKV241" s="210"/>
      <c r="JKW241" s="210"/>
      <c r="JKX241" s="210"/>
      <c r="JKY241" s="210"/>
      <c r="JKZ241" s="210"/>
      <c r="JLA241" s="210"/>
      <c r="JLB241" s="210"/>
      <c r="JLC241" s="210"/>
      <c r="JLD241" s="210"/>
      <c r="JLE241" s="210"/>
      <c r="JLF241" s="210"/>
      <c r="JLG241" s="210"/>
      <c r="JLH241" s="210"/>
      <c r="JLI241" s="210"/>
      <c r="JLJ241" s="210"/>
      <c r="JLK241" s="210"/>
      <c r="JLL241" s="210"/>
      <c r="JLM241" s="210"/>
      <c r="JLN241" s="210"/>
      <c r="JLO241" s="210"/>
      <c r="JLP241" s="210"/>
      <c r="JLQ241" s="210"/>
      <c r="JLR241" s="210"/>
      <c r="JLS241" s="210"/>
      <c r="JLT241" s="210"/>
      <c r="JLU241" s="210"/>
      <c r="JLV241" s="210"/>
      <c r="JLW241" s="210"/>
      <c r="JLX241" s="210"/>
      <c r="JLY241" s="210"/>
      <c r="JLZ241" s="210"/>
      <c r="JMA241" s="210"/>
      <c r="JMB241" s="210"/>
      <c r="JMC241" s="210"/>
      <c r="JMD241" s="210"/>
      <c r="JME241" s="210"/>
      <c r="JMF241" s="210"/>
      <c r="JMG241" s="210"/>
      <c r="JMH241" s="210"/>
      <c r="JMI241" s="210"/>
      <c r="JMJ241" s="210"/>
      <c r="JMK241" s="210"/>
      <c r="JML241" s="210"/>
      <c r="JMM241" s="210"/>
      <c r="JMN241" s="210"/>
      <c r="JMO241" s="210"/>
      <c r="JMP241" s="210"/>
      <c r="JMQ241" s="210"/>
      <c r="JMR241" s="210"/>
      <c r="JMS241" s="210"/>
      <c r="JMT241" s="210"/>
      <c r="JMU241" s="210"/>
      <c r="JMV241" s="210"/>
      <c r="JMW241" s="210"/>
      <c r="JMX241" s="210"/>
      <c r="JMY241" s="210"/>
      <c r="JMZ241" s="210"/>
      <c r="JNA241" s="210"/>
      <c r="JNB241" s="210"/>
      <c r="JNC241" s="210"/>
      <c r="JND241" s="210"/>
      <c r="JNE241" s="210"/>
      <c r="JNF241" s="210"/>
      <c r="JNG241" s="210"/>
      <c r="JNH241" s="210"/>
      <c r="JNI241" s="210"/>
      <c r="JNJ241" s="210"/>
      <c r="JNK241" s="210"/>
      <c r="JNL241" s="210"/>
      <c r="JNM241" s="210"/>
      <c r="JNN241" s="210"/>
      <c r="JNO241" s="210"/>
      <c r="JNP241" s="210"/>
      <c r="JNQ241" s="210"/>
      <c r="JNR241" s="210"/>
      <c r="JNS241" s="210"/>
      <c r="JNT241" s="210"/>
      <c r="JNU241" s="210"/>
      <c r="JNV241" s="210"/>
      <c r="JNW241" s="210"/>
      <c r="JNX241" s="210"/>
      <c r="JNY241" s="210"/>
      <c r="JNZ241" s="210"/>
      <c r="JOA241" s="210"/>
      <c r="JOB241" s="210"/>
      <c r="JOC241" s="210"/>
      <c r="JOD241" s="210"/>
      <c r="JOE241" s="210"/>
      <c r="JOF241" s="210"/>
      <c r="JOG241" s="210"/>
      <c r="JOH241" s="210"/>
      <c r="JOI241" s="210"/>
      <c r="JOJ241" s="210"/>
      <c r="JOK241" s="210"/>
      <c r="JOL241" s="210"/>
      <c r="JOM241" s="210"/>
      <c r="JON241" s="210"/>
      <c r="JOO241" s="210"/>
      <c r="JOP241" s="210"/>
      <c r="JOQ241" s="210"/>
      <c r="JOR241" s="210"/>
      <c r="JOS241" s="210"/>
      <c r="JOT241" s="210"/>
      <c r="JOU241" s="210"/>
      <c r="JOV241" s="210"/>
      <c r="JOW241" s="210"/>
      <c r="JOX241" s="210"/>
      <c r="JOY241" s="210"/>
      <c r="JOZ241" s="210"/>
      <c r="JPA241" s="210"/>
      <c r="JPB241" s="210"/>
      <c r="JPC241" s="210"/>
      <c r="JPD241" s="210"/>
      <c r="JPE241" s="210"/>
      <c r="JPF241" s="210"/>
      <c r="JPG241" s="210"/>
      <c r="JPH241" s="210"/>
      <c r="JPI241" s="210"/>
      <c r="JPJ241" s="210"/>
      <c r="JPK241" s="210"/>
      <c r="JPL241" s="210"/>
      <c r="JPM241" s="210"/>
      <c r="JPN241" s="210"/>
      <c r="JPO241" s="210"/>
      <c r="JPP241" s="210"/>
      <c r="JPQ241" s="210"/>
      <c r="JPR241" s="210"/>
      <c r="JPS241" s="210"/>
      <c r="JPT241" s="210"/>
      <c r="JPU241" s="210"/>
      <c r="JPV241" s="210"/>
      <c r="JPW241" s="210"/>
      <c r="JPX241" s="210"/>
      <c r="JPY241" s="210"/>
      <c r="JPZ241" s="210"/>
      <c r="JQA241" s="210"/>
      <c r="JQB241" s="210"/>
      <c r="JQC241" s="210"/>
      <c r="JQD241" s="210"/>
      <c r="JQE241" s="210"/>
      <c r="JQF241" s="210"/>
      <c r="JQG241" s="210"/>
      <c r="JQH241" s="210"/>
      <c r="JQI241" s="210"/>
      <c r="JQJ241" s="210"/>
      <c r="JQK241" s="210"/>
      <c r="JQL241" s="210"/>
      <c r="JQM241" s="210"/>
      <c r="JQN241" s="210"/>
      <c r="JQO241" s="210"/>
      <c r="JQP241" s="210"/>
      <c r="JQQ241" s="210"/>
      <c r="JQR241" s="210"/>
      <c r="JQS241" s="210"/>
      <c r="JQT241" s="210"/>
      <c r="JQU241" s="210"/>
      <c r="JQV241" s="210"/>
      <c r="JQW241" s="210"/>
      <c r="JQX241" s="210"/>
      <c r="JQY241" s="210"/>
      <c r="JQZ241" s="210"/>
      <c r="JRA241" s="210"/>
      <c r="JRB241" s="210"/>
      <c r="JRC241" s="210"/>
      <c r="JRD241" s="210"/>
      <c r="JRE241" s="210"/>
      <c r="JRF241" s="210"/>
      <c r="JRG241" s="210"/>
      <c r="JRH241" s="210"/>
      <c r="JRI241" s="210"/>
      <c r="JRJ241" s="210"/>
      <c r="JRK241" s="210"/>
      <c r="JRL241" s="210"/>
      <c r="JRM241" s="210"/>
      <c r="JRN241" s="210"/>
      <c r="JRO241" s="210"/>
      <c r="JRP241" s="210"/>
      <c r="JRQ241" s="210"/>
      <c r="JRR241" s="210"/>
      <c r="JRS241" s="210"/>
      <c r="JRT241" s="210"/>
      <c r="JRU241" s="210"/>
      <c r="JRV241" s="210"/>
      <c r="JRW241" s="210"/>
      <c r="JRX241" s="210"/>
      <c r="JRY241" s="210"/>
      <c r="JRZ241" s="210"/>
      <c r="JSA241" s="210"/>
      <c r="JSB241" s="210"/>
      <c r="JSC241" s="210"/>
      <c r="JSD241" s="210"/>
      <c r="JSE241" s="210"/>
      <c r="JSF241" s="210"/>
      <c r="JSG241" s="210"/>
      <c r="JSH241" s="210"/>
      <c r="JSI241" s="210"/>
      <c r="JSJ241" s="210"/>
      <c r="JSK241" s="210"/>
      <c r="JSL241" s="210"/>
      <c r="JSM241" s="210"/>
      <c r="JSN241" s="210"/>
      <c r="JSO241" s="210"/>
      <c r="JSP241" s="210"/>
      <c r="JSQ241" s="210"/>
      <c r="JSR241" s="210"/>
      <c r="JSS241" s="210"/>
      <c r="JST241" s="210"/>
      <c r="JSU241" s="210"/>
      <c r="JSV241" s="210"/>
      <c r="JSW241" s="210"/>
      <c r="JSX241" s="210"/>
      <c r="JSY241" s="210"/>
      <c r="JSZ241" s="210"/>
      <c r="JTA241" s="210"/>
      <c r="JTB241" s="210"/>
      <c r="JTC241" s="210"/>
      <c r="JTD241" s="210"/>
      <c r="JTE241" s="210"/>
      <c r="JTF241" s="210"/>
      <c r="JTG241" s="210"/>
      <c r="JTH241" s="210"/>
      <c r="JTI241" s="210"/>
      <c r="JTJ241" s="210"/>
      <c r="JTK241" s="210"/>
      <c r="JTL241" s="210"/>
      <c r="JTM241" s="210"/>
      <c r="JTN241" s="210"/>
      <c r="JTO241" s="210"/>
      <c r="JTP241" s="210"/>
      <c r="JTQ241" s="210"/>
      <c r="JTR241" s="210"/>
      <c r="JTS241" s="210"/>
      <c r="JTT241" s="210"/>
      <c r="JTU241" s="210"/>
      <c r="JTV241" s="210"/>
      <c r="JTW241" s="210"/>
      <c r="JTX241" s="210"/>
      <c r="JTY241" s="210"/>
      <c r="JTZ241" s="210"/>
      <c r="JUA241" s="210"/>
      <c r="JUB241" s="210"/>
      <c r="JUC241" s="210"/>
      <c r="JUD241" s="210"/>
      <c r="JUE241" s="210"/>
      <c r="JUF241" s="210"/>
      <c r="JUG241" s="210"/>
      <c r="JUH241" s="210"/>
      <c r="JUI241" s="210"/>
      <c r="JUJ241" s="210"/>
      <c r="JUK241" s="210"/>
      <c r="JUL241" s="210"/>
      <c r="JUM241" s="210"/>
      <c r="JUN241" s="210"/>
      <c r="JUO241" s="210"/>
      <c r="JUP241" s="210"/>
      <c r="JUQ241" s="210"/>
      <c r="JUR241" s="210"/>
      <c r="JUS241" s="210"/>
      <c r="JUT241" s="210"/>
      <c r="JUU241" s="210"/>
      <c r="JUV241" s="210"/>
      <c r="JUW241" s="210"/>
      <c r="JUX241" s="210"/>
      <c r="JUY241" s="210"/>
      <c r="JUZ241" s="210"/>
      <c r="JVA241" s="210"/>
      <c r="JVB241" s="210"/>
      <c r="JVC241" s="210"/>
      <c r="JVD241" s="210"/>
      <c r="JVE241" s="210"/>
      <c r="JVF241" s="210"/>
      <c r="JVG241" s="210"/>
      <c r="JVH241" s="210"/>
      <c r="JVI241" s="210"/>
      <c r="JVJ241" s="210"/>
      <c r="JVK241" s="210"/>
      <c r="JVL241" s="210"/>
      <c r="JVM241" s="210"/>
      <c r="JVN241" s="210"/>
      <c r="JVO241" s="210"/>
      <c r="JVP241" s="210"/>
      <c r="JVQ241" s="210"/>
      <c r="JVR241" s="210"/>
      <c r="JVS241" s="210"/>
      <c r="JVT241" s="210"/>
      <c r="JVU241" s="210"/>
      <c r="JVV241" s="210"/>
      <c r="JVW241" s="210"/>
      <c r="JVX241" s="210"/>
      <c r="JVY241" s="210"/>
      <c r="JVZ241" s="210"/>
      <c r="JWA241" s="210"/>
      <c r="JWB241" s="210"/>
      <c r="JWC241" s="210"/>
      <c r="JWD241" s="210"/>
      <c r="JWE241" s="210"/>
      <c r="JWF241" s="210"/>
      <c r="JWG241" s="210"/>
      <c r="JWH241" s="210"/>
      <c r="JWI241" s="210"/>
      <c r="JWJ241" s="210"/>
      <c r="JWK241" s="210"/>
      <c r="JWL241" s="210"/>
      <c r="JWM241" s="210"/>
      <c r="JWN241" s="210"/>
      <c r="JWO241" s="210"/>
      <c r="JWP241" s="210"/>
      <c r="JWQ241" s="210"/>
      <c r="JWR241" s="210"/>
      <c r="JWS241" s="210"/>
      <c r="JWT241" s="210"/>
      <c r="JWU241" s="210"/>
      <c r="JWV241" s="210"/>
      <c r="JWW241" s="210"/>
      <c r="JWX241" s="210"/>
      <c r="JWY241" s="210"/>
      <c r="JWZ241" s="210"/>
      <c r="JXA241" s="210"/>
      <c r="JXB241" s="210"/>
      <c r="JXC241" s="210"/>
      <c r="JXD241" s="210"/>
      <c r="JXE241" s="210"/>
      <c r="JXF241" s="210"/>
      <c r="JXG241" s="210"/>
      <c r="JXH241" s="210"/>
      <c r="JXI241" s="210"/>
      <c r="JXJ241" s="210"/>
      <c r="JXK241" s="210"/>
      <c r="JXL241" s="210"/>
      <c r="JXM241" s="210"/>
      <c r="JXN241" s="210"/>
      <c r="JXO241" s="210"/>
      <c r="JXP241" s="210"/>
      <c r="JXQ241" s="210"/>
      <c r="JXR241" s="210"/>
      <c r="JXS241" s="210"/>
      <c r="JXT241" s="210"/>
      <c r="JXU241" s="210"/>
      <c r="JXV241" s="210"/>
      <c r="JXW241" s="210"/>
      <c r="JXX241" s="210"/>
      <c r="JXY241" s="210"/>
      <c r="JXZ241" s="210"/>
      <c r="JYA241" s="210"/>
      <c r="JYB241" s="210"/>
      <c r="JYC241" s="210"/>
      <c r="JYD241" s="210"/>
      <c r="JYE241" s="210"/>
      <c r="JYF241" s="210"/>
      <c r="JYG241" s="210"/>
      <c r="JYH241" s="210"/>
      <c r="JYI241" s="210"/>
      <c r="JYJ241" s="210"/>
      <c r="JYK241" s="210"/>
      <c r="JYL241" s="210"/>
      <c r="JYM241" s="210"/>
      <c r="JYN241" s="210"/>
      <c r="JYO241" s="210"/>
      <c r="JYP241" s="210"/>
      <c r="JYQ241" s="210"/>
      <c r="JYR241" s="210"/>
      <c r="JYS241" s="210"/>
      <c r="JYT241" s="210"/>
      <c r="JYU241" s="210"/>
      <c r="JYV241" s="210"/>
      <c r="JYW241" s="210"/>
      <c r="JYX241" s="210"/>
      <c r="JYY241" s="210"/>
      <c r="JYZ241" s="210"/>
      <c r="JZA241" s="210"/>
      <c r="JZB241" s="210"/>
      <c r="JZC241" s="210"/>
      <c r="JZD241" s="210"/>
      <c r="JZE241" s="210"/>
      <c r="JZF241" s="210"/>
      <c r="JZG241" s="210"/>
      <c r="JZH241" s="210"/>
      <c r="JZI241" s="210"/>
      <c r="JZJ241" s="210"/>
      <c r="JZK241" s="210"/>
      <c r="JZL241" s="210"/>
      <c r="JZM241" s="210"/>
      <c r="JZN241" s="210"/>
      <c r="JZO241" s="210"/>
      <c r="JZP241" s="210"/>
      <c r="JZQ241" s="210"/>
      <c r="JZR241" s="210"/>
      <c r="JZS241" s="210"/>
      <c r="JZT241" s="210"/>
      <c r="JZU241" s="210"/>
      <c r="JZV241" s="210"/>
      <c r="JZW241" s="210"/>
      <c r="JZX241" s="210"/>
      <c r="JZY241" s="210"/>
      <c r="JZZ241" s="210"/>
      <c r="KAA241" s="210"/>
      <c r="KAB241" s="210"/>
      <c r="KAC241" s="210"/>
      <c r="KAD241" s="210"/>
      <c r="KAE241" s="210"/>
      <c r="KAF241" s="210"/>
      <c r="KAG241" s="210"/>
      <c r="KAH241" s="210"/>
      <c r="KAI241" s="210"/>
      <c r="KAJ241" s="210"/>
      <c r="KAK241" s="210"/>
      <c r="KAL241" s="210"/>
      <c r="KAM241" s="210"/>
      <c r="KAN241" s="210"/>
      <c r="KAO241" s="210"/>
      <c r="KAP241" s="210"/>
      <c r="KAQ241" s="210"/>
      <c r="KAR241" s="210"/>
      <c r="KAS241" s="210"/>
      <c r="KAT241" s="210"/>
      <c r="KAU241" s="210"/>
      <c r="KAV241" s="210"/>
      <c r="KAW241" s="210"/>
      <c r="KAX241" s="210"/>
      <c r="KAY241" s="210"/>
      <c r="KAZ241" s="210"/>
      <c r="KBA241" s="210"/>
      <c r="KBB241" s="210"/>
      <c r="KBC241" s="210"/>
      <c r="KBD241" s="210"/>
      <c r="KBE241" s="210"/>
      <c r="KBF241" s="210"/>
      <c r="KBG241" s="210"/>
      <c r="KBH241" s="210"/>
      <c r="KBI241" s="210"/>
      <c r="KBJ241" s="210"/>
      <c r="KBK241" s="210"/>
      <c r="KBL241" s="210"/>
      <c r="KBM241" s="210"/>
      <c r="KBN241" s="210"/>
      <c r="KBO241" s="210"/>
      <c r="KBP241" s="210"/>
      <c r="KBQ241" s="210"/>
      <c r="KBR241" s="210"/>
      <c r="KBS241" s="210"/>
      <c r="KBT241" s="210"/>
      <c r="KBU241" s="210"/>
      <c r="KBV241" s="210"/>
      <c r="KBW241" s="210"/>
      <c r="KBX241" s="210"/>
      <c r="KBY241" s="210"/>
      <c r="KBZ241" s="210"/>
      <c r="KCA241" s="210"/>
      <c r="KCB241" s="210"/>
      <c r="KCC241" s="210"/>
      <c r="KCD241" s="210"/>
      <c r="KCE241" s="210"/>
      <c r="KCF241" s="210"/>
      <c r="KCG241" s="210"/>
      <c r="KCH241" s="210"/>
      <c r="KCI241" s="210"/>
      <c r="KCJ241" s="210"/>
      <c r="KCK241" s="210"/>
      <c r="KCL241" s="210"/>
      <c r="KCM241" s="210"/>
      <c r="KCN241" s="210"/>
      <c r="KCO241" s="210"/>
      <c r="KCP241" s="210"/>
      <c r="KCQ241" s="210"/>
      <c r="KCR241" s="210"/>
      <c r="KCS241" s="210"/>
      <c r="KCT241" s="210"/>
      <c r="KCU241" s="210"/>
      <c r="KCV241" s="210"/>
      <c r="KCW241" s="210"/>
      <c r="KCX241" s="210"/>
      <c r="KCY241" s="210"/>
      <c r="KCZ241" s="210"/>
      <c r="KDA241" s="210"/>
      <c r="KDB241" s="210"/>
      <c r="KDC241" s="210"/>
      <c r="KDD241" s="210"/>
      <c r="KDE241" s="210"/>
      <c r="KDF241" s="210"/>
      <c r="KDG241" s="210"/>
      <c r="KDH241" s="210"/>
      <c r="KDI241" s="210"/>
      <c r="KDJ241" s="210"/>
      <c r="KDK241" s="210"/>
      <c r="KDL241" s="210"/>
      <c r="KDM241" s="210"/>
      <c r="KDN241" s="210"/>
      <c r="KDO241" s="210"/>
      <c r="KDP241" s="210"/>
      <c r="KDQ241" s="210"/>
      <c r="KDR241" s="210"/>
      <c r="KDS241" s="210"/>
      <c r="KDT241" s="210"/>
      <c r="KDU241" s="210"/>
      <c r="KDV241" s="210"/>
      <c r="KDW241" s="210"/>
      <c r="KDX241" s="210"/>
      <c r="KDY241" s="210"/>
      <c r="KDZ241" s="210"/>
      <c r="KEA241" s="210"/>
      <c r="KEB241" s="210"/>
      <c r="KEC241" s="210"/>
      <c r="KED241" s="210"/>
      <c r="KEE241" s="210"/>
      <c r="KEF241" s="210"/>
      <c r="KEG241" s="210"/>
      <c r="KEH241" s="210"/>
      <c r="KEI241" s="210"/>
      <c r="KEJ241" s="210"/>
      <c r="KEK241" s="210"/>
      <c r="KEL241" s="210"/>
      <c r="KEM241" s="210"/>
      <c r="KEN241" s="210"/>
      <c r="KEO241" s="210"/>
      <c r="KEP241" s="210"/>
      <c r="KEQ241" s="210"/>
      <c r="KER241" s="210"/>
      <c r="KES241" s="210"/>
      <c r="KET241" s="210"/>
      <c r="KEU241" s="210"/>
      <c r="KEV241" s="210"/>
      <c r="KEW241" s="210"/>
      <c r="KEX241" s="210"/>
      <c r="KEY241" s="210"/>
      <c r="KEZ241" s="210"/>
      <c r="KFA241" s="210"/>
      <c r="KFB241" s="210"/>
      <c r="KFC241" s="210"/>
      <c r="KFD241" s="210"/>
      <c r="KFE241" s="210"/>
      <c r="KFF241" s="210"/>
      <c r="KFG241" s="210"/>
      <c r="KFH241" s="210"/>
      <c r="KFI241" s="210"/>
      <c r="KFJ241" s="210"/>
      <c r="KFK241" s="210"/>
      <c r="KFL241" s="210"/>
      <c r="KFM241" s="210"/>
      <c r="KFN241" s="210"/>
      <c r="KFO241" s="210"/>
      <c r="KFP241" s="210"/>
      <c r="KFQ241" s="210"/>
      <c r="KFR241" s="210"/>
      <c r="KFS241" s="210"/>
      <c r="KFT241" s="210"/>
      <c r="KFU241" s="210"/>
      <c r="KFV241" s="210"/>
      <c r="KFW241" s="210"/>
      <c r="KFX241" s="210"/>
      <c r="KFY241" s="210"/>
      <c r="KFZ241" s="210"/>
      <c r="KGA241" s="210"/>
      <c r="KGB241" s="210"/>
      <c r="KGC241" s="210"/>
      <c r="KGD241" s="210"/>
      <c r="KGE241" s="210"/>
      <c r="KGF241" s="210"/>
      <c r="KGG241" s="210"/>
      <c r="KGH241" s="210"/>
      <c r="KGI241" s="210"/>
      <c r="KGJ241" s="210"/>
      <c r="KGK241" s="210"/>
      <c r="KGL241" s="210"/>
      <c r="KGM241" s="210"/>
      <c r="KGN241" s="210"/>
      <c r="KGO241" s="210"/>
      <c r="KGP241" s="210"/>
      <c r="KGQ241" s="210"/>
      <c r="KGR241" s="210"/>
      <c r="KGS241" s="210"/>
      <c r="KGT241" s="210"/>
      <c r="KGU241" s="210"/>
      <c r="KGV241" s="210"/>
      <c r="KGW241" s="210"/>
      <c r="KGX241" s="210"/>
      <c r="KGY241" s="210"/>
      <c r="KGZ241" s="210"/>
      <c r="KHA241" s="210"/>
      <c r="KHB241" s="210"/>
      <c r="KHC241" s="210"/>
      <c r="KHD241" s="210"/>
      <c r="KHE241" s="210"/>
      <c r="KHF241" s="210"/>
      <c r="KHG241" s="210"/>
      <c r="KHH241" s="210"/>
      <c r="KHI241" s="210"/>
      <c r="KHJ241" s="210"/>
      <c r="KHK241" s="210"/>
      <c r="KHL241" s="210"/>
      <c r="KHM241" s="210"/>
      <c r="KHN241" s="210"/>
      <c r="KHO241" s="210"/>
      <c r="KHP241" s="210"/>
      <c r="KHQ241" s="210"/>
      <c r="KHR241" s="210"/>
      <c r="KHS241" s="210"/>
      <c r="KHT241" s="210"/>
      <c r="KHU241" s="210"/>
      <c r="KHV241" s="210"/>
      <c r="KHW241" s="210"/>
      <c r="KHX241" s="210"/>
      <c r="KHY241" s="210"/>
      <c r="KHZ241" s="210"/>
      <c r="KIA241" s="210"/>
      <c r="KIB241" s="210"/>
      <c r="KIC241" s="210"/>
      <c r="KID241" s="210"/>
      <c r="KIE241" s="210"/>
      <c r="KIF241" s="210"/>
      <c r="KIG241" s="210"/>
      <c r="KIH241" s="210"/>
      <c r="KII241" s="210"/>
      <c r="KIJ241" s="210"/>
      <c r="KIK241" s="210"/>
      <c r="KIL241" s="210"/>
      <c r="KIM241" s="210"/>
      <c r="KIN241" s="210"/>
      <c r="KIO241" s="210"/>
      <c r="KIP241" s="210"/>
      <c r="KIQ241" s="210"/>
      <c r="KIR241" s="210"/>
      <c r="KIS241" s="210"/>
      <c r="KIT241" s="210"/>
      <c r="KIU241" s="210"/>
      <c r="KIV241" s="210"/>
      <c r="KIW241" s="210"/>
      <c r="KIX241" s="210"/>
      <c r="KIY241" s="210"/>
      <c r="KIZ241" s="210"/>
      <c r="KJA241" s="210"/>
      <c r="KJB241" s="210"/>
      <c r="KJC241" s="210"/>
      <c r="KJD241" s="210"/>
      <c r="KJE241" s="210"/>
      <c r="KJF241" s="210"/>
      <c r="KJG241" s="210"/>
      <c r="KJH241" s="210"/>
      <c r="KJI241" s="210"/>
      <c r="KJJ241" s="210"/>
      <c r="KJK241" s="210"/>
      <c r="KJL241" s="210"/>
      <c r="KJM241" s="210"/>
      <c r="KJN241" s="210"/>
      <c r="KJO241" s="210"/>
      <c r="KJP241" s="210"/>
      <c r="KJQ241" s="210"/>
      <c r="KJR241" s="210"/>
      <c r="KJS241" s="210"/>
      <c r="KJT241" s="210"/>
      <c r="KJU241" s="210"/>
      <c r="KJV241" s="210"/>
      <c r="KJW241" s="210"/>
      <c r="KJX241" s="210"/>
      <c r="KJY241" s="210"/>
      <c r="KJZ241" s="210"/>
      <c r="KKA241" s="210"/>
      <c r="KKB241" s="210"/>
      <c r="KKC241" s="210"/>
      <c r="KKD241" s="210"/>
      <c r="KKE241" s="210"/>
      <c r="KKF241" s="210"/>
      <c r="KKG241" s="210"/>
      <c r="KKH241" s="210"/>
      <c r="KKI241" s="210"/>
      <c r="KKJ241" s="210"/>
      <c r="KKK241" s="210"/>
      <c r="KKL241" s="210"/>
      <c r="KKM241" s="210"/>
      <c r="KKN241" s="210"/>
      <c r="KKO241" s="210"/>
      <c r="KKP241" s="210"/>
      <c r="KKQ241" s="210"/>
      <c r="KKR241" s="210"/>
      <c r="KKS241" s="210"/>
      <c r="KKT241" s="210"/>
      <c r="KKU241" s="210"/>
      <c r="KKV241" s="210"/>
      <c r="KKW241" s="210"/>
      <c r="KKX241" s="210"/>
      <c r="KKY241" s="210"/>
      <c r="KKZ241" s="210"/>
      <c r="KLA241" s="210"/>
      <c r="KLB241" s="210"/>
      <c r="KLC241" s="210"/>
      <c r="KLD241" s="210"/>
      <c r="KLE241" s="210"/>
      <c r="KLF241" s="210"/>
      <c r="KLG241" s="210"/>
      <c r="KLH241" s="210"/>
      <c r="KLI241" s="210"/>
      <c r="KLJ241" s="210"/>
      <c r="KLK241" s="210"/>
      <c r="KLL241" s="210"/>
      <c r="KLM241" s="210"/>
      <c r="KLN241" s="210"/>
      <c r="KLO241" s="210"/>
      <c r="KLP241" s="210"/>
      <c r="KLQ241" s="210"/>
      <c r="KLR241" s="210"/>
      <c r="KLS241" s="210"/>
      <c r="KLT241" s="210"/>
      <c r="KLU241" s="210"/>
      <c r="KLV241" s="210"/>
      <c r="KLW241" s="210"/>
      <c r="KLX241" s="210"/>
      <c r="KLY241" s="210"/>
      <c r="KLZ241" s="210"/>
      <c r="KMA241" s="210"/>
      <c r="KMB241" s="210"/>
      <c r="KMC241" s="210"/>
      <c r="KMD241" s="210"/>
      <c r="KME241" s="210"/>
      <c r="KMF241" s="210"/>
      <c r="KMG241" s="210"/>
      <c r="KMH241" s="210"/>
      <c r="KMI241" s="210"/>
      <c r="KMJ241" s="210"/>
      <c r="KMK241" s="210"/>
      <c r="KML241" s="210"/>
      <c r="KMM241" s="210"/>
      <c r="KMN241" s="210"/>
      <c r="KMO241" s="210"/>
      <c r="KMP241" s="210"/>
      <c r="KMQ241" s="210"/>
      <c r="KMR241" s="210"/>
      <c r="KMS241" s="210"/>
      <c r="KMT241" s="210"/>
      <c r="KMU241" s="210"/>
      <c r="KMV241" s="210"/>
      <c r="KMW241" s="210"/>
      <c r="KMX241" s="210"/>
      <c r="KMY241" s="210"/>
      <c r="KMZ241" s="210"/>
      <c r="KNA241" s="210"/>
      <c r="KNB241" s="210"/>
      <c r="KNC241" s="210"/>
      <c r="KND241" s="210"/>
      <c r="KNE241" s="210"/>
      <c r="KNF241" s="210"/>
      <c r="KNG241" s="210"/>
      <c r="KNH241" s="210"/>
      <c r="KNI241" s="210"/>
      <c r="KNJ241" s="210"/>
      <c r="KNK241" s="210"/>
      <c r="KNL241" s="210"/>
      <c r="KNM241" s="210"/>
      <c r="KNN241" s="210"/>
      <c r="KNO241" s="210"/>
      <c r="KNP241" s="210"/>
      <c r="KNQ241" s="210"/>
      <c r="KNR241" s="210"/>
      <c r="KNS241" s="210"/>
      <c r="KNT241" s="210"/>
      <c r="KNU241" s="210"/>
      <c r="KNV241" s="210"/>
      <c r="KNW241" s="210"/>
      <c r="KNX241" s="210"/>
      <c r="KNY241" s="210"/>
      <c r="KNZ241" s="210"/>
      <c r="KOA241" s="210"/>
      <c r="KOB241" s="210"/>
      <c r="KOC241" s="210"/>
      <c r="KOD241" s="210"/>
      <c r="KOE241" s="210"/>
      <c r="KOF241" s="210"/>
      <c r="KOG241" s="210"/>
      <c r="KOH241" s="210"/>
      <c r="KOI241" s="210"/>
      <c r="KOJ241" s="210"/>
      <c r="KOK241" s="210"/>
      <c r="KOL241" s="210"/>
      <c r="KOM241" s="210"/>
      <c r="KON241" s="210"/>
      <c r="KOO241" s="210"/>
      <c r="KOP241" s="210"/>
      <c r="KOQ241" s="210"/>
      <c r="KOR241" s="210"/>
      <c r="KOS241" s="210"/>
      <c r="KOT241" s="210"/>
      <c r="KOU241" s="210"/>
      <c r="KOV241" s="210"/>
      <c r="KOW241" s="210"/>
      <c r="KOX241" s="210"/>
      <c r="KOY241" s="210"/>
      <c r="KOZ241" s="210"/>
      <c r="KPA241" s="210"/>
      <c r="KPB241" s="210"/>
      <c r="KPC241" s="210"/>
      <c r="KPD241" s="210"/>
      <c r="KPE241" s="210"/>
      <c r="KPF241" s="210"/>
      <c r="KPG241" s="210"/>
      <c r="KPH241" s="210"/>
      <c r="KPI241" s="210"/>
      <c r="KPJ241" s="210"/>
      <c r="KPK241" s="210"/>
      <c r="KPL241" s="210"/>
      <c r="KPM241" s="210"/>
      <c r="KPN241" s="210"/>
      <c r="KPO241" s="210"/>
      <c r="KPP241" s="210"/>
      <c r="KPQ241" s="210"/>
      <c r="KPR241" s="210"/>
      <c r="KPS241" s="210"/>
      <c r="KPT241" s="210"/>
      <c r="KPU241" s="210"/>
      <c r="KPV241" s="210"/>
      <c r="KPW241" s="210"/>
      <c r="KPX241" s="210"/>
      <c r="KPY241" s="210"/>
      <c r="KPZ241" s="210"/>
      <c r="KQA241" s="210"/>
      <c r="KQB241" s="210"/>
      <c r="KQC241" s="210"/>
      <c r="KQD241" s="210"/>
      <c r="KQE241" s="210"/>
      <c r="KQF241" s="210"/>
      <c r="KQG241" s="210"/>
      <c r="KQH241" s="210"/>
      <c r="KQI241" s="210"/>
      <c r="KQJ241" s="210"/>
      <c r="KQK241" s="210"/>
      <c r="KQL241" s="210"/>
      <c r="KQM241" s="210"/>
      <c r="KQN241" s="210"/>
      <c r="KQO241" s="210"/>
      <c r="KQP241" s="210"/>
      <c r="KQQ241" s="210"/>
      <c r="KQR241" s="210"/>
      <c r="KQS241" s="210"/>
      <c r="KQT241" s="210"/>
      <c r="KQU241" s="210"/>
      <c r="KQV241" s="210"/>
      <c r="KQW241" s="210"/>
      <c r="KQX241" s="210"/>
      <c r="KQY241" s="210"/>
      <c r="KQZ241" s="210"/>
      <c r="KRA241" s="210"/>
      <c r="KRB241" s="210"/>
      <c r="KRC241" s="210"/>
      <c r="KRD241" s="210"/>
      <c r="KRE241" s="210"/>
      <c r="KRF241" s="210"/>
      <c r="KRG241" s="210"/>
      <c r="KRH241" s="210"/>
      <c r="KRI241" s="210"/>
      <c r="KRJ241" s="210"/>
      <c r="KRK241" s="210"/>
      <c r="KRL241" s="210"/>
      <c r="KRM241" s="210"/>
      <c r="KRN241" s="210"/>
      <c r="KRO241" s="210"/>
      <c r="KRP241" s="210"/>
      <c r="KRQ241" s="210"/>
      <c r="KRR241" s="210"/>
      <c r="KRS241" s="210"/>
      <c r="KRT241" s="210"/>
      <c r="KRU241" s="210"/>
      <c r="KRV241" s="210"/>
      <c r="KRW241" s="210"/>
      <c r="KRX241" s="210"/>
      <c r="KRY241" s="210"/>
      <c r="KRZ241" s="210"/>
      <c r="KSA241" s="210"/>
      <c r="KSB241" s="210"/>
      <c r="KSC241" s="210"/>
      <c r="KSD241" s="210"/>
      <c r="KSE241" s="210"/>
      <c r="KSF241" s="210"/>
      <c r="KSG241" s="210"/>
      <c r="KSH241" s="210"/>
      <c r="KSI241" s="210"/>
      <c r="KSJ241" s="210"/>
      <c r="KSK241" s="210"/>
      <c r="KSL241" s="210"/>
      <c r="KSM241" s="210"/>
      <c r="KSN241" s="210"/>
      <c r="KSO241" s="210"/>
      <c r="KSP241" s="210"/>
      <c r="KSQ241" s="210"/>
      <c r="KSR241" s="210"/>
      <c r="KSS241" s="210"/>
      <c r="KST241" s="210"/>
      <c r="KSU241" s="210"/>
      <c r="KSV241" s="210"/>
      <c r="KSW241" s="210"/>
      <c r="KSX241" s="210"/>
      <c r="KSY241" s="210"/>
      <c r="KSZ241" s="210"/>
      <c r="KTA241" s="210"/>
      <c r="KTB241" s="210"/>
      <c r="KTC241" s="210"/>
      <c r="KTD241" s="210"/>
      <c r="KTE241" s="210"/>
      <c r="KTF241" s="210"/>
      <c r="KTG241" s="210"/>
      <c r="KTH241" s="210"/>
      <c r="KTI241" s="210"/>
      <c r="KTJ241" s="210"/>
      <c r="KTK241" s="210"/>
      <c r="KTL241" s="210"/>
      <c r="KTM241" s="210"/>
      <c r="KTN241" s="210"/>
      <c r="KTO241" s="210"/>
      <c r="KTP241" s="210"/>
      <c r="KTQ241" s="210"/>
      <c r="KTR241" s="210"/>
      <c r="KTS241" s="210"/>
      <c r="KTT241" s="210"/>
      <c r="KTU241" s="210"/>
      <c r="KTV241" s="210"/>
      <c r="KTW241" s="210"/>
      <c r="KTX241" s="210"/>
      <c r="KTY241" s="210"/>
      <c r="KTZ241" s="210"/>
      <c r="KUA241" s="210"/>
      <c r="KUB241" s="210"/>
      <c r="KUC241" s="210"/>
      <c r="KUD241" s="210"/>
      <c r="KUE241" s="210"/>
      <c r="KUF241" s="210"/>
      <c r="KUG241" s="210"/>
      <c r="KUH241" s="210"/>
      <c r="KUI241" s="210"/>
      <c r="KUJ241" s="210"/>
      <c r="KUK241" s="210"/>
      <c r="KUL241" s="210"/>
      <c r="KUM241" s="210"/>
      <c r="KUN241" s="210"/>
      <c r="KUO241" s="210"/>
      <c r="KUP241" s="210"/>
      <c r="KUQ241" s="210"/>
      <c r="KUR241" s="210"/>
      <c r="KUS241" s="210"/>
      <c r="KUT241" s="210"/>
      <c r="KUU241" s="210"/>
      <c r="KUV241" s="210"/>
      <c r="KUW241" s="210"/>
      <c r="KUX241" s="210"/>
      <c r="KUY241" s="210"/>
      <c r="KUZ241" s="210"/>
      <c r="KVA241" s="210"/>
      <c r="KVB241" s="210"/>
      <c r="KVC241" s="210"/>
      <c r="KVD241" s="210"/>
      <c r="KVE241" s="210"/>
      <c r="KVF241" s="210"/>
      <c r="KVG241" s="210"/>
      <c r="KVH241" s="210"/>
      <c r="KVI241" s="210"/>
      <c r="KVJ241" s="210"/>
      <c r="KVK241" s="210"/>
      <c r="KVL241" s="210"/>
      <c r="KVM241" s="210"/>
      <c r="KVN241" s="210"/>
      <c r="KVO241" s="210"/>
      <c r="KVP241" s="210"/>
      <c r="KVQ241" s="210"/>
      <c r="KVR241" s="210"/>
      <c r="KVS241" s="210"/>
      <c r="KVT241" s="210"/>
      <c r="KVU241" s="210"/>
      <c r="KVV241" s="210"/>
      <c r="KVW241" s="210"/>
      <c r="KVX241" s="210"/>
      <c r="KVY241" s="210"/>
      <c r="KVZ241" s="210"/>
      <c r="KWA241" s="210"/>
      <c r="KWB241" s="210"/>
      <c r="KWC241" s="210"/>
      <c r="KWD241" s="210"/>
      <c r="KWE241" s="210"/>
      <c r="KWF241" s="210"/>
      <c r="KWG241" s="210"/>
      <c r="KWH241" s="210"/>
      <c r="KWI241" s="210"/>
      <c r="KWJ241" s="210"/>
      <c r="KWK241" s="210"/>
      <c r="KWL241" s="210"/>
      <c r="KWM241" s="210"/>
      <c r="KWN241" s="210"/>
      <c r="KWO241" s="210"/>
      <c r="KWP241" s="210"/>
      <c r="KWQ241" s="210"/>
      <c r="KWR241" s="210"/>
      <c r="KWS241" s="210"/>
      <c r="KWT241" s="210"/>
      <c r="KWU241" s="210"/>
      <c r="KWV241" s="210"/>
      <c r="KWW241" s="210"/>
      <c r="KWX241" s="210"/>
      <c r="KWY241" s="210"/>
      <c r="KWZ241" s="210"/>
      <c r="KXA241" s="210"/>
      <c r="KXB241" s="210"/>
      <c r="KXC241" s="210"/>
      <c r="KXD241" s="210"/>
      <c r="KXE241" s="210"/>
      <c r="KXF241" s="210"/>
      <c r="KXG241" s="210"/>
      <c r="KXH241" s="210"/>
      <c r="KXI241" s="210"/>
      <c r="KXJ241" s="210"/>
      <c r="KXK241" s="210"/>
      <c r="KXL241" s="210"/>
      <c r="KXM241" s="210"/>
      <c r="KXN241" s="210"/>
      <c r="KXO241" s="210"/>
      <c r="KXP241" s="210"/>
      <c r="KXQ241" s="210"/>
      <c r="KXR241" s="210"/>
      <c r="KXS241" s="210"/>
      <c r="KXT241" s="210"/>
      <c r="KXU241" s="210"/>
      <c r="KXV241" s="210"/>
      <c r="KXW241" s="210"/>
      <c r="KXX241" s="210"/>
      <c r="KXY241" s="210"/>
      <c r="KXZ241" s="210"/>
      <c r="KYA241" s="210"/>
      <c r="KYB241" s="210"/>
      <c r="KYC241" s="210"/>
      <c r="KYD241" s="210"/>
      <c r="KYE241" s="210"/>
      <c r="KYF241" s="210"/>
      <c r="KYG241" s="210"/>
      <c r="KYH241" s="210"/>
      <c r="KYI241" s="210"/>
      <c r="KYJ241" s="210"/>
      <c r="KYK241" s="210"/>
      <c r="KYL241" s="210"/>
      <c r="KYM241" s="210"/>
      <c r="KYN241" s="210"/>
      <c r="KYO241" s="210"/>
      <c r="KYP241" s="210"/>
      <c r="KYQ241" s="210"/>
      <c r="KYR241" s="210"/>
      <c r="KYS241" s="210"/>
      <c r="KYT241" s="210"/>
      <c r="KYU241" s="210"/>
      <c r="KYV241" s="210"/>
      <c r="KYW241" s="210"/>
      <c r="KYX241" s="210"/>
      <c r="KYY241" s="210"/>
      <c r="KYZ241" s="210"/>
      <c r="KZA241" s="210"/>
      <c r="KZB241" s="210"/>
      <c r="KZC241" s="210"/>
      <c r="KZD241" s="210"/>
      <c r="KZE241" s="210"/>
      <c r="KZF241" s="210"/>
      <c r="KZG241" s="210"/>
      <c r="KZH241" s="210"/>
      <c r="KZI241" s="210"/>
      <c r="KZJ241" s="210"/>
      <c r="KZK241" s="210"/>
      <c r="KZL241" s="210"/>
      <c r="KZM241" s="210"/>
      <c r="KZN241" s="210"/>
      <c r="KZO241" s="210"/>
      <c r="KZP241" s="210"/>
      <c r="KZQ241" s="210"/>
      <c r="KZR241" s="210"/>
      <c r="KZS241" s="210"/>
      <c r="KZT241" s="210"/>
      <c r="KZU241" s="210"/>
      <c r="KZV241" s="210"/>
      <c r="KZW241" s="210"/>
      <c r="KZX241" s="210"/>
      <c r="KZY241" s="210"/>
      <c r="KZZ241" s="210"/>
      <c r="LAA241" s="210"/>
      <c r="LAB241" s="210"/>
      <c r="LAC241" s="210"/>
      <c r="LAD241" s="210"/>
      <c r="LAE241" s="210"/>
      <c r="LAF241" s="210"/>
      <c r="LAG241" s="210"/>
      <c r="LAH241" s="210"/>
      <c r="LAI241" s="210"/>
      <c r="LAJ241" s="210"/>
      <c r="LAK241" s="210"/>
      <c r="LAL241" s="210"/>
      <c r="LAM241" s="210"/>
      <c r="LAN241" s="210"/>
      <c r="LAO241" s="210"/>
      <c r="LAP241" s="210"/>
      <c r="LAQ241" s="210"/>
      <c r="LAR241" s="210"/>
      <c r="LAS241" s="210"/>
      <c r="LAT241" s="210"/>
      <c r="LAU241" s="210"/>
      <c r="LAV241" s="210"/>
      <c r="LAW241" s="210"/>
      <c r="LAX241" s="210"/>
      <c r="LAY241" s="210"/>
      <c r="LAZ241" s="210"/>
      <c r="LBA241" s="210"/>
      <c r="LBB241" s="210"/>
      <c r="LBC241" s="210"/>
      <c r="LBD241" s="210"/>
      <c r="LBE241" s="210"/>
      <c r="LBF241" s="210"/>
      <c r="LBG241" s="210"/>
      <c r="LBH241" s="210"/>
      <c r="LBI241" s="210"/>
      <c r="LBJ241" s="210"/>
      <c r="LBK241" s="210"/>
      <c r="LBL241" s="210"/>
      <c r="LBM241" s="210"/>
      <c r="LBN241" s="210"/>
      <c r="LBO241" s="210"/>
      <c r="LBP241" s="210"/>
      <c r="LBQ241" s="210"/>
      <c r="LBR241" s="210"/>
      <c r="LBS241" s="210"/>
      <c r="LBT241" s="210"/>
      <c r="LBU241" s="210"/>
      <c r="LBV241" s="210"/>
      <c r="LBW241" s="210"/>
      <c r="LBX241" s="210"/>
      <c r="LBY241" s="210"/>
      <c r="LBZ241" s="210"/>
      <c r="LCA241" s="210"/>
      <c r="LCB241" s="210"/>
      <c r="LCC241" s="210"/>
      <c r="LCD241" s="210"/>
      <c r="LCE241" s="210"/>
      <c r="LCF241" s="210"/>
      <c r="LCG241" s="210"/>
      <c r="LCH241" s="210"/>
      <c r="LCI241" s="210"/>
      <c r="LCJ241" s="210"/>
      <c r="LCK241" s="210"/>
      <c r="LCL241" s="210"/>
      <c r="LCM241" s="210"/>
      <c r="LCN241" s="210"/>
      <c r="LCO241" s="210"/>
      <c r="LCP241" s="210"/>
      <c r="LCQ241" s="210"/>
      <c r="LCR241" s="210"/>
      <c r="LCS241" s="210"/>
      <c r="LCT241" s="210"/>
      <c r="LCU241" s="210"/>
      <c r="LCV241" s="210"/>
      <c r="LCW241" s="210"/>
      <c r="LCX241" s="210"/>
      <c r="LCY241" s="210"/>
      <c r="LCZ241" s="210"/>
      <c r="LDA241" s="210"/>
      <c r="LDB241" s="210"/>
      <c r="LDC241" s="210"/>
      <c r="LDD241" s="210"/>
      <c r="LDE241" s="210"/>
      <c r="LDF241" s="210"/>
      <c r="LDG241" s="210"/>
      <c r="LDH241" s="210"/>
      <c r="LDI241" s="210"/>
      <c r="LDJ241" s="210"/>
      <c r="LDK241" s="210"/>
      <c r="LDL241" s="210"/>
      <c r="LDM241" s="210"/>
      <c r="LDN241" s="210"/>
      <c r="LDO241" s="210"/>
      <c r="LDP241" s="210"/>
      <c r="LDQ241" s="210"/>
      <c r="LDR241" s="210"/>
      <c r="LDS241" s="210"/>
      <c r="LDT241" s="210"/>
      <c r="LDU241" s="210"/>
      <c r="LDV241" s="210"/>
      <c r="LDW241" s="210"/>
      <c r="LDX241" s="210"/>
      <c r="LDY241" s="210"/>
      <c r="LDZ241" s="210"/>
      <c r="LEA241" s="210"/>
      <c r="LEB241" s="210"/>
      <c r="LEC241" s="210"/>
      <c r="LED241" s="210"/>
      <c r="LEE241" s="210"/>
      <c r="LEF241" s="210"/>
      <c r="LEG241" s="210"/>
      <c r="LEH241" s="210"/>
      <c r="LEI241" s="210"/>
      <c r="LEJ241" s="210"/>
      <c r="LEK241" s="210"/>
      <c r="LEL241" s="210"/>
      <c r="LEM241" s="210"/>
      <c r="LEN241" s="210"/>
      <c r="LEO241" s="210"/>
      <c r="LEP241" s="210"/>
      <c r="LEQ241" s="210"/>
      <c r="LER241" s="210"/>
      <c r="LES241" s="210"/>
      <c r="LET241" s="210"/>
      <c r="LEU241" s="210"/>
      <c r="LEV241" s="210"/>
      <c r="LEW241" s="210"/>
      <c r="LEX241" s="210"/>
      <c r="LEY241" s="210"/>
      <c r="LEZ241" s="210"/>
      <c r="LFA241" s="210"/>
      <c r="LFB241" s="210"/>
      <c r="LFC241" s="210"/>
      <c r="LFD241" s="210"/>
      <c r="LFE241" s="210"/>
      <c r="LFF241" s="210"/>
      <c r="LFG241" s="210"/>
      <c r="LFH241" s="210"/>
      <c r="LFI241" s="210"/>
      <c r="LFJ241" s="210"/>
      <c r="LFK241" s="210"/>
      <c r="LFL241" s="210"/>
      <c r="LFM241" s="210"/>
      <c r="LFN241" s="210"/>
      <c r="LFO241" s="210"/>
      <c r="LFP241" s="210"/>
      <c r="LFQ241" s="210"/>
      <c r="LFR241" s="210"/>
      <c r="LFS241" s="210"/>
      <c r="LFT241" s="210"/>
      <c r="LFU241" s="210"/>
      <c r="LFV241" s="210"/>
      <c r="LFW241" s="210"/>
      <c r="LFX241" s="210"/>
      <c r="LFY241" s="210"/>
      <c r="LFZ241" s="210"/>
      <c r="LGA241" s="210"/>
      <c r="LGB241" s="210"/>
      <c r="LGC241" s="210"/>
      <c r="LGD241" s="210"/>
      <c r="LGE241" s="210"/>
      <c r="LGF241" s="210"/>
      <c r="LGG241" s="210"/>
      <c r="LGH241" s="210"/>
      <c r="LGI241" s="210"/>
      <c r="LGJ241" s="210"/>
      <c r="LGK241" s="210"/>
      <c r="LGL241" s="210"/>
      <c r="LGM241" s="210"/>
      <c r="LGN241" s="210"/>
      <c r="LGO241" s="210"/>
      <c r="LGP241" s="210"/>
      <c r="LGQ241" s="210"/>
      <c r="LGR241" s="210"/>
      <c r="LGS241" s="210"/>
      <c r="LGT241" s="210"/>
      <c r="LGU241" s="210"/>
      <c r="LGV241" s="210"/>
      <c r="LGW241" s="210"/>
      <c r="LGX241" s="210"/>
      <c r="LGY241" s="210"/>
      <c r="LGZ241" s="210"/>
      <c r="LHA241" s="210"/>
      <c r="LHB241" s="210"/>
      <c r="LHC241" s="210"/>
      <c r="LHD241" s="210"/>
      <c r="LHE241" s="210"/>
      <c r="LHF241" s="210"/>
      <c r="LHG241" s="210"/>
      <c r="LHH241" s="210"/>
      <c r="LHI241" s="210"/>
      <c r="LHJ241" s="210"/>
      <c r="LHK241" s="210"/>
      <c r="LHL241" s="210"/>
      <c r="LHM241" s="210"/>
      <c r="LHN241" s="210"/>
      <c r="LHO241" s="210"/>
      <c r="LHP241" s="210"/>
      <c r="LHQ241" s="210"/>
      <c r="LHR241" s="210"/>
      <c r="LHS241" s="210"/>
      <c r="LHT241" s="210"/>
      <c r="LHU241" s="210"/>
      <c r="LHV241" s="210"/>
      <c r="LHW241" s="210"/>
      <c r="LHX241" s="210"/>
      <c r="LHY241" s="210"/>
      <c r="LHZ241" s="210"/>
      <c r="LIA241" s="210"/>
      <c r="LIB241" s="210"/>
      <c r="LIC241" s="210"/>
      <c r="LID241" s="210"/>
      <c r="LIE241" s="210"/>
      <c r="LIF241" s="210"/>
      <c r="LIG241" s="210"/>
      <c r="LIH241" s="210"/>
      <c r="LII241" s="210"/>
      <c r="LIJ241" s="210"/>
      <c r="LIK241" s="210"/>
      <c r="LIL241" s="210"/>
      <c r="LIM241" s="210"/>
      <c r="LIN241" s="210"/>
      <c r="LIO241" s="210"/>
      <c r="LIP241" s="210"/>
      <c r="LIQ241" s="210"/>
      <c r="LIR241" s="210"/>
      <c r="LIS241" s="210"/>
      <c r="LIT241" s="210"/>
      <c r="LIU241" s="210"/>
      <c r="LIV241" s="210"/>
      <c r="LIW241" s="210"/>
      <c r="LIX241" s="210"/>
      <c r="LIY241" s="210"/>
      <c r="LIZ241" s="210"/>
      <c r="LJA241" s="210"/>
      <c r="LJB241" s="210"/>
      <c r="LJC241" s="210"/>
      <c r="LJD241" s="210"/>
      <c r="LJE241" s="210"/>
      <c r="LJF241" s="210"/>
      <c r="LJG241" s="210"/>
      <c r="LJH241" s="210"/>
      <c r="LJI241" s="210"/>
      <c r="LJJ241" s="210"/>
      <c r="LJK241" s="210"/>
      <c r="LJL241" s="210"/>
      <c r="LJM241" s="210"/>
      <c r="LJN241" s="210"/>
      <c r="LJO241" s="210"/>
      <c r="LJP241" s="210"/>
      <c r="LJQ241" s="210"/>
      <c r="LJR241" s="210"/>
      <c r="LJS241" s="210"/>
      <c r="LJT241" s="210"/>
      <c r="LJU241" s="210"/>
      <c r="LJV241" s="210"/>
      <c r="LJW241" s="210"/>
      <c r="LJX241" s="210"/>
      <c r="LJY241" s="210"/>
      <c r="LJZ241" s="210"/>
      <c r="LKA241" s="210"/>
      <c r="LKB241" s="210"/>
      <c r="LKC241" s="210"/>
      <c r="LKD241" s="210"/>
      <c r="LKE241" s="210"/>
      <c r="LKF241" s="210"/>
      <c r="LKG241" s="210"/>
      <c r="LKH241" s="210"/>
      <c r="LKI241" s="210"/>
      <c r="LKJ241" s="210"/>
      <c r="LKK241" s="210"/>
      <c r="LKL241" s="210"/>
      <c r="LKM241" s="210"/>
      <c r="LKN241" s="210"/>
      <c r="LKO241" s="210"/>
      <c r="LKP241" s="210"/>
      <c r="LKQ241" s="210"/>
      <c r="LKR241" s="210"/>
      <c r="LKS241" s="210"/>
      <c r="LKT241" s="210"/>
      <c r="LKU241" s="210"/>
      <c r="LKV241" s="210"/>
      <c r="LKW241" s="210"/>
      <c r="LKX241" s="210"/>
      <c r="LKY241" s="210"/>
      <c r="LKZ241" s="210"/>
      <c r="LLA241" s="210"/>
      <c r="LLB241" s="210"/>
      <c r="LLC241" s="210"/>
      <c r="LLD241" s="210"/>
      <c r="LLE241" s="210"/>
      <c r="LLF241" s="210"/>
      <c r="LLG241" s="210"/>
      <c r="LLH241" s="210"/>
      <c r="LLI241" s="210"/>
      <c r="LLJ241" s="210"/>
      <c r="LLK241" s="210"/>
      <c r="LLL241" s="210"/>
      <c r="LLM241" s="210"/>
      <c r="LLN241" s="210"/>
      <c r="LLO241" s="210"/>
      <c r="LLP241" s="210"/>
      <c r="LLQ241" s="210"/>
      <c r="LLR241" s="210"/>
      <c r="LLS241" s="210"/>
      <c r="LLT241" s="210"/>
      <c r="LLU241" s="210"/>
      <c r="LLV241" s="210"/>
      <c r="LLW241" s="210"/>
      <c r="LLX241" s="210"/>
      <c r="LLY241" s="210"/>
      <c r="LLZ241" s="210"/>
      <c r="LMA241" s="210"/>
      <c r="LMB241" s="210"/>
      <c r="LMC241" s="210"/>
      <c r="LMD241" s="210"/>
      <c r="LME241" s="210"/>
      <c r="LMF241" s="210"/>
      <c r="LMG241" s="210"/>
      <c r="LMH241" s="210"/>
      <c r="LMI241" s="210"/>
      <c r="LMJ241" s="210"/>
      <c r="LMK241" s="210"/>
      <c r="LML241" s="210"/>
      <c r="LMM241" s="210"/>
      <c r="LMN241" s="210"/>
      <c r="LMO241" s="210"/>
      <c r="LMP241" s="210"/>
      <c r="LMQ241" s="210"/>
      <c r="LMR241" s="210"/>
      <c r="LMS241" s="210"/>
      <c r="LMT241" s="210"/>
      <c r="LMU241" s="210"/>
      <c r="LMV241" s="210"/>
      <c r="LMW241" s="210"/>
      <c r="LMX241" s="210"/>
      <c r="LMY241" s="210"/>
      <c r="LMZ241" s="210"/>
      <c r="LNA241" s="210"/>
      <c r="LNB241" s="210"/>
      <c r="LNC241" s="210"/>
      <c r="LND241" s="210"/>
      <c r="LNE241" s="210"/>
      <c r="LNF241" s="210"/>
      <c r="LNG241" s="210"/>
      <c r="LNH241" s="210"/>
      <c r="LNI241" s="210"/>
      <c r="LNJ241" s="210"/>
      <c r="LNK241" s="210"/>
      <c r="LNL241" s="210"/>
      <c r="LNM241" s="210"/>
      <c r="LNN241" s="210"/>
      <c r="LNO241" s="210"/>
      <c r="LNP241" s="210"/>
      <c r="LNQ241" s="210"/>
      <c r="LNR241" s="210"/>
      <c r="LNS241" s="210"/>
      <c r="LNT241" s="210"/>
      <c r="LNU241" s="210"/>
      <c r="LNV241" s="210"/>
      <c r="LNW241" s="210"/>
      <c r="LNX241" s="210"/>
      <c r="LNY241" s="210"/>
      <c r="LNZ241" s="210"/>
      <c r="LOA241" s="210"/>
      <c r="LOB241" s="210"/>
      <c r="LOC241" s="210"/>
      <c r="LOD241" s="210"/>
      <c r="LOE241" s="210"/>
      <c r="LOF241" s="210"/>
      <c r="LOG241" s="210"/>
      <c r="LOH241" s="210"/>
      <c r="LOI241" s="210"/>
      <c r="LOJ241" s="210"/>
      <c r="LOK241" s="210"/>
      <c r="LOL241" s="210"/>
      <c r="LOM241" s="210"/>
      <c r="LON241" s="210"/>
      <c r="LOO241" s="210"/>
      <c r="LOP241" s="210"/>
      <c r="LOQ241" s="210"/>
      <c r="LOR241" s="210"/>
      <c r="LOS241" s="210"/>
      <c r="LOT241" s="210"/>
      <c r="LOU241" s="210"/>
      <c r="LOV241" s="210"/>
      <c r="LOW241" s="210"/>
      <c r="LOX241" s="210"/>
      <c r="LOY241" s="210"/>
      <c r="LOZ241" s="210"/>
      <c r="LPA241" s="210"/>
      <c r="LPB241" s="210"/>
      <c r="LPC241" s="210"/>
      <c r="LPD241" s="210"/>
      <c r="LPE241" s="210"/>
      <c r="LPF241" s="210"/>
      <c r="LPG241" s="210"/>
      <c r="LPH241" s="210"/>
      <c r="LPI241" s="210"/>
      <c r="LPJ241" s="210"/>
      <c r="LPK241" s="210"/>
      <c r="LPL241" s="210"/>
      <c r="LPM241" s="210"/>
      <c r="LPN241" s="210"/>
      <c r="LPO241" s="210"/>
      <c r="LPP241" s="210"/>
      <c r="LPQ241" s="210"/>
      <c r="LPR241" s="210"/>
      <c r="LPS241" s="210"/>
      <c r="LPT241" s="210"/>
      <c r="LPU241" s="210"/>
      <c r="LPV241" s="210"/>
      <c r="LPW241" s="210"/>
      <c r="LPX241" s="210"/>
      <c r="LPY241" s="210"/>
      <c r="LPZ241" s="210"/>
      <c r="LQA241" s="210"/>
      <c r="LQB241" s="210"/>
      <c r="LQC241" s="210"/>
      <c r="LQD241" s="210"/>
      <c r="LQE241" s="210"/>
      <c r="LQF241" s="210"/>
      <c r="LQG241" s="210"/>
      <c r="LQH241" s="210"/>
      <c r="LQI241" s="210"/>
      <c r="LQJ241" s="210"/>
      <c r="LQK241" s="210"/>
      <c r="LQL241" s="210"/>
      <c r="LQM241" s="210"/>
      <c r="LQN241" s="210"/>
      <c r="LQO241" s="210"/>
      <c r="LQP241" s="210"/>
      <c r="LQQ241" s="210"/>
      <c r="LQR241" s="210"/>
      <c r="LQS241" s="210"/>
      <c r="LQT241" s="210"/>
      <c r="LQU241" s="210"/>
      <c r="LQV241" s="210"/>
      <c r="LQW241" s="210"/>
      <c r="LQX241" s="210"/>
      <c r="LQY241" s="210"/>
      <c r="LQZ241" s="210"/>
      <c r="LRA241" s="210"/>
      <c r="LRB241" s="210"/>
      <c r="LRC241" s="210"/>
      <c r="LRD241" s="210"/>
      <c r="LRE241" s="210"/>
      <c r="LRF241" s="210"/>
      <c r="LRG241" s="210"/>
      <c r="LRH241" s="210"/>
      <c r="LRI241" s="210"/>
      <c r="LRJ241" s="210"/>
      <c r="LRK241" s="210"/>
      <c r="LRL241" s="210"/>
      <c r="LRM241" s="210"/>
      <c r="LRN241" s="210"/>
      <c r="LRO241" s="210"/>
      <c r="LRP241" s="210"/>
      <c r="LRQ241" s="210"/>
      <c r="LRR241" s="210"/>
      <c r="LRS241" s="210"/>
      <c r="LRT241" s="210"/>
      <c r="LRU241" s="210"/>
      <c r="LRV241" s="210"/>
      <c r="LRW241" s="210"/>
      <c r="LRX241" s="210"/>
      <c r="LRY241" s="210"/>
      <c r="LRZ241" s="210"/>
      <c r="LSA241" s="210"/>
      <c r="LSB241" s="210"/>
      <c r="LSC241" s="210"/>
      <c r="LSD241" s="210"/>
      <c r="LSE241" s="210"/>
      <c r="LSF241" s="210"/>
      <c r="LSG241" s="210"/>
      <c r="LSH241" s="210"/>
      <c r="LSI241" s="210"/>
      <c r="LSJ241" s="210"/>
      <c r="LSK241" s="210"/>
      <c r="LSL241" s="210"/>
      <c r="LSM241" s="210"/>
      <c r="LSN241" s="210"/>
      <c r="LSO241" s="210"/>
      <c r="LSP241" s="210"/>
      <c r="LSQ241" s="210"/>
      <c r="LSR241" s="210"/>
      <c r="LSS241" s="210"/>
      <c r="LST241" s="210"/>
      <c r="LSU241" s="210"/>
      <c r="LSV241" s="210"/>
      <c r="LSW241" s="210"/>
      <c r="LSX241" s="210"/>
      <c r="LSY241" s="210"/>
      <c r="LSZ241" s="210"/>
      <c r="LTA241" s="210"/>
      <c r="LTB241" s="210"/>
      <c r="LTC241" s="210"/>
      <c r="LTD241" s="210"/>
      <c r="LTE241" s="210"/>
      <c r="LTF241" s="210"/>
      <c r="LTG241" s="210"/>
      <c r="LTH241" s="210"/>
      <c r="LTI241" s="210"/>
      <c r="LTJ241" s="210"/>
      <c r="LTK241" s="210"/>
      <c r="LTL241" s="210"/>
      <c r="LTM241" s="210"/>
      <c r="LTN241" s="210"/>
      <c r="LTO241" s="210"/>
      <c r="LTP241" s="210"/>
      <c r="LTQ241" s="210"/>
      <c r="LTR241" s="210"/>
      <c r="LTS241" s="210"/>
      <c r="LTT241" s="210"/>
      <c r="LTU241" s="210"/>
      <c r="LTV241" s="210"/>
      <c r="LTW241" s="210"/>
      <c r="LTX241" s="210"/>
      <c r="LTY241" s="210"/>
      <c r="LTZ241" s="210"/>
      <c r="LUA241" s="210"/>
      <c r="LUB241" s="210"/>
      <c r="LUC241" s="210"/>
      <c r="LUD241" s="210"/>
      <c r="LUE241" s="210"/>
      <c r="LUF241" s="210"/>
      <c r="LUG241" s="210"/>
      <c r="LUH241" s="210"/>
      <c r="LUI241" s="210"/>
      <c r="LUJ241" s="210"/>
      <c r="LUK241" s="210"/>
      <c r="LUL241" s="210"/>
      <c r="LUM241" s="210"/>
      <c r="LUN241" s="210"/>
      <c r="LUO241" s="210"/>
      <c r="LUP241" s="210"/>
      <c r="LUQ241" s="210"/>
      <c r="LUR241" s="210"/>
      <c r="LUS241" s="210"/>
      <c r="LUT241" s="210"/>
      <c r="LUU241" s="210"/>
      <c r="LUV241" s="210"/>
      <c r="LUW241" s="210"/>
      <c r="LUX241" s="210"/>
      <c r="LUY241" s="210"/>
      <c r="LUZ241" s="210"/>
      <c r="LVA241" s="210"/>
      <c r="LVB241" s="210"/>
      <c r="LVC241" s="210"/>
      <c r="LVD241" s="210"/>
      <c r="LVE241" s="210"/>
      <c r="LVF241" s="210"/>
      <c r="LVG241" s="210"/>
      <c r="LVH241" s="210"/>
      <c r="LVI241" s="210"/>
      <c r="LVJ241" s="210"/>
      <c r="LVK241" s="210"/>
      <c r="LVL241" s="210"/>
      <c r="LVM241" s="210"/>
      <c r="LVN241" s="210"/>
      <c r="LVO241" s="210"/>
      <c r="LVP241" s="210"/>
      <c r="LVQ241" s="210"/>
      <c r="LVR241" s="210"/>
      <c r="LVS241" s="210"/>
      <c r="LVT241" s="210"/>
      <c r="LVU241" s="210"/>
      <c r="LVV241" s="210"/>
      <c r="LVW241" s="210"/>
      <c r="LVX241" s="210"/>
      <c r="LVY241" s="210"/>
      <c r="LVZ241" s="210"/>
      <c r="LWA241" s="210"/>
      <c r="LWB241" s="210"/>
      <c r="LWC241" s="210"/>
      <c r="LWD241" s="210"/>
      <c r="LWE241" s="210"/>
      <c r="LWF241" s="210"/>
      <c r="LWG241" s="210"/>
      <c r="LWH241" s="210"/>
      <c r="LWI241" s="210"/>
      <c r="LWJ241" s="210"/>
      <c r="LWK241" s="210"/>
      <c r="LWL241" s="210"/>
      <c r="LWM241" s="210"/>
      <c r="LWN241" s="210"/>
      <c r="LWO241" s="210"/>
      <c r="LWP241" s="210"/>
      <c r="LWQ241" s="210"/>
      <c r="LWR241" s="210"/>
      <c r="LWS241" s="210"/>
      <c r="LWT241" s="210"/>
      <c r="LWU241" s="210"/>
      <c r="LWV241" s="210"/>
      <c r="LWW241" s="210"/>
      <c r="LWX241" s="210"/>
      <c r="LWY241" s="210"/>
      <c r="LWZ241" s="210"/>
      <c r="LXA241" s="210"/>
      <c r="LXB241" s="210"/>
      <c r="LXC241" s="210"/>
      <c r="LXD241" s="210"/>
      <c r="LXE241" s="210"/>
      <c r="LXF241" s="210"/>
      <c r="LXG241" s="210"/>
      <c r="LXH241" s="210"/>
      <c r="LXI241" s="210"/>
      <c r="LXJ241" s="210"/>
      <c r="LXK241" s="210"/>
      <c r="LXL241" s="210"/>
      <c r="LXM241" s="210"/>
      <c r="LXN241" s="210"/>
      <c r="LXO241" s="210"/>
      <c r="LXP241" s="210"/>
      <c r="LXQ241" s="210"/>
      <c r="LXR241" s="210"/>
      <c r="LXS241" s="210"/>
      <c r="LXT241" s="210"/>
      <c r="LXU241" s="210"/>
      <c r="LXV241" s="210"/>
      <c r="LXW241" s="210"/>
      <c r="LXX241" s="210"/>
      <c r="LXY241" s="210"/>
      <c r="LXZ241" s="210"/>
      <c r="LYA241" s="210"/>
      <c r="LYB241" s="210"/>
      <c r="LYC241" s="210"/>
      <c r="LYD241" s="210"/>
      <c r="LYE241" s="210"/>
      <c r="LYF241" s="210"/>
      <c r="LYG241" s="210"/>
      <c r="LYH241" s="210"/>
      <c r="LYI241" s="210"/>
      <c r="LYJ241" s="210"/>
      <c r="LYK241" s="210"/>
      <c r="LYL241" s="210"/>
      <c r="LYM241" s="210"/>
      <c r="LYN241" s="210"/>
      <c r="LYO241" s="210"/>
      <c r="LYP241" s="210"/>
      <c r="LYQ241" s="210"/>
      <c r="LYR241" s="210"/>
      <c r="LYS241" s="210"/>
      <c r="LYT241" s="210"/>
      <c r="LYU241" s="210"/>
      <c r="LYV241" s="210"/>
      <c r="LYW241" s="210"/>
      <c r="LYX241" s="210"/>
      <c r="LYY241" s="210"/>
      <c r="LYZ241" s="210"/>
      <c r="LZA241" s="210"/>
      <c r="LZB241" s="210"/>
      <c r="LZC241" s="210"/>
      <c r="LZD241" s="210"/>
      <c r="LZE241" s="210"/>
      <c r="LZF241" s="210"/>
      <c r="LZG241" s="210"/>
      <c r="LZH241" s="210"/>
      <c r="LZI241" s="210"/>
      <c r="LZJ241" s="210"/>
      <c r="LZK241" s="210"/>
      <c r="LZL241" s="210"/>
      <c r="LZM241" s="210"/>
      <c r="LZN241" s="210"/>
      <c r="LZO241" s="210"/>
      <c r="LZP241" s="210"/>
      <c r="LZQ241" s="210"/>
      <c r="LZR241" s="210"/>
      <c r="LZS241" s="210"/>
      <c r="LZT241" s="210"/>
      <c r="LZU241" s="210"/>
      <c r="LZV241" s="210"/>
      <c r="LZW241" s="210"/>
      <c r="LZX241" s="210"/>
      <c r="LZY241" s="210"/>
      <c r="LZZ241" s="210"/>
      <c r="MAA241" s="210"/>
      <c r="MAB241" s="210"/>
      <c r="MAC241" s="210"/>
      <c r="MAD241" s="210"/>
      <c r="MAE241" s="210"/>
      <c r="MAF241" s="210"/>
      <c r="MAG241" s="210"/>
      <c r="MAH241" s="210"/>
      <c r="MAI241" s="210"/>
      <c r="MAJ241" s="210"/>
      <c r="MAK241" s="210"/>
      <c r="MAL241" s="210"/>
      <c r="MAM241" s="210"/>
      <c r="MAN241" s="210"/>
      <c r="MAO241" s="210"/>
      <c r="MAP241" s="210"/>
      <c r="MAQ241" s="210"/>
      <c r="MAR241" s="210"/>
      <c r="MAS241" s="210"/>
      <c r="MAT241" s="210"/>
      <c r="MAU241" s="210"/>
      <c r="MAV241" s="210"/>
      <c r="MAW241" s="210"/>
      <c r="MAX241" s="210"/>
      <c r="MAY241" s="210"/>
      <c r="MAZ241" s="210"/>
      <c r="MBA241" s="210"/>
      <c r="MBB241" s="210"/>
      <c r="MBC241" s="210"/>
      <c r="MBD241" s="210"/>
      <c r="MBE241" s="210"/>
      <c r="MBF241" s="210"/>
      <c r="MBG241" s="210"/>
      <c r="MBH241" s="210"/>
      <c r="MBI241" s="210"/>
      <c r="MBJ241" s="210"/>
      <c r="MBK241" s="210"/>
      <c r="MBL241" s="210"/>
      <c r="MBM241" s="210"/>
      <c r="MBN241" s="210"/>
      <c r="MBO241" s="210"/>
      <c r="MBP241" s="210"/>
      <c r="MBQ241" s="210"/>
      <c r="MBR241" s="210"/>
      <c r="MBS241" s="210"/>
      <c r="MBT241" s="210"/>
      <c r="MBU241" s="210"/>
      <c r="MBV241" s="210"/>
      <c r="MBW241" s="210"/>
      <c r="MBX241" s="210"/>
      <c r="MBY241" s="210"/>
      <c r="MBZ241" s="210"/>
      <c r="MCA241" s="210"/>
      <c r="MCB241" s="210"/>
      <c r="MCC241" s="210"/>
      <c r="MCD241" s="210"/>
      <c r="MCE241" s="210"/>
      <c r="MCF241" s="210"/>
      <c r="MCG241" s="210"/>
      <c r="MCH241" s="210"/>
      <c r="MCI241" s="210"/>
      <c r="MCJ241" s="210"/>
      <c r="MCK241" s="210"/>
      <c r="MCL241" s="210"/>
      <c r="MCM241" s="210"/>
      <c r="MCN241" s="210"/>
      <c r="MCO241" s="210"/>
      <c r="MCP241" s="210"/>
      <c r="MCQ241" s="210"/>
      <c r="MCR241" s="210"/>
      <c r="MCS241" s="210"/>
      <c r="MCT241" s="210"/>
      <c r="MCU241" s="210"/>
      <c r="MCV241" s="210"/>
      <c r="MCW241" s="210"/>
      <c r="MCX241" s="210"/>
      <c r="MCY241" s="210"/>
      <c r="MCZ241" s="210"/>
      <c r="MDA241" s="210"/>
      <c r="MDB241" s="210"/>
      <c r="MDC241" s="210"/>
      <c r="MDD241" s="210"/>
      <c r="MDE241" s="210"/>
      <c r="MDF241" s="210"/>
      <c r="MDG241" s="210"/>
      <c r="MDH241" s="210"/>
      <c r="MDI241" s="210"/>
      <c r="MDJ241" s="210"/>
      <c r="MDK241" s="210"/>
      <c r="MDL241" s="210"/>
      <c r="MDM241" s="210"/>
      <c r="MDN241" s="210"/>
      <c r="MDO241" s="210"/>
      <c r="MDP241" s="210"/>
      <c r="MDQ241" s="210"/>
      <c r="MDR241" s="210"/>
      <c r="MDS241" s="210"/>
      <c r="MDT241" s="210"/>
      <c r="MDU241" s="210"/>
      <c r="MDV241" s="210"/>
      <c r="MDW241" s="210"/>
      <c r="MDX241" s="210"/>
      <c r="MDY241" s="210"/>
      <c r="MDZ241" s="210"/>
      <c r="MEA241" s="210"/>
      <c r="MEB241" s="210"/>
      <c r="MEC241" s="210"/>
      <c r="MED241" s="210"/>
      <c r="MEE241" s="210"/>
      <c r="MEF241" s="210"/>
      <c r="MEG241" s="210"/>
      <c r="MEH241" s="210"/>
      <c r="MEI241" s="210"/>
      <c r="MEJ241" s="210"/>
      <c r="MEK241" s="210"/>
      <c r="MEL241" s="210"/>
      <c r="MEM241" s="210"/>
      <c r="MEN241" s="210"/>
      <c r="MEO241" s="210"/>
      <c r="MEP241" s="210"/>
      <c r="MEQ241" s="210"/>
      <c r="MER241" s="210"/>
      <c r="MES241" s="210"/>
      <c r="MET241" s="210"/>
      <c r="MEU241" s="210"/>
      <c r="MEV241" s="210"/>
      <c r="MEW241" s="210"/>
      <c r="MEX241" s="210"/>
      <c r="MEY241" s="210"/>
      <c r="MEZ241" s="210"/>
      <c r="MFA241" s="210"/>
      <c r="MFB241" s="210"/>
      <c r="MFC241" s="210"/>
      <c r="MFD241" s="210"/>
      <c r="MFE241" s="210"/>
      <c r="MFF241" s="210"/>
      <c r="MFG241" s="210"/>
      <c r="MFH241" s="210"/>
      <c r="MFI241" s="210"/>
      <c r="MFJ241" s="210"/>
      <c r="MFK241" s="210"/>
      <c r="MFL241" s="210"/>
      <c r="MFM241" s="210"/>
      <c r="MFN241" s="210"/>
      <c r="MFO241" s="210"/>
      <c r="MFP241" s="210"/>
      <c r="MFQ241" s="210"/>
      <c r="MFR241" s="210"/>
      <c r="MFS241" s="210"/>
      <c r="MFT241" s="210"/>
      <c r="MFU241" s="210"/>
      <c r="MFV241" s="210"/>
      <c r="MFW241" s="210"/>
      <c r="MFX241" s="210"/>
      <c r="MFY241" s="210"/>
      <c r="MFZ241" s="210"/>
      <c r="MGA241" s="210"/>
      <c r="MGB241" s="210"/>
      <c r="MGC241" s="210"/>
      <c r="MGD241" s="210"/>
      <c r="MGE241" s="210"/>
      <c r="MGF241" s="210"/>
      <c r="MGG241" s="210"/>
      <c r="MGH241" s="210"/>
      <c r="MGI241" s="210"/>
      <c r="MGJ241" s="210"/>
      <c r="MGK241" s="210"/>
      <c r="MGL241" s="210"/>
      <c r="MGM241" s="210"/>
      <c r="MGN241" s="210"/>
      <c r="MGO241" s="210"/>
      <c r="MGP241" s="210"/>
      <c r="MGQ241" s="210"/>
      <c r="MGR241" s="210"/>
      <c r="MGS241" s="210"/>
      <c r="MGT241" s="210"/>
      <c r="MGU241" s="210"/>
      <c r="MGV241" s="210"/>
      <c r="MGW241" s="210"/>
      <c r="MGX241" s="210"/>
      <c r="MGY241" s="210"/>
      <c r="MGZ241" s="210"/>
      <c r="MHA241" s="210"/>
      <c r="MHB241" s="210"/>
      <c r="MHC241" s="210"/>
      <c r="MHD241" s="210"/>
      <c r="MHE241" s="210"/>
      <c r="MHF241" s="210"/>
      <c r="MHG241" s="210"/>
      <c r="MHH241" s="210"/>
      <c r="MHI241" s="210"/>
      <c r="MHJ241" s="210"/>
      <c r="MHK241" s="210"/>
      <c r="MHL241" s="210"/>
      <c r="MHM241" s="210"/>
      <c r="MHN241" s="210"/>
      <c r="MHO241" s="210"/>
      <c r="MHP241" s="210"/>
      <c r="MHQ241" s="210"/>
      <c r="MHR241" s="210"/>
      <c r="MHS241" s="210"/>
      <c r="MHT241" s="210"/>
      <c r="MHU241" s="210"/>
      <c r="MHV241" s="210"/>
      <c r="MHW241" s="210"/>
      <c r="MHX241" s="210"/>
      <c r="MHY241" s="210"/>
      <c r="MHZ241" s="210"/>
      <c r="MIA241" s="210"/>
      <c r="MIB241" s="210"/>
      <c r="MIC241" s="210"/>
      <c r="MID241" s="210"/>
      <c r="MIE241" s="210"/>
      <c r="MIF241" s="210"/>
      <c r="MIG241" s="210"/>
      <c r="MIH241" s="210"/>
      <c r="MII241" s="210"/>
      <c r="MIJ241" s="210"/>
      <c r="MIK241" s="210"/>
      <c r="MIL241" s="210"/>
      <c r="MIM241" s="210"/>
      <c r="MIN241" s="210"/>
      <c r="MIO241" s="210"/>
      <c r="MIP241" s="210"/>
      <c r="MIQ241" s="210"/>
      <c r="MIR241" s="210"/>
      <c r="MIS241" s="210"/>
      <c r="MIT241" s="210"/>
      <c r="MIU241" s="210"/>
      <c r="MIV241" s="210"/>
      <c r="MIW241" s="210"/>
      <c r="MIX241" s="210"/>
      <c r="MIY241" s="210"/>
      <c r="MIZ241" s="210"/>
      <c r="MJA241" s="210"/>
      <c r="MJB241" s="210"/>
      <c r="MJC241" s="210"/>
      <c r="MJD241" s="210"/>
      <c r="MJE241" s="210"/>
      <c r="MJF241" s="210"/>
      <c r="MJG241" s="210"/>
      <c r="MJH241" s="210"/>
      <c r="MJI241" s="210"/>
      <c r="MJJ241" s="210"/>
      <c r="MJK241" s="210"/>
      <c r="MJL241" s="210"/>
      <c r="MJM241" s="210"/>
      <c r="MJN241" s="210"/>
      <c r="MJO241" s="210"/>
      <c r="MJP241" s="210"/>
      <c r="MJQ241" s="210"/>
      <c r="MJR241" s="210"/>
      <c r="MJS241" s="210"/>
      <c r="MJT241" s="210"/>
      <c r="MJU241" s="210"/>
      <c r="MJV241" s="210"/>
      <c r="MJW241" s="210"/>
      <c r="MJX241" s="210"/>
      <c r="MJY241" s="210"/>
      <c r="MJZ241" s="210"/>
      <c r="MKA241" s="210"/>
      <c r="MKB241" s="210"/>
      <c r="MKC241" s="210"/>
      <c r="MKD241" s="210"/>
      <c r="MKE241" s="210"/>
      <c r="MKF241" s="210"/>
      <c r="MKG241" s="210"/>
      <c r="MKH241" s="210"/>
      <c r="MKI241" s="210"/>
      <c r="MKJ241" s="210"/>
      <c r="MKK241" s="210"/>
      <c r="MKL241" s="210"/>
      <c r="MKM241" s="210"/>
      <c r="MKN241" s="210"/>
      <c r="MKO241" s="210"/>
      <c r="MKP241" s="210"/>
      <c r="MKQ241" s="210"/>
      <c r="MKR241" s="210"/>
      <c r="MKS241" s="210"/>
      <c r="MKT241" s="210"/>
      <c r="MKU241" s="210"/>
      <c r="MKV241" s="210"/>
      <c r="MKW241" s="210"/>
      <c r="MKX241" s="210"/>
      <c r="MKY241" s="210"/>
      <c r="MKZ241" s="210"/>
      <c r="MLA241" s="210"/>
      <c r="MLB241" s="210"/>
      <c r="MLC241" s="210"/>
      <c r="MLD241" s="210"/>
      <c r="MLE241" s="210"/>
      <c r="MLF241" s="210"/>
      <c r="MLG241" s="210"/>
      <c r="MLH241" s="210"/>
      <c r="MLI241" s="210"/>
      <c r="MLJ241" s="210"/>
      <c r="MLK241" s="210"/>
      <c r="MLL241" s="210"/>
      <c r="MLM241" s="210"/>
      <c r="MLN241" s="210"/>
      <c r="MLO241" s="210"/>
      <c r="MLP241" s="210"/>
      <c r="MLQ241" s="210"/>
      <c r="MLR241" s="210"/>
      <c r="MLS241" s="210"/>
      <c r="MLT241" s="210"/>
      <c r="MLU241" s="210"/>
      <c r="MLV241" s="210"/>
      <c r="MLW241" s="210"/>
      <c r="MLX241" s="210"/>
      <c r="MLY241" s="210"/>
      <c r="MLZ241" s="210"/>
      <c r="MMA241" s="210"/>
      <c r="MMB241" s="210"/>
      <c r="MMC241" s="210"/>
      <c r="MMD241" s="210"/>
      <c r="MME241" s="210"/>
      <c r="MMF241" s="210"/>
      <c r="MMG241" s="210"/>
      <c r="MMH241" s="210"/>
      <c r="MMI241" s="210"/>
      <c r="MMJ241" s="210"/>
      <c r="MMK241" s="210"/>
      <c r="MML241" s="210"/>
      <c r="MMM241" s="210"/>
      <c r="MMN241" s="210"/>
      <c r="MMO241" s="210"/>
      <c r="MMP241" s="210"/>
      <c r="MMQ241" s="210"/>
      <c r="MMR241" s="210"/>
      <c r="MMS241" s="210"/>
      <c r="MMT241" s="210"/>
      <c r="MMU241" s="210"/>
      <c r="MMV241" s="210"/>
      <c r="MMW241" s="210"/>
      <c r="MMX241" s="210"/>
      <c r="MMY241" s="210"/>
      <c r="MMZ241" s="210"/>
      <c r="MNA241" s="210"/>
      <c r="MNB241" s="210"/>
      <c r="MNC241" s="210"/>
      <c r="MND241" s="210"/>
      <c r="MNE241" s="210"/>
      <c r="MNF241" s="210"/>
      <c r="MNG241" s="210"/>
      <c r="MNH241" s="210"/>
      <c r="MNI241" s="210"/>
      <c r="MNJ241" s="210"/>
      <c r="MNK241" s="210"/>
      <c r="MNL241" s="210"/>
      <c r="MNM241" s="210"/>
      <c r="MNN241" s="210"/>
      <c r="MNO241" s="210"/>
      <c r="MNP241" s="210"/>
      <c r="MNQ241" s="210"/>
      <c r="MNR241" s="210"/>
      <c r="MNS241" s="210"/>
      <c r="MNT241" s="210"/>
      <c r="MNU241" s="210"/>
      <c r="MNV241" s="210"/>
      <c r="MNW241" s="210"/>
      <c r="MNX241" s="210"/>
      <c r="MNY241" s="210"/>
      <c r="MNZ241" s="210"/>
      <c r="MOA241" s="210"/>
      <c r="MOB241" s="210"/>
      <c r="MOC241" s="210"/>
      <c r="MOD241" s="210"/>
      <c r="MOE241" s="210"/>
      <c r="MOF241" s="210"/>
      <c r="MOG241" s="210"/>
      <c r="MOH241" s="210"/>
      <c r="MOI241" s="210"/>
      <c r="MOJ241" s="210"/>
      <c r="MOK241" s="210"/>
      <c r="MOL241" s="210"/>
      <c r="MOM241" s="210"/>
      <c r="MON241" s="210"/>
      <c r="MOO241" s="210"/>
      <c r="MOP241" s="210"/>
      <c r="MOQ241" s="210"/>
      <c r="MOR241" s="210"/>
      <c r="MOS241" s="210"/>
      <c r="MOT241" s="210"/>
      <c r="MOU241" s="210"/>
      <c r="MOV241" s="210"/>
      <c r="MOW241" s="210"/>
      <c r="MOX241" s="210"/>
      <c r="MOY241" s="210"/>
      <c r="MOZ241" s="210"/>
      <c r="MPA241" s="210"/>
      <c r="MPB241" s="210"/>
      <c r="MPC241" s="210"/>
      <c r="MPD241" s="210"/>
      <c r="MPE241" s="210"/>
      <c r="MPF241" s="210"/>
      <c r="MPG241" s="210"/>
      <c r="MPH241" s="210"/>
      <c r="MPI241" s="210"/>
      <c r="MPJ241" s="210"/>
      <c r="MPK241" s="210"/>
      <c r="MPL241" s="210"/>
      <c r="MPM241" s="210"/>
      <c r="MPN241" s="210"/>
      <c r="MPO241" s="210"/>
      <c r="MPP241" s="210"/>
      <c r="MPQ241" s="210"/>
      <c r="MPR241" s="210"/>
      <c r="MPS241" s="210"/>
      <c r="MPT241" s="210"/>
      <c r="MPU241" s="210"/>
      <c r="MPV241" s="210"/>
      <c r="MPW241" s="210"/>
      <c r="MPX241" s="210"/>
      <c r="MPY241" s="210"/>
      <c r="MPZ241" s="210"/>
      <c r="MQA241" s="210"/>
      <c r="MQB241" s="210"/>
      <c r="MQC241" s="210"/>
      <c r="MQD241" s="210"/>
      <c r="MQE241" s="210"/>
      <c r="MQF241" s="210"/>
      <c r="MQG241" s="210"/>
      <c r="MQH241" s="210"/>
      <c r="MQI241" s="210"/>
      <c r="MQJ241" s="210"/>
      <c r="MQK241" s="210"/>
      <c r="MQL241" s="210"/>
      <c r="MQM241" s="210"/>
      <c r="MQN241" s="210"/>
      <c r="MQO241" s="210"/>
      <c r="MQP241" s="210"/>
      <c r="MQQ241" s="210"/>
      <c r="MQR241" s="210"/>
      <c r="MQS241" s="210"/>
      <c r="MQT241" s="210"/>
      <c r="MQU241" s="210"/>
      <c r="MQV241" s="210"/>
      <c r="MQW241" s="210"/>
      <c r="MQX241" s="210"/>
      <c r="MQY241" s="210"/>
      <c r="MQZ241" s="210"/>
      <c r="MRA241" s="210"/>
      <c r="MRB241" s="210"/>
      <c r="MRC241" s="210"/>
      <c r="MRD241" s="210"/>
      <c r="MRE241" s="210"/>
      <c r="MRF241" s="210"/>
      <c r="MRG241" s="210"/>
      <c r="MRH241" s="210"/>
      <c r="MRI241" s="210"/>
      <c r="MRJ241" s="210"/>
      <c r="MRK241" s="210"/>
      <c r="MRL241" s="210"/>
      <c r="MRM241" s="210"/>
      <c r="MRN241" s="210"/>
      <c r="MRO241" s="210"/>
      <c r="MRP241" s="210"/>
      <c r="MRQ241" s="210"/>
      <c r="MRR241" s="210"/>
      <c r="MRS241" s="210"/>
      <c r="MRT241" s="210"/>
      <c r="MRU241" s="210"/>
      <c r="MRV241" s="210"/>
      <c r="MRW241" s="210"/>
      <c r="MRX241" s="210"/>
      <c r="MRY241" s="210"/>
      <c r="MRZ241" s="210"/>
      <c r="MSA241" s="210"/>
      <c r="MSB241" s="210"/>
      <c r="MSC241" s="210"/>
      <c r="MSD241" s="210"/>
      <c r="MSE241" s="210"/>
      <c r="MSF241" s="210"/>
      <c r="MSG241" s="210"/>
      <c r="MSH241" s="210"/>
      <c r="MSI241" s="210"/>
      <c r="MSJ241" s="210"/>
      <c r="MSK241" s="210"/>
      <c r="MSL241" s="210"/>
      <c r="MSM241" s="210"/>
      <c r="MSN241" s="210"/>
      <c r="MSO241" s="210"/>
      <c r="MSP241" s="210"/>
      <c r="MSQ241" s="210"/>
      <c r="MSR241" s="210"/>
      <c r="MSS241" s="210"/>
      <c r="MST241" s="210"/>
      <c r="MSU241" s="210"/>
      <c r="MSV241" s="210"/>
      <c r="MSW241" s="210"/>
      <c r="MSX241" s="210"/>
      <c r="MSY241" s="210"/>
      <c r="MSZ241" s="210"/>
      <c r="MTA241" s="210"/>
      <c r="MTB241" s="210"/>
      <c r="MTC241" s="210"/>
      <c r="MTD241" s="210"/>
      <c r="MTE241" s="210"/>
      <c r="MTF241" s="210"/>
      <c r="MTG241" s="210"/>
      <c r="MTH241" s="210"/>
      <c r="MTI241" s="210"/>
      <c r="MTJ241" s="210"/>
      <c r="MTK241" s="210"/>
      <c r="MTL241" s="210"/>
      <c r="MTM241" s="210"/>
      <c r="MTN241" s="210"/>
      <c r="MTO241" s="210"/>
      <c r="MTP241" s="210"/>
      <c r="MTQ241" s="210"/>
      <c r="MTR241" s="210"/>
      <c r="MTS241" s="210"/>
      <c r="MTT241" s="210"/>
      <c r="MTU241" s="210"/>
      <c r="MTV241" s="210"/>
      <c r="MTW241" s="210"/>
      <c r="MTX241" s="210"/>
      <c r="MTY241" s="210"/>
      <c r="MTZ241" s="210"/>
      <c r="MUA241" s="210"/>
      <c r="MUB241" s="210"/>
      <c r="MUC241" s="210"/>
      <c r="MUD241" s="210"/>
      <c r="MUE241" s="210"/>
      <c r="MUF241" s="210"/>
      <c r="MUG241" s="210"/>
      <c r="MUH241" s="210"/>
      <c r="MUI241" s="210"/>
      <c r="MUJ241" s="210"/>
      <c r="MUK241" s="210"/>
      <c r="MUL241" s="210"/>
      <c r="MUM241" s="210"/>
      <c r="MUN241" s="210"/>
      <c r="MUO241" s="210"/>
      <c r="MUP241" s="210"/>
      <c r="MUQ241" s="210"/>
      <c r="MUR241" s="210"/>
      <c r="MUS241" s="210"/>
      <c r="MUT241" s="210"/>
      <c r="MUU241" s="210"/>
      <c r="MUV241" s="210"/>
      <c r="MUW241" s="210"/>
      <c r="MUX241" s="210"/>
      <c r="MUY241" s="210"/>
      <c r="MUZ241" s="210"/>
      <c r="MVA241" s="210"/>
      <c r="MVB241" s="210"/>
      <c r="MVC241" s="210"/>
      <c r="MVD241" s="210"/>
      <c r="MVE241" s="210"/>
      <c r="MVF241" s="210"/>
      <c r="MVG241" s="210"/>
      <c r="MVH241" s="210"/>
      <c r="MVI241" s="210"/>
      <c r="MVJ241" s="210"/>
      <c r="MVK241" s="210"/>
      <c r="MVL241" s="210"/>
      <c r="MVM241" s="210"/>
      <c r="MVN241" s="210"/>
      <c r="MVO241" s="210"/>
      <c r="MVP241" s="210"/>
      <c r="MVQ241" s="210"/>
      <c r="MVR241" s="210"/>
      <c r="MVS241" s="210"/>
      <c r="MVT241" s="210"/>
      <c r="MVU241" s="210"/>
      <c r="MVV241" s="210"/>
      <c r="MVW241" s="210"/>
      <c r="MVX241" s="210"/>
      <c r="MVY241" s="210"/>
      <c r="MVZ241" s="210"/>
      <c r="MWA241" s="210"/>
      <c r="MWB241" s="210"/>
      <c r="MWC241" s="210"/>
      <c r="MWD241" s="210"/>
      <c r="MWE241" s="210"/>
      <c r="MWF241" s="210"/>
      <c r="MWG241" s="210"/>
      <c r="MWH241" s="210"/>
      <c r="MWI241" s="210"/>
      <c r="MWJ241" s="210"/>
      <c r="MWK241" s="210"/>
      <c r="MWL241" s="210"/>
      <c r="MWM241" s="210"/>
      <c r="MWN241" s="210"/>
      <c r="MWO241" s="210"/>
      <c r="MWP241" s="210"/>
      <c r="MWQ241" s="210"/>
      <c r="MWR241" s="210"/>
      <c r="MWS241" s="210"/>
      <c r="MWT241" s="210"/>
      <c r="MWU241" s="210"/>
      <c r="MWV241" s="210"/>
      <c r="MWW241" s="210"/>
      <c r="MWX241" s="210"/>
      <c r="MWY241" s="210"/>
      <c r="MWZ241" s="210"/>
      <c r="MXA241" s="210"/>
      <c r="MXB241" s="210"/>
      <c r="MXC241" s="210"/>
      <c r="MXD241" s="210"/>
      <c r="MXE241" s="210"/>
      <c r="MXF241" s="210"/>
      <c r="MXG241" s="210"/>
      <c r="MXH241" s="210"/>
      <c r="MXI241" s="210"/>
      <c r="MXJ241" s="210"/>
      <c r="MXK241" s="210"/>
      <c r="MXL241" s="210"/>
      <c r="MXM241" s="210"/>
      <c r="MXN241" s="210"/>
      <c r="MXO241" s="210"/>
      <c r="MXP241" s="210"/>
      <c r="MXQ241" s="210"/>
      <c r="MXR241" s="210"/>
      <c r="MXS241" s="210"/>
      <c r="MXT241" s="210"/>
      <c r="MXU241" s="210"/>
      <c r="MXV241" s="210"/>
      <c r="MXW241" s="210"/>
      <c r="MXX241" s="210"/>
      <c r="MXY241" s="210"/>
      <c r="MXZ241" s="210"/>
      <c r="MYA241" s="210"/>
      <c r="MYB241" s="210"/>
      <c r="MYC241" s="210"/>
      <c r="MYD241" s="210"/>
      <c r="MYE241" s="210"/>
      <c r="MYF241" s="210"/>
      <c r="MYG241" s="210"/>
      <c r="MYH241" s="210"/>
      <c r="MYI241" s="210"/>
      <c r="MYJ241" s="210"/>
      <c r="MYK241" s="210"/>
      <c r="MYL241" s="210"/>
      <c r="MYM241" s="210"/>
      <c r="MYN241" s="210"/>
      <c r="MYO241" s="210"/>
      <c r="MYP241" s="210"/>
      <c r="MYQ241" s="210"/>
      <c r="MYR241" s="210"/>
      <c r="MYS241" s="210"/>
      <c r="MYT241" s="210"/>
      <c r="MYU241" s="210"/>
      <c r="MYV241" s="210"/>
      <c r="MYW241" s="210"/>
      <c r="MYX241" s="210"/>
      <c r="MYY241" s="210"/>
      <c r="MYZ241" s="210"/>
      <c r="MZA241" s="210"/>
      <c r="MZB241" s="210"/>
      <c r="MZC241" s="210"/>
      <c r="MZD241" s="210"/>
      <c r="MZE241" s="210"/>
      <c r="MZF241" s="210"/>
      <c r="MZG241" s="210"/>
      <c r="MZH241" s="210"/>
      <c r="MZI241" s="210"/>
      <c r="MZJ241" s="210"/>
      <c r="MZK241" s="210"/>
      <c r="MZL241" s="210"/>
      <c r="MZM241" s="210"/>
      <c r="MZN241" s="210"/>
      <c r="MZO241" s="210"/>
      <c r="MZP241" s="210"/>
      <c r="MZQ241" s="210"/>
      <c r="MZR241" s="210"/>
      <c r="MZS241" s="210"/>
      <c r="MZT241" s="210"/>
      <c r="MZU241" s="210"/>
      <c r="MZV241" s="210"/>
      <c r="MZW241" s="210"/>
      <c r="MZX241" s="210"/>
      <c r="MZY241" s="210"/>
      <c r="MZZ241" s="210"/>
      <c r="NAA241" s="210"/>
      <c r="NAB241" s="210"/>
      <c r="NAC241" s="210"/>
      <c r="NAD241" s="210"/>
      <c r="NAE241" s="210"/>
      <c r="NAF241" s="210"/>
      <c r="NAG241" s="210"/>
      <c r="NAH241" s="210"/>
      <c r="NAI241" s="210"/>
      <c r="NAJ241" s="210"/>
      <c r="NAK241" s="210"/>
      <c r="NAL241" s="210"/>
      <c r="NAM241" s="210"/>
      <c r="NAN241" s="210"/>
      <c r="NAO241" s="210"/>
      <c r="NAP241" s="210"/>
      <c r="NAQ241" s="210"/>
      <c r="NAR241" s="210"/>
      <c r="NAS241" s="210"/>
      <c r="NAT241" s="210"/>
      <c r="NAU241" s="210"/>
      <c r="NAV241" s="210"/>
      <c r="NAW241" s="210"/>
      <c r="NAX241" s="210"/>
      <c r="NAY241" s="210"/>
      <c r="NAZ241" s="210"/>
      <c r="NBA241" s="210"/>
      <c r="NBB241" s="210"/>
      <c r="NBC241" s="210"/>
      <c r="NBD241" s="210"/>
      <c r="NBE241" s="210"/>
      <c r="NBF241" s="210"/>
      <c r="NBG241" s="210"/>
      <c r="NBH241" s="210"/>
      <c r="NBI241" s="210"/>
      <c r="NBJ241" s="210"/>
      <c r="NBK241" s="210"/>
      <c r="NBL241" s="210"/>
      <c r="NBM241" s="210"/>
      <c r="NBN241" s="210"/>
      <c r="NBO241" s="210"/>
      <c r="NBP241" s="210"/>
      <c r="NBQ241" s="210"/>
      <c r="NBR241" s="210"/>
      <c r="NBS241" s="210"/>
      <c r="NBT241" s="210"/>
      <c r="NBU241" s="210"/>
      <c r="NBV241" s="210"/>
      <c r="NBW241" s="210"/>
      <c r="NBX241" s="210"/>
      <c r="NBY241" s="210"/>
      <c r="NBZ241" s="210"/>
      <c r="NCA241" s="210"/>
      <c r="NCB241" s="210"/>
      <c r="NCC241" s="210"/>
      <c r="NCD241" s="210"/>
      <c r="NCE241" s="210"/>
      <c r="NCF241" s="210"/>
      <c r="NCG241" s="210"/>
      <c r="NCH241" s="210"/>
      <c r="NCI241" s="210"/>
      <c r="NCJ241" s="210"/>
      <c r="NCK241" s="210"/>
      <c r="NCL241" s="210"/>
      <c r="NCM241" s="210"/>
      <c r="NCN241" s="210"/>
      <c r="NCO241" s="210"/>
      <c r="NCP241" s="210"/>
      <c r="NCQ241" s="210"/>
      <c r="NCR241" s="210"/>
      <c r="NCS241" s="210"/>
      <c r="NCT241" s="210"/>
      <c r="NCU241" s="210"/>
      <c r="NCV241" s="210"/>
      <c r="NCW241" s="210"/>
      <c r="NCX241" s="210"/>
      <c r="NCY241" s="210"/>
      <c r="NCZ241" s="210"/>
      <c r="NDA241" s="210"/>
      <c r="NDB241" s="210"/>
      <c r="NDC241" s="210"/>
      <c r="NDD241" s="210"/>
      <c r="NDE241" s="210"/>
      <c r="NDF241" s="210"/>
      <c r="NDG241" s="210"/>
      <c r="NDH241" s="210"/>
      <c r="NDI241" s="210"/>
      <c r="NDJ241" s="210"/>
      <c r="NDK241" s="210"/>
      <c r="NDL241" s="210"/>
      <c r="NDM241" s="210"/>
      <c r="NDN241" s="210"/>
      <c r="NDO241" s="210"/>
      <c r="NDP241" s="210"/>
      <c r="NDQ241" s="210"/>
      <c r="NDR241" s="210"/>
      <c r="NDS241" s="210"/>
      <c r="NDT241" s="210"/>
      <c r="NDU241" s="210"/>
      <c r="NDV241" s="210"/>
      <c r="NDW241" s="210"/>
      <c r="NDX241" s="210"/>
      <c r="NDY241" s="210"/>
      <c r="NDZ241" s="210"/>
      <c r="NEA241" s="210"/>
      <c r="NEB241" s="210"/>
      <c r="NEC241" s="210"/>
      <c r="NED241" s="210"/>
      <c r="NEE241" s="210"/>
      <c r="NEF241" s="210"/>
      <c r="NEG241" s="210"/>
      <c r="NEH241" s="210"/>
      <c r="NEI241" s="210"/>
      <c r="NEJ241" s="210"/>
      <c r="NEK241" s="210"/>
      <c r="NEL241" s="210"/>
      <c r="NEM241" s="210"/>
      <c r="NEN241" s="210"/>
      <c r="NEO241" s="210"/>
      <c r="NEP241" s="210"/>
      <c r="NEQ241" s="210"/>
      <c r="NER241" s="210"/>
      <c r="NES241" s="210"/>
      <c r="NET241" s="210"/>
      <c r="NEU241" s="210"/>
      <c r="NEV241" s="210"/>
      <c r="NEW241" s="210"/>
      <c r="NEX241" s="210"/>
      <c r="NEY241" s="210"/>
      <c r="NEZ241" s="210"/>
      <c r="NFA241" s="210"/>
      <c r="NFB241" s="210"/>
      <c r="NFC241" s="210"/>
      <c r="NFD241" s="210"/>
      <c r="NFE241" s="210"/>
      <c r="NFF241" s="210"/>
      <c r="NFG241" s="210"/>
      <c r="NFH241" s="210"/>
      <c r="NFI241" s="210"/>
      <c r="NFJ241" s="210"/>
      <c r="NFK241" s="210"/>
      <c r="NFL241" s="210"/>
      <c r="NFM241" s="210"/>
      <c r="NFN241" s="210"/>
      <c r="NFO241" s="210"/>
      <c r="NFP241" s="210"/>
      <c r="NFQ241" s="210"/>
      <c r="NFR241" s="210"/>
      <c r="NFS241" s="210"/>
      <c r="NFT241" s="210"/>
      <c r="NFU241" s="210"/>
      <c r="NFV241" s="210"/>
      <c r="NFW241" s="210"/>
      <c r="NFX241" s="210"/>
      <c r="NFY241" s="210"/>
      <c r="NFZ241" s="210"/>
      <c r="NGA241" s="210"/>
      <c r="NGB241" s="210"/>
      <c r="NGC241" s="210"/>
      <c r="NGD241" s="210"/>
      <c r="NGE241" s="210"/>
      <c r="NGF241" s="210"/>
      <c r="NGG241" s="210"/>
      <c r="NGH241" s="210"/>
      <c r="NGI241" s="210"/>
      <c r="NGJ241" s="210"/>
      <c r="NGK241" s="210"/>
      <c r="NGL241" s="210"/>
      <c r="NGM241" s="210"/>
      <c r="NGN241" s="210"/>
      <c r="NGO241" s="210"/>
      <c r="NGP241" s="210"/>
      <c r="NGQ241" s="210"/>
      <c r="NGR241" s="210"/>
      <c r="NGS241" s="210"/>
      <c r="NGT241" s="210"/>
      <c r="NGU241" s="210"/>
      <c r="NGV241" s="210"/>
      <c r="NGW241" s="210"/>
      <c r="NGX241" s="210"/>
      <c r="NGY241" s="210"/>
      <c r="NGZ241" s="210"/>
      <c r="NHA241" s="210"/>
      <c r="NHB241" s="210"/>
      <c r="NHC241" s="210"/>
      <c r="NHD241" s="210"/>
      <c r="NHE241" s="210"/>
      <c r="NHF241" s="210"/>
      <c r="NHG241" s="210"/>
      <c r="NHH241" s="210"/>
      <c r="NHI241" s="210"/>
      <c r="NHJ241" s="210"/>
      <c r="NHK241" s="210"/>
      <c r="NHL241" s="210"/>
      <c r="NHM241" s="210"/>
      <c r="NHN241" s="210"/>
      <c r="NHO241" s="210"/>
      <c r="NHP241" s="210"/>
      <c r="NHQ241" s="210"/>
      <c r="NHR241" s="210"/>
      <c r="NHS241" s="210"/>
      <c r="NHT241" s="210"/>
      <c r="NHU241" s="210"/>
      <c r="NHV241" s="210"/>
      <c r="NHW241" s="210"/>
      <c r="NHX241" s="210"/>
      <c r="NHY241" s="210"/>
      <c r="NHZ241" s="210"/>
      <c r="NIA241" s="210"/>
      <c r="NIB241" s="210"/>
      <c r="NIC241" s="210"/>
      <c r="NID241" s="210"/>
      <c r="NIE241" s="210"/>
      <c r="NIF241" s="210"/>
      <c r="NIG241" s="210"/>
      <c r="NIH241" s="210"/>
      <c r="NII241" s="210"/>
      <c r="NIJ241" s="210"/>
      <c r="NIK241" s="210"/>
      <c r="NIL241" s="210"/>
      <c r="NIM241" s="210"/>
      <c r="NIN241" s="210"/>
      <c r="NIO241" s="210"/>
      <c r="NIP241" s="210"/>
      <c r="NIQ241" s="210"/>
      <c r="NIR241" s="210"/>
      <c r="NIS241" s="210"/>
      <c r="NIT241" s="210"/>
      <c r="NIU241" s="210"/>
      <c r="NIV241" s="210"/>
      <c r="NIW241" s="210"/>
      <c r="NIX241" s="210"/>
      <c r="NIY241" s="210"/>
      <c r="NIZ241" s="210"/>
      <c r="NJA241" s="210"/>
      <c r="NJB241" s="210"/>
      <c r="NJC241" s="210"/>
      <c r="NJD241" s="210"/>
      <c r="NJE241" s="210"/>
      <c r="NJF241" s="210"/>
      <c r="NJG241" s="210"/>
      <c r="NJH241" s="210"/>
      <c r="NJI241" s="210"/>
      <c r="NJJ241" s="210"/>
      <c r="NJK241" s="210"/>
      <c r="NJL241" s="210"/>
      <c r="NJM241" s="210"/>
      <c r="NJN241" s="210"/>
      <c r="NJO241" s="210"/>
      <c r="NJP241" s="210"/>
      <c r="NJQ241" s="210"/>
      <c r="NJR241" s="210"/>
      <c r="NJS241" s="210"/>
      <c r="NJT241" s="210"/>
      <c r="NJU241" s="210"/>
      <c r="NJV241" s="210"/>
      <c r="NJW241" s="210"/>
      <c r="NJX241" s="210"/>
      <c r="NJY241" s="210"/>
      <c r="NJZ241" s="210"/>
      <c r="NKA241" s="210"/>
      <c r="NKB241" s="210"/>
      <c r="NKC241" s="210"/>
      <c r="NKD241" s="210"/>
      <c r="NKE241" s="210"/>
      <c r="NKF241" s="210"/>
      <c r="NKG241" s="210"/>
      <c r="NKH241" s="210"/>
      <c r="NKI241" s="210"/>
      <c r="NKJ241" s="210"/>
      <c r="NKK241" s="210"/>
      <c r="NKL241" s="210"/>
      <c r="NKM241" s="210"/>
      <c r="NKN241" s="210"/>
      <c r="NKO241" s="210"/>
      <c r="NKP241" s="210"/>
      <c r="NKQ241" s="210"/>
      <c r="NKR241" s="210"/>
      <c r="NKS241" s="210"/>
      <c r="NKT241" s="210"/>
      <c r="NKU241" s="210"/>
      <c r="NKV241" s="210"/>
      <c r="NKW241" s="210"/>
      <c r="NKX241" s="210"/>
      <c r="NKY241" s="210"/>
      <c r="NKZ241" s="210"/>
      <c r="NLA241" s="210"/>
      <c r="NLB241" s="210"/>
      <c r="NLC241" s="210"/>
      <c r="NLD241" s="210"/>
      <c r="NLE241" s="210"/>
      <c r="NLF241" s="210"/>
      <c r="NLG241" s="210"/>
      <c r="NLH241" s="210"/>
      <c r="NLI241" s="210"/>
      <c r="NLJ241" s="210"/>
      <c r="NLK241" s="210"/>
      <c r="NLL241" s="210"/>
      <c r="NLM241" s="210"/>
      <c r="NLN241" s="210"/>
      <c r="NLO241" s="210"/>
      <c r="NLP241" s="210"/>
      <c r="NLQ241" s="210"/>
      <c r="NLR241" s="210"/>
      <c r="NLS241" s="210"/>
      <c r="NLT241" s="210"/>
      <c r="NLU241" s="210"/>
      <c r="NLV241" s="210"/>
      <c r="NLW241" s="210"/>
      <c r="NLX241" s="210"/>
      <c r="NLY241" s="210"/>
      <c r="NLZ241" s="210"/>
      <c r="NMA241" s="210"/>
      <c r="NMB241" s="210"/>
      <c r="NMC241" s="210"/>
      <c r="NMD241" s="210"/>
      <c r="NME241" s="210"/>
      <c r="NMF241" s="210"/>
      <c r="NMG241" s="210"/>
      <c r="NMH241" s="210"/>
      <c r="NMI241" s="210"/>
      <c r="NMJ241" s="210"/>
      <c r="NMK241" s="210"/>
      <c r="NML241" s="210"/>
      <c r="NMM241" s="210"/>
      <c r="NMN241" s="210"/>
      <c r="NMO241" s="210"/>
      <c r="NMP241" s="210"/>
      <c r="NMQ241" s="210"/>
      <c r="NMR241" s="210"/>
      <c r="NMS241" s="210"/>
      <c r="NMT241" s="210"/>
      <c r="NMU241" s="210"/>
      <c r="NMV241" s="210"/>
      <c r="NMW241" s="210"/>
      <c r="NMX241" s="210"/>
      <c r="NMY241" s="210"/>
      <c r="NMZ241" s="210"/>
      <c r="NNA241" s="210"/>
      <c r="NNB241" s="210"/>
      <c r="NNC241" s="210"/>
      <c r="NND241" s="210"/>
      <c r="NNE241" s="210"/>
      <c r="NNF241" s="210"/>
      <c r="NNG241" s="210"/>
      <c r="NNH241" s="210"/>
      <c r="NNI241" s="210"/>
      <c r="NNJ241" s="210"/>
      <c r="NNK241" s="210"/>
      <c r="NNL241" s="210"/>
      <c r="NNM241" s="210"/>
      <c r="NNN241" s="210"/>
      <c r="NNO241" s="210"/>
      <c r="NNP241" s="210"/>
      <c r="NNQ241" s="210"/>
      <c r="NNR241" s="210"/>
      <c r="NNS241" s="210"/>
      <c r="NNT241" s="210"/>
      <c r="NNU241" s="210"/>
      <c r="NNV241" s="210"/>
      <c r="NNW241" s="210"/>
      <c r="NNX241" s="210"/>
      <c r="NNY241" s="210"/>
      <c r="NNZ241" s="210"/>
      <c r="NOA241" s="210"/>
      <c r="NOB241" s="210"/>
      <c r="NOC241" s="210"/>
      <c r="NOD241" s="210"/>
      <c r="NOE241" s="210"/>
      <c r="NOF241" s="210"/>
      <c r="NOG241" s="210"/>
      <c r="NOH241" s="210"/>
      <c r="NOI241" s="210"/>
      <c r="NOJ241" s="210"/>
      <c r="NOK241" s="210"/>
      <c r="NOL241" s="210"/>
      <c r="NOM241" s="210"/>
      <c r="NON241" s="210"/>
      <c r="NOO241" s="210"/>
      <c r="NOP241" s="210"/>
      <c r="NOQ241" s="210"/>
      <c r="NOR241" s="210"/>
      <c r="NOS241" s="210"/>
      <c r="NOT241" s="210"/>
      <c r="NOU241" s="210"/>
      <c r="NOV241" s="210"/>
      <c r="NOW241" s="210"/>
      <c r="NOX241" s="210"/>
      <c r="NOY241" s="210"/>
      <c r="NOZ241" s="210"/>
      <c r="NPA241" s="210"/>
      <c r="NPB241" s="210"/>
      <c r="NPC241" s="210"/>
      <c r="NPD241" s="210"/>
      <c r="NPE241" s="210"/>
      <c r="NPF241" s="210"/>
      <c r="NPG241" s="210"/>
      <c r="NPH241" s="210"/>
      <c r="NPI241" s="210"/>
      <c r="NPJ241" s="210"/>
      <c r="NPK241" s="210"/>
      <c r="NPL241" s="210"/>
      <c r="NPM241" s="210"/>
      <c r="NPN241" s="210"/>
      <c r="NPO241" s="210"/>
      <c r="NPP241" s="210"/>
      <c r="NPQ241" s="210"/>
      <c r="NPR241" s="210"/>
      <c r="NPS241" s="210"/>
      <c r="NPT241" s="210"/>
      <c r="NPU241" s="210"/>
      <c r="NPV241" s="210"/>
      <c r="NPW241" s="210"/>
      <c r="NPX241" s="210"/>
      <c r="NPY241" s="210"/>
      <c r="NPZ241" s="210"/>
      <c r="NQA241" s="210"/>
      <c r="NQB241" s="210"/>
      <c r="NQC241" s="210"/>
      <c r="NQD241" s="210"/>
      <c r="NQE241" s="210"/>
      <c r="NQF241" s="210"/>
      <c r="NQG241" s="210"/>
      <c r="NQH241" s="210"/>
      <c r="NQI241" s="210"/>
      <c r="NQJ241" s="210"/>
      <c r="NQK241" s="210"/>
      <c r="NQL241" s="210"/>
      <c r="NQM241" s="210"/>
      <c r="NQN241" s="210"/>
      <c r="NQO241" s="210"/>
      <c r="NQP241" s="210"/>
      <c r="NQQ241" s="210"/>
      <c r="NQR241" s="210"/>
      <c r="NQS241" s="210"/>
      <c r="NQT241" s="210"/>
      <c r="NQU241" s="210"/>
      <c r="NQV241" s="210"/>
      <c r="NQW241" s="210"/>
      <c r="NQX241" s="210"/>
      <c r="NQY241" s="210"/>
      <c r="NQZ241" s="210"/>
      <c r="NRA241" s="210"/>
      <c r="NRB241" s="210"/>
      <c r="NRC241" s="210"/>
      <c r="NRD241" s="210"/>
      <c r="NRE241" s="210"/>
      <c r="NRF241" s="210"/>
      <c r="NRG241" s="210"/>
      <c r="NRH241" s="210"/>
      <c r="NRI241" s="210"/>
      <c r="NRJ241" s="210"/>
      <c r="NRK241" s="210"/>
      <c r="NRL241" s="210"/>
      <c r="NRM241" s="210"/>
      <c r="NRN241" s="210"/>
      <c r="NRO241" s="210"/>
      <c r="NRP241" s="210"/>
      <c r="NRQ241" s="210"/>
      <c r="NRR241" s="210"/>
      <c r="NRS241" s="210"/>
      <c r="NRT241" s="210"/>
      <c r="NRU241" s="210"/>
      <c r="NRV241" s="210"/>
      <c r="NRW241" s="210"/>
      <c r="NRX241" s="210"/>
      <c r="NRY241" s="210"/>
      <c r="NRZ241" s="210"/>
      <c r="NSA241" s="210"/>
      <c r="NSB241" s="210"/>
      <c r="NSC241" s="210"/>
      <c r="NSD241" s="210"/>
      <c r="NSE241" s="210"/>
      <c r="NSF241" s="210"/>
      <c r="NSG241" s="210"/>
      <c r="NSH241" s="210"/>
      <c r="NSI241" s="210"/>
      <c r="NSJ241" s="210"/>
      <c r="NSK241" s="210"/>
      <c r="NSL241" s="210"/>
      <c r="NSM241" s="210"/>
      <c r="NSN241" s="210"/>
      <c r="NSO241" s="210"/>
      <c r="NSP241" s="210"/>
      <c r="NSQ241" s="210"/>
      <c r="NSR241" s="210"/>
      <c r="NSS241" s="210"/>
      <c r="NST241" s="210"/>
      <c r="NSU241" s="210"/>
      <c r="NSV241" s="210"/>
      <c r="NSW241" s="210"/>
      <c r="NSX241" s="210"/>
      <c r="NSY241" s="210"/>
      <c r="NSZ241" s="210"/>
      <c r="NTA241" s="210"/>
      <c r="NTB241" s="210"/>
      <c r="NTC241" s="210"/>
      <c r="NTD241" s="210"/>
      <c r="NTE241" s="210"/>
      <c r="NTF241" s="210"/>
      <c r="NTG241" s="210"/>
      <c r="NTH241" s="210"/>
      <c r="NTI241" s="210"/>
      <c r="NTJ241" s="210"/>
      <c r="NTK241" s="210"/>
      <c r="NTL241" s="210"/>
      <c r="NTM241" s="210"/>
      <c r="NTN241" s="210"/>
      <c r="NTO241" s="210"/>
      <c r="NTP241" s="210"/>
      <c r="NTQ241" s="210"/>
      <c r="NTR241" s="210"/>
      <c r="NTS241" s="210"/>
      <c r="NTT241" s="210"/>
      <c r="NTU241" s="210"/>
      <c r="NTV241" s="210"/>
      <c r="NTW241" s="210"/>
      <c r="NTX241" s="210"/>
      <c r="NTY241" s="210"/>
      <c r="NTZ241" s="210"/>
      <c r="NUA241" s="210"/>
      <c r="NUB241" s="210"/>
      <c r="NUC241" s="210"/>
      <c r="NUD241" s="210"/>
      <c r="NUE241" s="210"/>
      <c r="NUF241" s="210"/>
      <c r="NUG241" s="210"/>
      <c r="NUH241" s="210"/>
      <c r="NUI241" s="210"/>
      <c r="NUJ241" s="210"/>
      <c r="NUK241" s="210"/>
      <c r="NUL241" s="210"/>
      <c r="NUM241" s="210"/>
      <c r="NUN241" s="210"/>
      <c r="NUO241" s="210"/>
      <c r="NUP241" s="210"/>
      <c r="NUQ241" s="210"/>
      <c r="NUR241" s="210"/>
      <c r="NUS241" s="210"/>
      <c r="NUT241" s="210"/>
      <c r="NUU241" s="210"/>
      <c r="NUV241" s="210"/>
      <c r="NUW241" s="210"/>
      <c r="NUX241" s="210"/>
      <c r="NUY241" s="210"/>
      <c r="NUZ241" s="210"/>
      <c r="NVA241" s="210"/>
      <c r="NVB241" s="210"/>
      <c r="NVC241" s="210"/>
      <c r="NVD241" s="210"/>
      <c r="NVE241" s="210"/>
      <c r="NVF241" s="210"/>
      <c r="NVG241" s="210"/>
      <c r="NVH241" s="210"/>
      <c r="NVI241" s="210"/>
      <c r="NVJ241" s="210"/>
      <c r="NVK241" s="210"/>
      <c r="NVL241" s="210"/>
      <c r="NVM241" s="210"/>
      <c r="NVN241" s="210"/>
      <c r="NVO241" s="210"/>
      <c r="NVP241" s="210"/>
      <c r="NVQ241" s="210"/>
      <c r="NVR241" s="210"/>
      <c r="NVS241" s="210"/>
      <c r="NVT241" s="210"/>
      <c r="NVU241" s="210"/>
      <c r="NVV241" s="210"/>
      <c r="NVW241" s="210"/>
      <c r="NVX241" s="210"/>
      <c r="NVY241" s="210"/>
      <c r="NVZ241" s="210"/>
      <c r="NWA241" s="210"/>
      <c r="NWB241" s="210"/>
      <c r="NWC241" s="210"/>
      <c r="NWD241" s="210"/>
      <c r="NWE241" s="210"/>
      <c r="NWF241" s="210"/>
      <c r="NWG241" s="210"/>
      <c r="NWH241" s="210"/>
      <c r="NWI241" s="210"/>
      <c r="NWJ241" s="210"/>
      <c r="NWK241" s="210"/>
      <c r="NWL241" s="210"/>
      <c r="NWM241" s="210"/>
      <c r="NWN241" s="210"/>
      <c r="NWO241" s="210"/>
      <c r="NWP241" s="210"/>
      <c r="NWQ241" s="210"/>
      <c r="NWR241" s="210"/>
      <c r="NWS241" s="210"/>
      <c r="NWT241" s="210"/>
      <c r="NWU241" s="210"/>
      <c r="NWV241" s="210"/>
      <c r="NWW241" s="210"/>
      <c r="NWX241" s="210"/>
      <c r="NWY241" s="210"/>
      <c r="NWZ241" s="210"/>
      <c r="NXA241" s="210"/>
      <c r="NXB241" s="210"/>
      <c r="NXC241" s="210"/>
      <c r="NXD241" s="210"/>
      <c r="NXE241" s="210"/>
      <c r="NXF241" s="210"/>
      <c r="NXG241" s="210"/>
      <c r="NXH241" s="210"/>
      <c r="NXI241" s="210"/>
      <c r="NXJ241" s="210"/>
      <c r="NXK241" s="210"/>
      <c r="NXL241" s="210"/>
      <c r="NXM241" s="210"/>
      <c r="NXN241" s="210"/>
      <c r="NXO241" s="210"/>
      <c r="NXP241" s="210"/>
      <c r="NXQ241" s="210"/>
      <c r="NXR241" s="210"/>
      <c r="NXS241" s="210"/>
      <c r="NXT241" s="210"/>
      <c r="NXU241" s="210"/>
      <c r="NXV241" s="210"/>
      <c r="NXW241" s="210"/>
      <c r="NXX241" s="210"/>
      <c r="NXY241" s="210"/>
      <c r="NXZ241" s="210"/>
      <c r="NYA241" s="210"/>
      <c r="NYB241" s="210"/>
      <c r="NYC241" s="210"/>
      <c r="NYD241" s="210"/>
      <c r="NYE241" s="210"/>
      <c r="NYF241" s="210"/>
      <c r="NYG241" s="210"/>
      <c r="NYH241" s="210"/>
      <c r="NYI241" s="210"/>
      <c r="NYJ241" s="210"/>
      <c r="NYK241" s="210"/>
      <c r="NYL241" s="210"/>
      <c r="NYM241" s="210"/>
      <c r="NYN241" s="210"/>
      <c r="NYO241" s="210"/>
      <c r="NYP241" s="210"/>
      <c r="NYQ241" s="210"/>
      <c r="NYR241" s="210"/>
      <c r="NYS241" s="210"/>
      <c r="NYT241" s="210"/>
      <c r="NYU241" s="210"/>
      <c r="NYV241" s="210"/>
      <c r="NYW241" s="210"/>
      <c r="NYX241" s="210"/>
      <c r="NYY241" s="210"/>
      <c r="NYZ241" s="210"/>
      <c r="NZA241" s="210"/>
      <c r="NZB241" s="210"/>
      <c r="NZC241" s="210"/>
      <c r="NZD241" s="210"/>
      <c r="NZE241" s="210"/>
      <c r="NZF241" s="210"/>
      <c r="NZG241" s="210"/>
      <c r="NZH241" s="210"/>
      <c r="NZI241" s="210"/>
      <c r="NZJ241" s="210"/>
      <c r="NZK241" s="210"/>
      <c r="NZL241" s="210"/>
      <c r="NZM241" s="210"/>
      <c r="NZN241" s="210"/>
      <c r="NZO241" s="210"/>
      <c r="NZP241" s="210"/>
      <c r="NZQ241" s="210"/>
      <c r="NZR241" s="210"/>
      <c r="NZS241" s="210"/>
      <c r="NZT241" s="210"/>
      <c r="NZU241" s="210"/>
      <c r="NZV241" s="210"/>
      <c r="NZW241" s="210"/>
      <c r="NZX241" s="210"/>
      <c r="NZY241" s="210"/>
      <c r="NZZ241" s="210"/>
      <c r="OAA241" s="210"/>
      <c r="OAB241" s="210"/>
      <c r="OAC241" s="210"/>
      <c r="OAD241" s="210"/>
      <c r="OAE241" s="210"/>
      <c r="OAF241" s="210"/>
      <c r="OAG241" s="210"/>
      <c r="OAH241" s="210"/>
      <c r="OAI241" s="210"/>
      <c r="OAJ241" s="210"/>
      <c r="OAK241" s="210"/>
      <c r="OAL241" s="210"/>
      <c r="OAM241" s="210"/>
      <c r="OAN241" s="210"/>
      <c r="OAO241" s="210"/>
      <c r="OAP241" s="210"/>
      <c r="OAQ241" s="210"/>
      <c r="OAR241" s="210"/>
      <c r="OAS241" s="210"/>
      <c r="OAT241" s="210"/>
      <c r="OAU241" s="210"/>
      <c r="OAV241" s="210"/>
      <c r="OAW241" s="210"/>
      <c r="OAX241" s="210"/>
      <c r="OAY241" s="210"/>
      <c r="OAZ241" s="210"/>
      <c r="OBA241" s="210"/>
      <c r="OBB241" s="210"/>
      <c r="OBC241" s="210"/>
      <c r="OBD241" s="210"/>
      <c r="OBE241" s="210"/>
      <c r="OBF241" s="210"/>
      <c r="OBG241" s="210"/>
      <c r="OBH241" s="210"/>
      <c r="OBI241" s="210"/>
      <c r="OBJ241" s="210"/>
      <c r="OBK241" s="210"/>
      <c r="OBL241" s="210"/>
      <c r="OBM241" s="210"/>
      <c r="OBN241" s="210"/>
      <c r="OBO241" s="210"/>
      <c r="OBP241" s="210"/>
      <c r="OBQ241" s="210"/>
      <c r="OBR241" s="210"/>
      <c r="OBS241" s="210"/>
      <c r="OBT241" s="210"/>
      <c r="OBU241" s="210"/>
      <c r="OBV241" s="210"/>
      <c r="OBW241" s="210"/>
      <c r="OBX241" s="210"/>
      <c r="OBY241" s="210"/>
      <c r="OBZ241" s="210"/>
      <c r="OCA241" s="210"/>
      <c r="OCB241" s="210"/>
      <c r="OCC241" s="210"/>
      <c r="OCD241" s="210"/>
      <c r="OCE241" s="210"/>
      <c r="OCF241" s="210"/>
      <c r="OCG241" s="210"/>
      <c r="OCH241" s="210"/>
      <c r="OCI241" s="210"/>
      <c r="OCJ241" s="210"/>
      <c r="OCK241" s="210"/>
      <c r="OCL241" s="210"/>
      <c r="OCM241" s="210"/>
      <c r="OCN241" s="210"/>
      <c r="OCO241" s="210"/>
      <c r="OCP241" s="210"/>
      <c r="OCQ241" s="210"/>
      <c r="OCR241" s="210"/>
      <c r="OCS241" s="210"/>
      <c r="OCT241" s="210"/>
      <c r="OCU241" s="210"/>
      <c r="OCV241" s="210"/>
      <c r="OCW241" s="210"/>
      <c r="OCX241" s="210"/>
      <c r="OCY241" s="210"/>
      <c r="OCZ241" s="210"/>
      <c r="ODA241" s="210"/>
      <c r="ODB241" s="210"/>
      <c r="ODC241" s="210"/>
      <c r="ODD241" s="210"/>
      <c r="ODE241" s="210"/>
      <c r="ODF241" s="210"/>
      <c r="ODG241" s="210"/>
      <c r="ODH241" s="210"/>
      <c r="ODI241" s="210"/>
      <c r="ODJ241" s="210"/>
      <c r="ODK241" s="210"/>
      <c r="ODL241" s="210"/>
      <c r="ODM241" s="210"/>
      <c r="ODN241" s="210"/>
      <c r="ODO241" s="210"/>
      <c r="ODP241" s="210"/>
      <c r="ODQ241" s="210"/>
      <c r="ODR241" s="210"/>
      <c r="ODS241" s="210"/>
      <c r="ODT241" s="210"/>
      <c r="ODU241" s="210"/>
      <c r="ODV241" s="210"/>
      <c r="ODW241" s="210"/>
      <c r="ODX241" s="210"/>
      <c r="ODY241" s="210"/>
      <c r="ODZ241" s="210"/>
      <c r="OEA241" s="210"/>
      <c r="OEB241" s="210"/>
      <c r="OEC241" s="210"/>
      <c r="OED241" s="210"/>
      <c r="OEE241" s="210"/>
      <c r="OEF241" s="210"/>
      <c r="OEG241" s="210"/>
      <c r="OEH241" s="210"/>
      <c r="OEI241" s="210"/>
      <c r="OEJ241" s="210"/>
      <c r="OEK241" s="210"/>
      <c r="OEL241" s="210"/>
      <c r="OEM241" s="210"/>
      <c r="OEN241" s="210"/>
      <c r="OEO241" s="210"/>
      <c r="OEP241" s="210"/>
      <c r="OEQ241" s="210"/>
      <c r="OER241" s="210"/>
      <c r="OES241" s="210"/>
      <c r="OET241" s="210"/>
      <c r="OEU241" s="210"/>
      <c r="OEV241" s="210"/>
      <c r="OEW241" s="210"/>
      <c r="OEX241" s="210"/>
      <c r="OEY241" s="210"/>
      <c r="OEZ241" s="210"/>
      <c r="OFA241" s="210"/>
      <c r="OFB241" s="210"/>
      <c r="OFC241" s="210"/>
      <c r="OFD241" s="210"/>
      <c r="OFE241" s="210"/>
      <c r="OFF241" s="210"/>
      <c r="OFG241" s="210"/>
      <c r="OFH241" s="210"/>
      <c r="OFI241" s="210"/>
      <c r="OFJ241" s="210"/>
      <c r="OFK241" s="210"/>
      <c r="OFL241" s="210"/>
      <c r="OFM241" s="210"/>
      <c r="OFN241" s="210"/>
      <c r="OFO241" s="210"/>
      <c r="OFP241" s="210"/>
      <c r="OFQ241" s="210"/>
      <c r="OFR241" s="210"/>
      <c r="OFS241" s="210"/>
      <c r="OFT241" s="210"/>
      <c r="OFU241" s="210"/>
      <c r="OFV241" s="210"/>
      <c r="OFW241" s="210"/>
      <c r="OFX241" s="210"/>
      <c r="OFY241" s="210"/>
      <c r="OFZ241" s="210"/>
      <c r="OGA241" s="210"/>
      <c r="OGB241" s="210"/>
      <c r="OGC241" s="210"/>
      <c r="OGD241" s="210"/>
      <c r="OGE241" s="210"/>
      <c r="OGF241" s="210"/>
      <c r="OGG241" s="210"/>
      <c r="OGH241" s="210"/>
      <c r="OGI241" s="210"/>
      <c r="OGJ241" s="210"/>
      <c r="OGK241" s="210"/>
      <c r="OGL241" s="210"/>
      <c r="OGM241" s="210"/>
      <c r="OGN241" s="210"/>
      <c r="OGO241" s="210"/>
      <c r="OGP241" s="210"/>
      <c r="OGQ241" s="210"/>
      <c r="OGR241" s="210"/>
      <c r="OGS241" s="210"/>
      <c r="OGT241" s="210"/>
      <c r="OGU241" s="210"/>
      <c r="OGV241" s="210"/>
      <c r="OGW241" s="210"/>
      <c r="OGX241" s="210"/>
      <c r="OGY241" s="210"/>
      <c r="OGZ241" s="210"/>
      <c r="OHA241" s="210"/>
      <c r="OHB241" s="210"/>
      <c r="OHC241" s="210"/>
      <c r="OHD241" s="210"/>
      <c r="OHE241" s="210"/>
      <c r="OHF241" s="210"/>
      <c r="OHG241" s="210"/>
      <c r="OHH241" s="210"/>
      <c r="OHI241" s="210"/>
      <c r="OHJ241" s="210"/>
      <c r="OHK241" s="210"/>
      <c r="OHL241" s="210"/>
      <c r="OHM241" s="210"/>
      <c r="OHN241" s="210"/>
      <c r="OHO241" s="210"/>
      <c r="OHP241" s="210"/>
      <c r="OHQ241" s="210"/>
      <c r="OHR241" s="210"/>
      <c r="OHS241" s="210"/>
      <c r="OHT241" s="210"/>
      <c r="OHU241" s="210"/>
      <c r="OHV241" s="210"/>
      <c r="OHW241" s="210"/>
      <c r="OHX241" s="210"/>
      <c r="OHY241" s="210"/>
      <c r="OHZ241" s="210"/>
      <c r="OIA241" s="210"/>
      <c r="OIB241" s="210"/>
      <c r="OIC241" s="210"/>
      <c r="OID241" s="210"/>
      <c r="OIE241" s="210"/>
      <c r="OIF241" s="210"/>
      <c r="OIG241" s="210"/>
      <c r="OIH241" s="210"/>
      <c r="OII241" s="210"/>
      <c r="OIJ241" s="210"/>
      <c r="OIK241" s="210"/>
      <c r="OIL241" s="210"/>
      <c r="OIM241" s="210"/>
      <c r="OIN241" s="210"/>
      <c r="OIO241" s="210"/>
      <c r="OIP241" s="210"/>
      <c r="OIQ241" s="210"/>
      <c r="OIR241" s="210"/>
      <c r="OIS241" s="210"/>
      <c r="OIT241" s="210"/>
      <c r="OIU241" s="210"/>
      <c r="OIV241" s="210"/>
      <c r="OIW241" s="210"/>
      <c r="OIX241" s="210"/>
      <c r="OIY241" s="210"/>
      <c r="OIZ241" s="210"/>
      <c r="OJA241" s="210"/>
      <c r="OJB241" s="210"/>
      <c r="OJC241" s="210"/>
      <c r="OJD241" s="210"/>
      <c r="OJE241" s="210"/>
      <c r="OJF241" s="210"/>
      <c r="OJG241" s="210"/>
      <c r="OJH241" s="210"/>
      <c r="OJI241" s="210"/>
      <c r="OJJ241" s="210"/>
      <c r="OJK241" s="210"/>
      <c r="OJL241" s="210"/>
      <c r="OJM241" s="210"/>
      <c r="OJN241" s="210"/>
      <c r="OJO241" s="210"/>
      <c r="OJP241" s="210"/>
      <c r="OJQ241" s="210"/>
      <c r="OJR241" s="210"/>
      <c r="OJS241" s="210"/>
      <c r="OJT241" s="210"/>
      <c r="OJU241" s="210"/>
      <c r="OJV241" s="210"/>
      <c r="OJW241" s="210"/>
      <c r="OJX241" s="210"/>
      <c r="OJY241" s="210"/>
      <c r="OJZ241" s="210"/>
      <c r="OKA241" s="210"/>
      <c r="OKB241" s="210"/>
      <c r="OKC241" s="210"/>
      <c r="OKD241" s="210"/>
      <c r="OKE241" s="210"/>
      <c r="OKF241" s="210"/>
      <c r="OKG241" s="210"/>
      <c r="OKH241" s="210"/>
      <c r="OKI241" s="210"/>
      <c r="OKJ241" s="210"/>
      <c r="OKK241" s="210"/>
      <c r="OKL241" s="210"/>
      <c r="OKM241" s="210"/>
      <c r="OKN241" s="210"/>
      <c r="OKO241" s="210"/>
      <c r="OKP241" s="210"/>
      <c r="OKQ241" s="210"/>
      <c r="OKR241" s="210"/>
      <c r="OKS241" s="210"/>
      <c r="OKT241" s="210"/>
      <c r="OKU241" s="210"/>
      <c r="OKV241" s="210"/>
      <c r="OKW241" s="210"/>
      <c r="OKX241" s="210"/>
      <c r="OKY241" s="210"/>
      <c r="OKZ241" s="210"/>
      <c r="OLA241" s="210"/>
      <c r="OLB241" s="210"/>
      <c r="OLC241" s="210"/>
      <c r="OLD241" s="210"/>
      <c r="OLE241" s="210"/>
      <c r="OLF241" s="210"/>
      <c r="OLG241" s="210"/>
      <c r="OLH241" s="210"/>
      <c r="OLI241" s="210"/>
      <c r="OLJ241" s="210"/>
      <c r="OLK241" s="210"/>
      <c r="OLL241" s="210"/>
      <c r="OLM241" s="210"/>
      <c r="OLN241" s="210"/>
      <c r="OLO241" s="210"/>
      <c r="OLP241" s="210"/>
      <c r="OLQ241" s="210"/>
      <c r="OLR241" s="210"/>
      <c r="OLS241" s="210"/>
      <c r="OLT241" s="210"/>
      <c r="OLU241" s="210"/>
      <c r="OLV241" s="210"/>
      <c r="OLW241" s="210"/>
      <c r="OLX241" s="210"/>
      <c r="OLY241" s="210"/>
      <c r="OLZ241" s="210"/>
      <c r="OMA241" s="210"/>
      <c r="OMB241" s="210"/>
      <c r="OMC241" s="210"/>
      <c r="OMD241" s="210"/>
      <c r="OME241" s="210"/>
      <c r="OMF241" s="210"/>
      <c r="OMG241" s="210"/>
      <c r="OMH241" s="210"/>
      <c r="OMI241" s="210"/>
      <c r="OMJ241" s="210"/>
      <c r="OMK241" s="210"/>
      <c r="OML241" s="210"/>
      <c r="OMM241" s="210"/>
      <c r="OMN241" s="210"/>
      <c r="OMO241" s="210"/>
      <c r="OMP241" s="210"/>
      <c r="OMQ241" s="210"/>
      <c r="OMR241" s="210"/>
      <c r="OMS241" s="210"/>
      <c r="OMT241" s="210"/>
      <c r="OMU241" s="210"/>
      <c r="OMV241" s="210"/>
      <c r="OMW241" s="210"/>
      <c r="OMX241" s="210"/>
      <c r="OMY241" s="210"/>
      <c r="OMZ241" s="210"/>
      <c r="ONA241" s="210"/>
      <c r="ONB241" s="210"/>
      <c r="ONC241" s="210"/>
      <c r="OND241" s="210"/>
      <c r="ONE241" s="210"/>
      <c r="ONF241" s="210"/>
      <c r="ONG241" s="210"/>
      <c r="ONH241" s="210"/>
      <c r="ONI241" s="210"/>
      <c r="ONJ241" s="210"/>
      <c r="ONK241" s="210"/>
      <c r="ONL241" s="210"/>
      <c r="ONM241" s="210"/>
      <c r="ONN241" s="210"/>
      <c r="ONO241" s="210"/>
      <c r="ONP241" s="210"/>
      <c r="ONQ241" s="210"/>
      <c r="ONR241" s="210"/>
      <c r="ONS241" s="210"/>
      <c r="ONT241" s="210"/>
      <c r="ONU241" s="210"/>
      <c r="ONV241" s="210"/>
      <c r="ONW241" s="210"/>
      <c r="ONX241" s="210"/>
      <c r="ONY241" s="210"/>
      <c r="ONZ241" s="210"/>
      <c r="OOA241" s="210"/>
      <c r="OOB241" s="210"/>
      <c r="OOC241" s="210"/>
      <c r="OOD241" s="210"/>
      <c r="OOE241" s="210"/>
      <c r="OOF241" s="210"/>
      <c r="OOG241" s="210"/>
      <c r="OOH241" s="210"/>
      <c r="OOI241" s="210"/>
      <c r="OOJ241" s="210"/>
      <c r="OOK241" s="210"/>
      <c r="OOL241" s="210"/>
      <c r="OOM241" s="210"/>
      <c r="OON241" s="210"/>
      <c r="OOO241" s="210"/>
      <c r="OOP241" s="210"/>
      <c r="OOQ241" s="210"/>
      <c r="OOR241" s="210"/>
      <c r="OOS241" s="210"/>
      <c r="OOT241" s="210"/>
      <c r="OOU241" s="210"/>
      <c r="OOV241" s="210"/>
      <c r="OOW241" s="210"/>
      <c r="OOX241" s="210"/>
      <c r="OOY241" s="210"/>
      <c r="OOZ241" s="210"/>
      <c r="OPA241" s="210"/>
      <c r="OPB241" s="210"/>
      <c r="OPC241" s="210"/>
      <c r="OPD241" s="210"/>
      <c r="OPE241" s="210"/>
      <c r="OPF241" s="210"/>
      <c r="OPG241" s="210"/>
      <c r="OPH241" s="210"/>
      <c r="OPI241" s="210"/>
      <c r="OPJ241" s="210"/>
      <c r="OPK241" s="210"/>
      <c r="OPL241" s="210"/>
      <c r="OPM241" s="210"/>
      <c r="OPN241" s="210"/>
      <c r="OPO241" s="210"/>
      <c r="OPP241" s="210"/>
      <c r="OPQ241" s="210"/>
      <c r="OPR241" s="210"/>
      <c r="OPS241" s="210"/>
      <c r="OPT241" s="210"/>
      <c r="OPU241" s="210"/>
      <c r="OPV241" s="210"/>
      <c r="OPW241" s="210"/>
      <c r="OPX241" s="210"/>
      <c r="OPY241" s="210"/>
      <c r="OPZ241" s="210"/>
      <c r="OQA241" s="210"/>
      <c r="OQB241" s="210"/>
      <c r="OQC241" s="210"/>
      <c r="OQD241" s="210"/>
      <c r="OQE241" s="210"/>
      <c r="OQF241" s="210"/>
      <c r="OQG241" s="210"/>
      <c r="OQH241" s="210"/>
      <c r="OQI241" s="210"/>
      <c r="OQJ241" s="210"/>
      <c r="OQK241" s="210"/>
      <c r="OQL241" s="210"/>
      <c r="OQM241" s="210"/>
      <c r="OQN241" s="210"/>
      <c r="OQO241" s="210"/>
      <c r="OQP241" s="210"/>
      <c r="OQQ241" s="210"/>
      <c r="OQR241" s="210"/>
      <c r="OQS241" s="210"/>
      <c r="OQT241" s="210"/>
      <c r="OQU241" s="210"/>
      <c r="OQV241" s="210"/>
      <c r="OQW241" s="210"/>
      <c r="OQX241" s="210"/>
      <c r="OQY241" s="210"/>
      <c r="OQZ241" s="210"/>
      <c r="ORA241" s="210"/>
      <c r="ORB241" s="210"/>
      <c r="ORC241" s="210"/>
      <c r="ORD241" s="210"/>
      <c r="ORE241" s="210"/>
      <c r="ORF241" s="210"/>
      <c r="ORG241" s="210"/>
      <c r="ORH241" s="210"/>
      <c r="ORI241" s="210"/>
      <c r="ORJ241" s="210"/>
      <c r="ORK241" s="210"/>
      <c r="ORL241" s="210"/>
      <c r="ORM241" s="210"/>
      <c r="ORN241" s="210"/>
      <c r="ORO241" s="210"/>
      <c r="ORP241" s="210"/>
      <c r="ORQ241" s="210"/>
      <c r="ORR241" s="210"/>
      <c r="ORS241" s="210"/>
      <c r="ORT241" s="210"/>
      <c r="ORU241" s="210"/>
      <c r="ORV241" s="210"/>
      <c r="ORW241" s="210"/>
      <c r="ORX241" s="210"/>
      <c r="ORY241" s="210"/>
      <c r="ORZ241" s="210"/>
      <c r="OSA241" s="210"/>
      <c r="OSB241" s="210"/>
      <c r="OSC241" s="210"/>
      <c r="OSD241" s="210"/>
      <c r="OSE241" s="210"/>
      <c r="OSF241" s="210"/>
      <c r="OSG241" s="210"/>
      <c r="OSH241" s="210"/>
      <c r="OSI241" s="210"/>
      <c r="OSJ241" s="210"/>
      <c r="OSK241" s="210"/>
      <c r="OSL241" s="210"/>
      <c r="OSM241" s="210"/>
      <c r="OSN241" s="210"/>
      <c r="OSO241" s="210"/>
      <c r="OSP241" s="210"/>
      <c r="OSQ241" s="210"/>
      <c r="OSR241" s="210"/>
      <c r="OSS241" s="210"/>
      <c r="OST241" s="210"/>
      <c r="OSU241" s="210"/>
      <c r="OSV241" s="210"/>
      <c r="OSW241" s="210"/>
      <c r="OSX241" s="210"/>
      <c r="OSY241" s="210"/>
      <c r="OSZ241" s="210"/>
      <c r="OTA241" s="210"/>
      <c r="OTB241" s="210"/>
      <c r="OTC241" s="210"/>
      <c r="OTD241" s="210"/>
      <c r="OTE241" s="210"/>
      <c r="OTF241" s="210"/>
      <c r="OTG241" s="210"/>
      <c r="OTH241" s="210"/>
      <c r="OTI241" s="210"/>
      <c r="OTJ241" s="210"/>
      <c r="OTK241" s="210"/>
      <c r="OTL241" s="210"/>
      <c r="OTM241" s="210"/>
      <c r="OTN241" s="210"/>
      <c r="OTO241" s="210"/>
      <c r="OTP241" s="210"/>
      <c r="OTQ241" s="210"/>
      <c r="OTR241" s="210"/>
      <c r="OTS241" s="210"/>
      <c r="OTT241" s="210"/>
      <c r="OTU241" s="210"/>
      <c r="OTV241" s="210"/>
      <c r="OTW241" s="210"/>
      <c r="OTX241" s="210"/>
      <c r="OTY241" s="210"/>
      <c r="OTZ241" s="210"/>
      <c r="OUA241" s="210"/>
      <c r="OUB241" s="210"/>
      <c r="OUC241" s="210"/>
      <c r="OUD241" s="210"/>
      <c r="OUE241" s="210"/>
      <c r="OUF241" s="210"/>
      <c r="OUG241" s="210"/>
      <c r="OUH241" s="210"/>
      <c r="OUI241" s="210"/>
      <c r="OUJ241" s="210"/>
      <c r="OUK241" s="210"/>
      <c r="OUL241" s="210"/>
      <c r="OUM241" s="210"/>
      <c r="OUN241" s="210"/>
      <c r="OUO241" s="210"/>
      <c r="OUP241" s="210"/>
      <c r="OUQ241" s="210"/>
      <c r="OUR241" s="210"/>
      <c r="OUS241" s="210"/>
      <c r="OUT241" s="210"/>
      <c r="OUU241" s="210"/>
      <c r="OUV241" s="210"/>
      <c r="OUW241" s="210"/>
      <c r="OUX241" s="210"/>
      <c r="OUY241" s="210"/>
      <c r="OUZ241" s="210"/>
      <c r="OVA241" s="210"/>
      <c r="OVB241" s="210"/>
      <c r="OVC241" s="210"/>
      <c r="OVD241" s="210"/>
      <c r="OVE241" s="210"/>
      <c r="OVF241" s="210"/>
      <c r="OVG241" s="210"/>
      <c r="OVH241" s="210"/>
      <c r="OVI241" s="210"/>
      <c r="OVJ241" s="210"/>
      <c r="OVK241" s="210"/>
      <c r="OVL241" s="210"/>
      <c r="OVM241" s="210"/>
      <c r="OVN241" s="210"/>
      <c r="OVO241" s="210"/>
      <c r="OVP241" s="210"/>
      <c r="OVQ241" s="210"/>
      <c r="OVR241" s="210"/>
      <c r="OVS241" s="210"/>
      <c r="OVT241" s="210"/>
      <c r="OVU241" s="210"/>
      <c r="OVV241" s="210"/>
      <c r="OVW241" s="210"/>
      <c r="OVX241" s="210"/>
      <c r="OVY241" s="210"/>
      <c r="OVZ241" s="210"/>
      <c r="OWA241" s="210"/>
      <c r="OWB241" s="210"/>
      <c r="OWC241" s="210"/>
      <c r="OWD241" s="210"/>
      <c r="OWE241" s="210"/>
      <c r="OWF241" s="210"/>
      <c r="OWG241" s="210"/>
      <c r="OWH241" s="210"/>
      <c r="OWI241" s="210"/>
      <c r="OWJ241" s="210"/>
      <c r="OWK241" s="210"/>
      <c r="OWL241" s="210"/>
      <c r="OWM241" s="210"/>
      <c r="OWN241" s="210"/>
      <c r="OWO241" s="210"/>
      <c r="OWP241" s="210"/>
      <c r="OWQ241" s="210"/>
      <c r="OWR241" s="210"/>
      <c r="OWS241" s="210"/>
      <c r="OWT241" s="210"/>
      <c r="OWU241" s="210"/>
      <c r="OWV241" s="210"/>
      <c r="OWW241" s="210"/>
      <c r="OWX241" s="210"/>
      <c r="OWY241" s="210"/>
      <c r="OWZ241" s="210"/>
      <c r="OXA241" s="210"/>
      <c r="OXB241" s="210"/>
      <c r="OXC241" s="210"/>
      <c r="OXD241" s="210"/>
      <c r="OXE241" s="210"/>
      <c r="OXF241" s="210"/>
      <c r="OXG241" s="210"/>
      <c r="OXH241" s="210"/>
      <c r="OXI241" s="210"/>
      <c r="OXJ241" s="210"/>
      <c r="OXK241" s="210"/>
      <c r="OXL241" s="210"/>
      <c r="OXM241" s="210"/>
      <c r="OXN241" s="210"/>
      <c r="OXO241" s="210"/>
      <c r="OXP241" s="210"/>
      <c r="OXQ241" s="210"/>
      <c r="OXR241" s="210"/>
      <c r="OXS241" s="210"/>
      <c r="OXT241" s="210"/>
      <c r="OXU241" s="210"/>
      <c r="OXV241" s="210"/>
      <c r="OXW241" s="210"/>
      <c r="OXX241" s="210"/>
      <c r="OXY241" s="210"/>
      <c r="OXZ241" s="210"/>
      <c r="OYA241" s="210"/>
      <c r="OYB241" s="210"/>
      <c r="OYC241" s="210"/>
      <c r="OYD241" s="210"/>
      <c r="OYE241" s="210"/>
      <c r="OYF241" s="210"/>
      <c r="OYG241" s="210"/>
      <c r="OYH241" s="210"/>
      <c r="OYI241" s="210"/>
      <c r="OYJ241" s="210"/>
      <c r="OYK241" s="210"/>
      <c r="OYL241" s="210"/>
      <c r="OYM241" s="210"/>
      <c r="OYN241" s="210"/>
      <c r="OYO241" s="210"/>
      <c r="OYP241" s="210"/>
      <c r="OYQ241" s="210"/>
      <c r="OYR241" s="210"/>
      <c r="OYS241" s="210"/>
      <c r="OYT241" s="210"/>
      <c r="OYU241" s="210"/>
      <c r="OYV241" s="210"/>
      <c r="OYW241" s="210"/>
      <c r="OYX241" s="210"/>
      <c r="OYY241" s="210"/>
      <c r="OYZ241" s="210"/>
      <c r="OZA241" s="210"/>
      <c r="OZB241" s="210"/>
      <c r="OZC241" s="210"/>
      <c r="OZD241" s="210"/>
      <c r="OZE241" s="210"/>
      <c r="OZF241" s="210"/>
      <c r="OZG241" s="210"/>
      <c r="OZH241" s="210"/>
      <c r="OZI241" s="210"/>
      <c r="OZJ241" s="210"/>
      <c r="OZK241" s="210"/>
      <c r="OZL241" s="210"/>
      <c r="OZM241" s="210"/>
      <c r="OZN241" s="210"/>
      <c r="OZO241" s="210"/>
      <c r="OZP241" s="210"/>
      <c r="OZQ241" s="210"/>
      <c r="OZR241" s="210"/>
      <c r="OZS241" s="210"/>
      <c r="OZT241" s="210"/>
      <c r="OZU241" s="210"/>
      <c r="OZV241" s="210"/>
      <c r="OZW241" s="210"/>
      <c r="OZX241" s="210"/>
      <c r="OZY241" s="210"/>
      <c r="OZZ241" s="210"/>
      <c r="PAA241" s="210"/>
      <c r="PAB241" s="210"/>
      <c r="PAC241" s="210"/>
      <c r="PAD241" s="210"/>
      <c r="PAE241" s="210"/>
      <c r="PAF241" s="210"/>
      <c r="PAG241" s="210"/>
      <c r="PAH241" s="210"/>
      <c r="PAI241" s="210"/>
      <c r="PAJ241" s="210"/>
      <c r="PAK241" s="210"/>
      <c r="PAL241" s="210"/>
      <c r="PAM241" s="210"/>
      <c r="PAN241" s="210"/>
      <c r="PAO241" s="210"/>
      <c r="PAP241" s="210"/>
      <c r="PAQ241" s="210"/>
      <c r="PAR241" s="210"/>
      <c r="PAS241" s="210"/>
      <c r="PAT241" s="210"/>
      <c r="PAU241" s="210"/>
      <c r="PAV241" s="210"/>
      <c r="PAW241" s="210"/>
      <c r="PAX241" s="210"/>
      <c r="PAY241" s="210"/>
      <c r="PAZ241" s="210"/>
      <c r="PBA241" s="210"/>
      <c r="PBB241" s="210"/>
      <c r="PBC241" s="210"/>
      <c r="PBD241" s="210"/>
      <c r="PBE241" s="210"/>
      <c r="PBF241" s="210"/>
      <c r="PBG241" s="210"/>
      <c r="PBH241" s="210"/>
      <c r="PBI241" s="210"/>
      <c r="PBJ241" s="210"/>
      <c r="PBK241" s="210"/>
      <c r="PBL241" s="210"/>
      <c r="PBM241" s="210"/>
      <c r="PBN241" s="210"/>
      <c r="PBO241" s="210"/>
      <c r="PBP241" s="210"/>
      <c r="PBQ241" s="210"/>
      <c r="PBR241" s="210"/>
      <c r="PBS241" s="210"/>
      <c r="PBT241" s="210"/>
      <c r="PBU241" s="210"/>
      <c r="PBV241" s="210"/>
      <c r="PBW241" s="210"/>
      <c r="PBX241" s="210"/>
      <c r="PBY241" s="210"/>
      <c r="PBZ241" s="210"/>
      <c r="PCA241" s="210"/>
      <c r="PCB241" s="210"/>
      <c r="PCC241" s="210"/>
      <c r="PCD241" s="210"/>
      <c r="PCE241" s="210"/>
      <c r="PCF241" s="210"/>
      <c r="PCG241" s="210"/>
      <c r="PCH241" s="210"/>
      <c r="PCI241" s="210"/>
      <c r="PCJ241" s="210"/>
      <c r="PCK241" s="210"/>
      <c r="PCL241" s="210"/>
      <c r="PCM241" s="210"/>
      <c r="PCN241" s="210"/>
      <c r="PCO241" s="210"/>
      <c r="PCP241" s="210"/>
      <c r="PCQ241" s="210"/>
      <c r="PCR241" s="210"/>
      <c r="PCS241" s="210"/>
      <c r="PCT241" s="210"/>
      <c r="PCU241" s="210"/>
      <c r="PCV241" s="210"/>
      <c r="PCW241" s="210"/>
      <c r="PCX241" s="210"/>
      <c r="PCY241" s="210"/>
      <c r="PCZ241" s="210"/>
      <c r="PDA241" s="210"/>
      <c r="PDB241" s="210"/>
      <c r="PDC241" s="210"/>
      <c r="PDD241" s="210"/>
      <c r="PDE241" s="210"/>
      <c r="PDF241" s="210"/>
      <c r="PDG241" s="210"/>
      <c r="PDH241" s="210"/>
      <c r="PDI241" s="210"/>
      <c r="PDJ241" s="210"/>
      <c r="PDK241" s="210"/>
      <c r="PDL241" s="210"/>
      <c r="PDM241" s="210"/>
      <c r="PDN241" s="210"/>
      <c r="PDO241" s="210"/>
      <c r="PDP241" s="210"/>
      <c r="PDQ241" s="210"/>
      <c r="PDR241" s="210"/>
      <c r="PDS241" s="210"/>
      <c r="PDT241" s="210"/>
      <c r="PDU241" s="210"/>
      <c r="PDV241" s="210"/>
      <c r="PDW241" s="210"/>
      <c r="PDX241" s="210"/>
      <c r="PDY241" s="210"/>
      <c r="PDZ241" s="210"/>
      <c r="PEA241" s="210"/>
      <c r="PEB241" s="210"/>
      <c r="PEC241" s="210"/>
      <c r="PED241" s="210"/>
      <c r="PEE241" s="210"/>
      <c r="PEF241" s="210"/>
      <c r="PEG241" s="210"/>
      <c r="PEH241" s="210"/>
      <c r="PEI241" s="210"/>
      <c r="PEJ241" s="210"/>
      <c r="PEK241" s="210"/>
      <c r="PEL241" s="210"/>
      <c r="PEM241" s="210"/>
      <c r="PEN241" s="210"/>
      <c r="PEO241" s="210"/>
      <c r="PEP241" s="210"/>
      <c r="PEQ241" s="210"/>
      <c r="PER241" s="210"/>
      <c r="PES241" s="210"/>
      <c r="PET241" s="210"/>
      <c r="PEU241" s="210"/>
      <c r="PEV241" s="210"/>
      <c r="PEW241" s="210"/>
      <c r="PEX241" s="210"/>
      <c r="PEY241" s="210"/>
      <c r="PEZ241" s="210"/>
      <c r="PFA241" s="210"/>
      <c r="PFB241" s="210"/>
      <c r="PFC241" s="210"/>
      <c r="PFD241" s="210"/>
      <c r="PFE241" s="210"/>
      <c r="PFF241" s="210"/>
      <c r="PFG241" s="210"/>
      <c r="PFH241" s="210"/>
      <c r="PFI241" s="210"/>
      <c r="PFJ241" s="210"/>
      <c r="PFK241" s="210"/>
      <c r="PFL241" s="210"/>
      <c r="PFM241" s="210"/>
      <c r="PFN241" s="210"/>
      <c r="PFO241" s="210"/>
      <c r="PFP241" s="210"/>
      <c r="PFQ241" s="210"/>
      <c r="PFR241" s="210"/>
      <c r="PFS241" s="210"/>
      <c r="PFT241" s="210"/>
      <c r="PFU241" s="210"/>
      <c r="PFV241" s="210"/>
      <c r="PFW241" s="210"/>
      <c r="PFX241" s="210"/>
      <c r="PFY241" s="210"/>
      <c r="PFZ241" s="210"/>
      <c r="PGA241" s="210"/>
      <c r="PGB241" s="210"/>
      <c r="PGC241" s="210"/>
      <c r="PGD241" s="210"/>
      <c r="PGE241" s="210"/>
      <c r="PGF241" s="210"/>
      <c r="PGG241" s="210"/>
      <c r="PGH241" s="210"/>
      <c r="PGI241" s="210"/>
      <c r="PGJ241" s="210"/>
      <c r="PGK241" s="210"/>
      <c r="PGL241" s="210"/>
      <c r="PGM241" s="210"/>
      <c r="PGN241" s="210"/>
      <c r="PGO241" s="210"/>
      <c r="PGP241" s="210"/>
      <c r="PGQ241" s="210"/>
      <c r="PGR241" s="210"/>
      <c r="PGS241" s="210"/>
      <c r="PGT241" s="210"/>
      <c r="PGU241" s="210"/>
      <c r="PGV241" s="210"/>
      <c r="PGW241" s="210"/>
      <c r="PGX241" s="210"/>
      <c r="PGY241" s="210"/>
      <c r="PGZ241" s="210"/>
      <c r="PHA241" s="210"/>
      <c r="PHB241" s="210"/>
      <c r="PHC241" s="210"/>
      <c r="PHD241" s="210"/>
      <c r="PHE241" s="210"/>
      <c r="PHF241" s="210"/>
      <c r="PHG241" s="210"/>
      <c r="PHH241" s="210"/>
      <c r="PHI241" s="210"/>
      <c r="PHJ241" s="210"/>
      <c r="PHK241" s="210"/>
      <c r="PHL241" s="210"/>
      <c r="PHM241" s="210"/>
      <c r="PHN241" s="210"/>
      <c r="PHO241" s="210"/>
      <c r="PHP241" s="210"/>
      <c r="PHQ241" s="210"/>
      <c r="PHR241" s="210"/>
      <c r="PHS241" s="210"/>
      <c r="PHT241" s="210"/>
      <c r="PHU241" s="210"/>
      <c r="PHV241" s="210"/>
      <c r="PHW241" s="210"/>
      <c r="PHX241" s="210"/>
      <c r="PHY241" s="210"/>
      <c r="PHZ241" s="210"/>
      <c r="PIA241" s="210"/>
      <c r="PIB241" s="210"/>
      <c r="PIC241" s="210"/>
      <c r="PID241" s="210"/>
      <c r="PIE241" s="210"/>
      <c r="PIF241" s="210"/>
      <c r="PIG241" s="210"/>
      <c r="PIH241" s="210"/>
      <c r="PII241" s="210"/>
      <c r="PIJ241" s="210"/>
      <c r="PIK241" s="210"/>
      <c r="PIL241" s="210"/>
      <c r="PIM241" s="210"/>
      <c r="PIN241" s="210"/>
      <c r="PIO241" s="210"/>
      <c r="PIP241" s="210"/>
      <c r="PIQ241" s="210"/>
      <c r="PIR241" s="210"/>
      <c r="PIS241" s="210"/>
      <c r="PIT241" s="210"/>
      <c r="PIU241" s="210"/>
      <c r="PIV241" s="210"/>
      <c r="PIW241" s="210"/>
      <c r="PIX241" s="210"/>
      <c r="PIY241" s="210"/>
      <c r="PIZ241" s="210"/>
      <c r="PJA241" s="210"/>
      <c r="PJB241" s="210"/>
      <c r="PJC241" s="210"/>
      <c r="PJD241" s="210"/>
      <c r="PJE241" s="210"/>
      <c r="PJF241" s="210"/>
      <c r="PJG241" s="210"/>
      <c r="PJH241" s="210"/>
      <c r="PJI241" s="210"/>
      <c r="PJJ241" s="210"/>
      <c r="PJK241" s="210"/>
      <c r="PJL241" s="210"/>
      <c r="PJM241" s="210"/>
      <c r="PJN241" s="210"/>
      <c r="PJO241" s="210"/>
      <c r="PJP241" s="210"/>
      <c r="PJQ241" s="210"/>
      <c r="PJR241" s="210"/>
      <c r="PJS241" s="210"/>
      <c r="PJT241" s="210"/>
      <c r="PJU241" s="210"/>
      <c r="PJV241" s="210"/>
      <c r="PJW241" s="210"/>
      <c r="PJX241" s="210"/>
      <c r="PJY241" s="210"/>
      <c r="PJZ241" s="210"/>
      <c r="PKA241" s="210"/>
      <c r="PKB241" s="210"/>
      <c r="PKC241" s="210"/>
      <c r="PKD241" s="210"/>
      <c r="PKE241" s="210"/>
      <c r="PKF241" s="210"/>
      <c r="PKG241" s="210"/>
      <c r="PKH241" s="210"/>
      <c r="PKI241" s="210"/>
      <c r="PKJ241" s="210"/>
      <c r="PKK241" s="210"/>
      <c r="PKL241" s="210"/>
      <c r="PKM241" s="210"/>
      <c r="PKN241" s="210"/>
      <c r="PKO241" s="210"/>
      <c r="PKP241" s="210"/>
      <c r="PKQ241" s="210"/>
      <c r="PKR241" s="210"/>
      <c r="PKS241" s="210"/>
      <c r="PKT241" s="210"/>
      <c r="PKU241" s="210"/>
      <c r="PKV241" s="210"/>
      <c r="PKW241" s="210"/>
      <c r="PKX241" s="210"/>
      <c r="PKY241" s="210"/>
      <c r="PKZ241" s="210"/>
      <c r="PLA241" s="210"/>
      <c r="PLB241" s="210"/>
      <c r="PLC241" s="210"/>
      <c r="PLD241" s="210"/>
      <c r="PLE241" s="210"/>
      <c r="PLF241" s="210"/>
      <c r="PLG241" s="210"/>
      <c r="PLH241" s="210"/>
      <c r="PLI241" s="210"/>
      <c r="PLJ241" s="210"/>
      <c r="PLK241" s="210"/>
      <c r="PLL241" s="210"/>
      <c r="PLM241" s="210"/>
      <c r="PLN241" s="210"/>
      <c r="PLO241" s="210"/>
      <c r="PLP241" s="210"/>
      <c r="PLQ241" s="210"/>
      <c r="PLR241" s="210"/>
      <c r="PLS241" s="210"/>
      <c r="PLT241" s="210"/>
      <c r="PLU241" s="210"/>
      <c r="PLV241" s="210"/>
      <c r="PLW241" s="210"/>
      <c r="PLX241" s="210"/>
      <c r="PLY241" s="210"/>
      <c r="PLZ241" s="210"/>
      <c r="PMA241" s="210"/>
      <c r="PMB241" s="210"/>
      <c r="PMC241" s="210"/>
      <c r="PMD241" s="210"/>
      <c r="PME241" s="210"/>
      <c r="PMF241" s="210"/>
      <c r="PMG241" s="210"/>
      <c r="PMH241" s="210"/>
      <c r="PMI241" s="210"/>
      <c r="PMJ241" s="210"/>
      <c r="PMK241" s="210"/>
      <c r="PML241" s="210"/>
      <c r="PMM241" s="210"/>
      <c r="PMN241" s="210"/>
      <c r="PMO241" s="210"/>
      <c r="PMP241" s="210"/>
      <c r="PMQ241" s="210"/>
      <c r="PMR241" s="210"/>
      <c r="PMS241" s="210"/>
      <c r="PMT241" s="210"/>
      <c r="PMU241" s="210"/>
      <c r="PMV241" s="210"/>
      <c r="PMW241" s="210"/>
      <c r="PMX241" s="210"/>
      <c r="PMY241" s="210"/>
      <c r="PMZ241" s="210"/>
      <c r="PNA241" s="210"/>
      <c r="PNB241" s="210"/>
      <c r="PNC241" s="210"/>
      <c r="PND241" s="210"/>
      <c r="PNE241" s="210"/>
      <c r="PNF241" s="210"/>
      <c r="PNG241" s="210"/>
      <c r="PNH241" s="210"/>
      <c r="PNI241" s="210"/>
      <c r="PNJ241" s="210"/>
      <c r="PNK241" s="210"/>
      <c r="PNL241" s="210"/>
      <c r="PNM241" s="210"/>
      <c r="PNN241" s="210"/>
      <c r="PNO241" s="210"/>
      <c r="PNP241" s="210"/>
      <c r="PNQ241" s="210"/>
      <c r="PNR241" s="210"/>
      <c r="PNS241" s="210"/>
      <c r="PNT241" s="210"/>
      <c r="PNU241" s="210"/>
      <c r="PNV241" s="210"/>
      <c r="PNW241" s="210"/>
      <c r="PNX241" s="210"/>
      <c r="PNY241" s="210"/>
      <c r="PNZ241" s="210"/>
      <c r="POA241" s="210"/>
      <c r="POB241" s="210"/>
      <c r="POC241" s="210"/>
      <c r="POD241" s="210"/>
      <c r="POE241" s="210"/>
      <c r="POF241" s="210"/>
      <c r="POG241" s="210"/>
      <c r="POH241" s="210"/>
      <c r="POI241" s="210"/>
      <c r="POJ241" s="210"/>
      <c r="POK241" s="210"/>
      <c r="POL241" s="210"/>
      <c r="POM241" s="210"/>
      <c r="PON241" s="210"/>
      <c r="POO241" s="210"/>
      <c r="POP241" s="210"/>
      <c r="POQ241" s="210"/>
      <c r="POR241" s="210"/>
      <c r="POS241" s="210"/>
      <c r="POT241" s="210"/>
      <c r="POU241" s="210"/>
      <c r="POV241" s="210"/>
      <c r="POW241" s="210"/>
      <c r="POX241" s="210"/>
      <c r="POY241" s="210"/>
      <c r="POZ241" s="210"/>
      <c r="PPA241" s="210"/>
      <c r="PPB241" s="210"/>
      <c r="PPC241" s="210"/>
      <c r="PPD241" s="210"/>
      <c r="PPE241" s="210"/>
      <c r="PPF241" s="210"/>
      <c r="PPG241" s="210"/>
      <c r="PPH241" s="210"/>
      <c r="PPI241" s="210"/>
      <c r="PPJ241" s="210"/>
      <c r="PPK241" s="210"/>
      <c r="PPL241" s="210"/>
      <c r="PPM241" s="210"/>
      <c r="PPN241" s="210"/>
      <c r="PPO241" s="210"/>
      <c r="PPP241" s="210"/>
      <c r="PPQ241" s="210"/>
      <c r="PPR241" s="210"/>
      <c r="PPS241" s="210"/>
      <c r="PPT241" s="210"/>
      <c r="PPU241" s="210"/>
      <c r="PPV241" s="210"/>
      <c r="PPW241" s="210"/>
      <c r="PPX241" s="210"/>
      <c r="PPY241" s="210"/>
      <c r="PPZ241" s="210"/>
      <c r="PQA241" s="210"/>
      <c r="PQB241" s="210"/>
      <c r="PQC241" s="210"/>
      <c r="PQD241" s="210"/>
      <c r="PQE241" s="210"/>
      <c r="PQF241" s="210"/>
      <c r="PQG241" s="210"/>
      <c r="PQH241" s="210"/>
      <c r="PQI241" s="210"/>
      <c r="PQJ241" s="210"/>
      <c r="PQK241" s="210"/>
      <c r="PQL241" s="210"/>
      <c r="PQM241" s="210"/>
      <c r="PQN241" s="210"/>
      <c r="PQO241" s="210"/>
      <c r="PQP241" s="210"/>
      <c r="PQQ241" s="210"/>
      <c r="PQR241" s="210"/>
      <c r="PQS241" s="210"/>
      <c r="PQT241" s="210"/>
      <c r="PQU241" s="210"/>
      <c r="PQV241" s="210"/>
      <c r="PQW241" s="210"/>
      <c r="PQX241" s="210"/>
      <c r="PQY241" s="210"/>
      <c r="PQZ241" s="210"/>
      <c r="PRA241" s="210"/>
      <c r="PRB241" s="210"/>
      <c r="PRC241" s="210"/>
      <c r="PRD241" s="210"/>
      <c r="PRE241" s="210"/>
      <c r="PRF241" s="210"/>
      <c r="PRG241" s="210"/>
      <c r="PRH241" s="210"/>
      <c r="PRI241" s="210"/>
      <c r="PRJ241" s="210"/>
      <c r="PRK241" s="210"/>
      <c r="PRL241" s="210"/>
      <c r="PRM241" s="210"/>
      <c r="PRN241" s="210"/>
      <c r="PRO241" s="210"/>
      <c r="PRP241" s="210"/>
      <c r="PRQ241" s="210"/>
      <c r="PRR241" s="210"/>
      <c r="PRS241" s="210"/>
      <c r="PRT241" s="210"/>
      <c r="PRU241" s="210"/>
      <c r="PRV241" s="210"/>
      <c r="PRW241" s="210"/>
      <c r="PRX241" s="210"/>
      <c r="PRY241" s="210"/>
      <c r="PRZ241" s="210"/>
      <c r="PSA241" s="210"/>
      <c r="PSB241" s="210"/>
      <c r="PSC241" s="210"/>
      <c r="PSD241" s="210"/>
      <c r="PSE241" s="210"/>
      <c r="PSF241" s="210"/>
      <c r="PSG241" s="210"/>
      <c r="PSH241" s="210"/>
      <c r="PSI241" s="210"/>
      <c r="PSJ241" s="210"/>
      <c r="PSK241" s="210"/>
      <c r="PSL241" s="210"/>
      <c r="PSM241" s="210"/>
      <c r="PSN241" s="210"/>
      <c r="PSO241" s="210"/>
      <c r="PSP241" s="210"/>
      <c r="PSQ241" s="210"/>
      <c r="PSR241" s="210"/>
      <c r="PSS241" s="210"/>
      <c r="PST241" s="210"/>
      <c r="PSU241" s="210"/>
      <c r="PSV241" s="210"/>
      <c r="PSW241" s="210"/>
      <c r="PSX241" s="210"/>
      <c r="PSY241" s="210"/>
      <c r="PSZ241" s="210"/>
      <c r="PTA241" s="210"/>
      <c r="PTB241" s="210"/>
      <c r="PTC241" s="210"/>
      <c r="PTD241" s="210"/>
      <c r="PTE241" s="210"/>
      <c r="PTF241" s="210"/>
      <c r="PTG241" s="210"/>
      <c r="PTH241" s="210"/>
      <c r="PTI241" s="210"/>
      <c r="PTJ241" s="210"/>
      <c r="PTK241" s="210"/>
      <c r="PTL241" s="210"/>
      <c r="PTM241" s="210"/>
      <c r="PTN241" s="210"/>
      <c r="PTO241" s="210"/>
      <c r="PTP241" s="210"/>
      <c r="PTQ241" s="210"/>
      <c r="PTR241" s="210"/>
      <c r="PTS241" s="210"/>
      <c r="PTT241" s="210"/>
      <c r="PTU241" s="210"/>
      <c r="PTV241" s="210"/>
      <c r="PTW241" s="210"/>
      <c r="PTX241" s="210"/>
      <c r="PTY241" s="210"/>
      <c r="PTZ241" s="210"/>
      <c r="PUA241" s="210"/>
      <c r="PUB241" s="210"/>
      <c r="PUC241" s="210"/>
      <c r="PUD241" s="210"/>
      <c r="PUE241" s="210"/>
      <c r="PUF241" s="210"/>
      <c r="PUG241" s="210"/>
      <c r="PUH241" s="210"/>
      <c r="PUI241" s="210"/>
      <c r="PUJ241" s="210"/>
      <c r="PUK241" s="210"/>
      <c r="PUL241" s="210"/>
      <c r="PUM241" s="210"/>
      <c r="PUN241" s="210"/>
      <c r="PUO241" s="210"/>
      <c r="PUP241" s="210"/>
      <c r="PUQ241" s="210"/>
      <c r="PUR241" s="210"/>
      <c r="PUS241" s="210"/>
      <c r="PUT241" s="210"/>
      <c r="PUU241" s="210"/>
      <c r="PUV241" s="210"/>
      <c r="PUW241" s="210"/>
      <c r="PUX241" s="210"/>
      <c r="PUY241" s="210"/>
      <c r="PUZ241" s="210"/>
      <c r="PVA241" s="210"/>
      <c r="PVB241" s="210"/>
      <c r="PVC241" s="210"/>
      <c r="PVD241" s="210"/>
      <c r="PVE241" s="210"/>
      <c r="PVF241" s="210"/>
      <c r="PVG241" s="210"/>
      <c r="PVH241" s="210"/>
      <c r="PVI241" s="210"/>
      <c r="PVJ241" s="210"/>
      <c r="PVK241" s="210"/>
      <c r="PVL241" s="210"/>
      <c r="PVM241" s="210"/>
      <c r="PVN241" s="210"/>
      <c r="PVO241" s="210"/>
      <c r="PVP241" s="210"/>
      <c r="PVQ241" s="210"/>
      <c r="PVR241" s="210"/>
      <c r="PVS241" s="210"/>
      <c r="PVT241" s="210"/>
      <c r="PVU241" s="210"/>
      <c r="PVV241" s="210"/>
      <c r="PVW241" s="210"/>
      <c r="PVX241" s="210"/>
      <c r="PVY241" s="210"/>
      <c r="PVZ241" s="210"/>
      <c r="PWA241" s="210"/>
      <c r="PWB241" s="210"/>
      <c r="PWC241" s="210"/>
      <c r="PWD241" s="210"/>
      <c r="PWE241" s="210"/>
      <c r="PWF241" s="210"/>
      <c r="PWG241" s="210"/>
      <c r="PWH241" s="210"/>
      <c r="PWI241" s="210"/>
      <c r="PWJ241" s="210"/>
      <c r="PWK241" s="210"/>
      <c r="PWL241" s="210"/>
      <c r="PWM241" s="210"/>
      <c r="PWN241" s="210"/>
      <c r="PWO241" s="210"/>
      <c r="PWP241" s="210"/>
      <c r="PWQ241" s="210"/>
      <c r="PWR241" s="210"/>
      <c r="PWS241" s="210"/>
      <c r="PWT241" s="210"/>
      <c r="PWU241" s="210"/>
      <c r="PWV241" s="210"/>
      <c r="PWW241" s="210"/>
      <c r="PWX241" s="210"/>
      <c r="PWY241" s="210"/>
      <c r="PWZ241" s="210"/>
      <c r="PXA241" s="210"/>
      <c r="PXB241" s="210"/>
      <c r="PXC241" s="210"/>
      <c r="PXD241" s="210"/>
      <c r="PXE241" s="210"/>
      <c r="PXF241" s="210"/>
      <c r="PXG241" s="210"/>
      <c r="PXH241" s="210"/>
      <c r="PXI241" s="210"/>
      <c r="PXJ241" s="210"/>
      <c r="PXK241" s="210"/>
      <c r="PXL241" s="210"/>
      <c r="PXM241" s="210"/>
      <c r="PXN241" s="210"/>
      <c r="PXO241" s="210"/>
      <c r="PXP241" s="210"/>
      <c r="PXQ241" s="210"/>
      <c r="PXR241" s="210"/>
      <c r="PXS241" s="210"/>
      <c r="PXT241" s="210"/>
      <c r="PXU241" s="210"/>
      <c r="PXV241" s="210"/>
      <c r="PXW241" s="210"/>
      <c r="PXX241" s="210"/>
      <c r="PXY241" s="210"/>
      <c r="PXZ241" s="210"/>
      <c r="PYA241" s="210"/>
      <c r="PYB241" s="210"/>
      <c r="PYC241" s="210"/>
      <c r="PYD241" s="210"/>
      <c r="PYE241" s="210"/>
      <c r="PYF241" s="210"/>
      <c r="PYG241" s="210"/>
      <c r="PYH241" s="210"/>
      <c r="PYI241" s="210"/>
      <c r="PYJ241" s="210"/>
      <c r="PYK241" s="210"/>
      <c r="PYL241" s="210"/>
      <c r="PYM241" s="210"/>
      <c r="PYN241" s="210"/>
      <c r="PYO241" s="210"/>
      <c r="PYP241" s="210"/>
      <c r="PYQ241" s="210"/>
      <c r="PYR241" s="210"/>
      <c r="PYS241" s="210"/>
      <c r="PYT241" s="210"/>
      <c r="PYU241" s="210"/>
      <c r="PYV241" s="210"/>
      <c r="PYW241" s="210"/>
      <c r="PYX241" s="210"/>
      <c r="PYY241" s="210"/>
      <c r="PYZ241" s="210"/>
      <c r="PZA241" s="210"/>
      <c r="PZB241" s="210"/>
      <c r="PZC241" s="210"/>
      <c r="PZD241" s="210"/>
      <c r="PZE241" s="210"/>
      <c r="PZF241" s="210"/>
      <c r="PZG241" s="210"/>
      <c r="PZH241" s="210"/>
      <c r="PZI241" s="210"/>
      <c r="PZJ241" s="210"/>
      <c r="PZK241" s="210"/>
      <c r="PZL241" s="210"/>
      <c r="PZM241" s="210"/>
      <c r="PZN241" s="210"/>
      <c r="PZO241" s="210"/>
      <c r="PZP241" s="210"/>
      <c r="PZQ241" s="210"/>
      <c r="PZR241" s="210"/>
      <c r="PZS241" s="210"/>
      <c r="PZT241" s="210"/>
      <c r="PZU241" s="210"/>
      <c r="PZV241" s="210"/>
      <c r="PZW241" s="210"/>
      <c r="PZX241" s="210"/>
      <c r="PZY241" s="210"/>
      <c r="PZZ241" s="210"/>
      <c r="QAA241" s="210"/>
      <c r="QAB241" s="210"/>
      <c r="QAC241" s="210"/>
      <c r="QAD241" s="210"/>
      <c r="QAE241" s="210"/>
      <c r="QAF241" s="210"/>
      <c r="QAG241" s="210"/>
      <c r="QAH241" s="210"/>
      <c r="QAI241" s="210"/>
      <c r="QAJ241" s="210"/>
      <c r="QAK241" s="210"/>
      <c r="QAL241" s="210"/>
      <c r="QAM241" s="210"/>
      <c r="QAN241" s="210"/>
      <c r="QAO241" s="210"/>
      <c r="QAP241" s="210"/>
      <c r="QAQ241" s="210"/>
      <c r="QAR241" s="210"/>
      <c r="QAS241" s="210"/>
      <c r="QAT241" s="210"/>
      <c r="QAU241" s="210"/>
      <c r="QAV241" s="210"/>
      <c r="QAW241" s="210"/>
      <c r="QAX241" s="210"/>
      <c r="QAY241" s="210"/>
      <c r="QAZ241" s="210"/>
      <c r="QBA241" s="210"/>
      <c r="QBB241" s="210"/>
      <c r="QBC241" s="210"/>
      <c r="QBD241" s="210"/>
      <c r="QBE241" s="210"/>
      <c r="QBF241" s="210"/>
      <c r="QBG241" s="210"/>
      <c r="QBH241" s="210"/>
      <c r="QBI241" s="210"/>
      <c r="QBJ241" s="210"/>
      <c r="QBK241" s="210"/>
      <c r="QBL241" s="210"/>
      <c r="QBM241" s="210"/>
      <c r="QBN241" s="210"/>
      <c r="QBO241" s="210"/>
      <c r="QBP241" s="210"/>
      <c r="QBQ241" s="210"/>
      <c r="QBR241" s="210"/>
      <c r="QBS241" s="210"/>
      <c r="QBT241" s="210"/>
      <c r="QBU241" s="210"/>
      <c r="QBV241" s="210"/>
      <c r="QBW241" s="210"/>
      <c r="QBX241" s="210"/>
      <c r="QBY241" s="210"/>
      <c r="QBZ241" s="210"/>
      <c r="QCA241" s="210"/>
      <c r="QCB241" s="210"/>
      <c r="QCC241" s="210"/>
      <c r="QCD241" s="210"/>
      <c r="QCE241" s="210"/>
      <c r="QCF241" s="210"/>
      <c r="QCG241" s="210"/>
      <c r="QCH241" s="210"/>
      <c r="QCI241" s="210"/>
      <c r="QCJ241" s="210"/>
      <c r="QCK241" s="210"/>
      <c r="QCL241" s="210"/>
      <c r="QCM241" s="210"/>
      <c r="QCN241" s="210"/>
      <c r="QCO241" s="210"/>
      <c r="QCP241" s="210"/>
      <c r="QCQ241" s="210"/>
      <c r="QCR241" s="210"/>
      <c r="QCS241" s="210"/>
      <c r="QCT241" s="210"/>
      <c r="QCU241" s="210"/>
      <c r="QCV241" s="210"/>
      <c r="QCW241" s="210"/>
      <c r="QCX241" s="210"/>
      <c r="QCY241" s="210"/>
      <c r="QCZ241" s="210"/>
      <c r="QDA241" s="210"/>
      <c r="QDB241" s="210"/>
      <c r="QDC241" s="210"/>
      <c r="QDD241" s="210"/>
      <c r="QDE241" s="210"/>
      <c r="QDF241" s="210"/>
      <c r="QDG241" s="210"/>
      <c r="QDH241" s="210"/>
      <c r="QDI241" s="210"/>
      <c r="QDJ241" s="210"/>
      <c r="QDK241" s="210"/>
      <c r="QDL241" s="210"/>
      <c r="QDM241" s="210"/>
      <c r="QDN241" s="210"/>
      <c r="QDO241" s="210"/>
      <c r="QDP241" s="210"/>
      <c r="QDQ241" s="210"/>
      <c r="QDR241" s="210"/>
      <c r="QDS241" s="210"/>
      <c r="QDT241" s="210"/>
      <c r="QDU241" s="210"/>
      <c r="QDV241" s="210"/>
      <c r="QDW241" s="210"/>
      <c r="QDX241" s="210"/>
      <c r="QDY241" s="210"/>
      <c r="QDZ241" s="210"/>
      <c r="QEA241" s="210"/>
      <c r="QEB241" s="210"/>
      <c r="QEC241" s="210"/>
      <c r="QED241" s="210"/>
      <c r="QEE241" s="210"/>
      <c r="QEF241" s="210"/>
      <c r="QEG241" s="210"/>
      <c r="QEH241" s="210"/>
      <c r="QEI241" s="210"/>
      <c r="QEJ241" s="210"/>
      <c r="QEK241" s="210"/>
      <c r="QEL241" s="210"/>
      <c r="QEM241" s="210"/>
      <c r="QEN241" s="210"/>
      <c r="QEO241" s="210"/>
      <c r="QEP241" s="210"/>
      <c r="QEQ241" s="210"/>
      <c r="QER241" s="210"/>
      <c r="QES241" s="210"/>
      <c r="QET241" s="210"/>
      <c r="QEU241" s="210"/>
      <c r="QEV241" s="210"/>
      <c r="QEW241" s="210"/>
      <c r="QEX241" s="210"/>
      <c r="QEY241" s="210"/>
      <c r="QEZ241" s="210"/>
      <c r="QFA241" s="210"/>
      <c r="QFB241" s="210"/>
      <c r="QFC241" s="210"/>
      <c r="QFD241" s="210"/>
      <c r="QFE241" s="210"/>
      <c r="QFF241" s="210"/>
      <c r="QFG241" s="210"/>
      <c r="QFH241" s="210"/>
      <c r="QFI241" s="210"/>
      <c r="QFJ241" s="210"/>
      <c r="QFK241" s="210"/>
      <c r="QFL241" s="210"/>
      <c r="QFM241" s="210"/>
      <c r="QFN241" s="210"/>
      <c r="QFO241" s="210"/>
      <c r="QFP241" s="210"/>
      <c r="QFQ241" s="210"/>
      <c r="QFR241" s="210"/>
      <c r="QFS241" s="210"/>
      <c r="QFT241" s="210"/>
      <c r="QFU241" s="210"/>
      <c r="QFV241" s="210"/>
      <c r="QFW241" s="210"/>
      <c r="QFX241" s="210"/>
      <c r="QFY241" s="210"/>
      <c r="QFZ241" s="210"/>
      <c r="QGA241" s="210"/>
      <c r="QGB241" s="210"/>
      <c r="QGC241" s="210"/>
      <c r="QGD241" s="210"/>
      <c r="QGE241" s="210"/>
      <c r="QGF241" s="210"/>
      <c r="QGG241" s="210"/>
      <c r="QGH241" s="210"/>
      <c r="QGI241" s="210"/>
      <c r="QGJ241" s="210"/>
      <c r="QGK241" s="210"/>
      <c r="QGL241" s="210"/>
      <c r="QGM241" s="210"/>
      <c r="QGN241" s="210"/>
      <c r="QGO241" s="210"/>
      <c r="QGP241" s="210"/>
      <c r="QGQ241" s="210"/>
      <c r="QGR241" s="210"/>
      <c r="QGS241" s="210"/>
      <c r="QGT241" s="210"/>
      <c r="QGU241" s="210"/>
      <c r="QGV241" s="210"/>
      <c r="QGW241" s="210"/>
      <c r="QGX241" s="210"/>
      <c r="QGY241" s="210"/>
      <c r="QGZ241" s="210"/>
      <c r="QHA241" s="210"/>
      <c r="QHB241" s="210"/>
      <c r="QHC241" s="210"/>
      <c r="QHD241" s="210"/>
      <c r="QHE241" s="210"/>
      <c r="QHF241" s="210"/>
      <c r="QHG241" s="210"/>
      <c r="QHH241" s="210"/>
      <c r="QHI241" s="210"/>
      <c r="QHJ241" s="210"/>
      <c r="QHK241" s="210"/>
      <c r="QHL241" s="210"/>
      <c r="QHM241" s="210"/>
      <c r="QHN241" s="210"/>
      <c r="QHO241" s="210"/>
      <c r="QHP241" s="210"/>
      <c r="QHQ241" s="210"/>
      <c r="QHR241" s="210"/>
      <c r="QHS241" s="210"/>
      <c r="QHT241" s="210"/>
      <c r="QHU241" s="210"/>
      <c r="QHV241" s="210"/>
      <c r="QHW241" s="210"/>
      <c r="QHX241" s="210"/>
      <c r="QHY241" s="210"/>
      <c r="QHZ241" s="210"/>
      <c r="QIA241" s="210"/>
      <c r="QIB241" s="210"/>
      <c r="QIC241" s="210"/>
      <c r="QID241" s="210"/>
      <c r="QIE241" s="210"/>
      <c r="QIF241" s="210"/>
      <c r="QIG241" s="210"/>
      <c r="QIH241" s="210"/>
      <c r="QII241" s="210"/>
      <c r="QIJ241" s="210"/>
      <c r="QIK241" s="210"/>
      <c r="QIL241" s="210"/>
      <c r="QIM241" s="210"/>
      <c r="QIN241" s="210"/>
      <c r="QIO241" s="210"/>
      <c r="QIP241" s="210"/>
      <c r="QIQ241" s="210"/>
      <c r="QIR241" s="210"/>
      <c r="QIS241" s="210"/>
      <c r="QIT241" s="210"/>
      <c r="QIU241" s="210"/>
      <c r="QIV241" s="210"/>
      <c r="QIW241" s="210"/>
      <c r="QIX241" s="210"/>
      <c r="QIY241" s="210"/>
      <c r="QIZ241" s="210"/>
      <c r="QJA241" s="210"/>
      <c r="QJB241" s="210"/>
      <c r="QJC241" s="210"/>
      <c r="QJD241" s="210"/>
      <c r="QJE241" s="210"/>
      <c r="QJF241" s="210"/>
      <c r="QJG241" s="210"/>
      <c r="QJH241" s="210"/>
      <c r="QJI241" s="210"/>
      <c r="QJJ241" s="210"/>
      <c r="QJK241" s="210"/>
      <c r="QJL241" s="210"/>
      <c r="QJM241" s="210"/>
      <c r="QJN241" s="210"/>
      <c r="QJO241" s="210"/>
      <c r="QJP241" s="210"/>
      <c r="QJQ241" s="210"/>
      <c r="QJR241" s="210"/>
      <c r="QJS241" s="210"/>
      <c r="QJT241" s="210"/>
      <c r="QJU241" s="210"/>
      <c r="QJV241" s="210"/>
      <c r="QJW241" s="210"/>
      <c r="QJX241" s="210"/>
      <c r="QJY241" s="210"/>
      <c r="QJZ241" s="210"/>
      <c r="QKA241" s="210"/>
      <c r="QKB241" s="210"/>
      <c r="QKC241" s="210"/>
      <c r="QKD241" s="210"/>
      <c r="QKE241" s="210"/>
      <c r="QKF241" s="210"/>
      <c r="QKG241" s="210"/>
      <c r="QKH241" s="210"/>
      <c r="QKI241" s="210"/>
      <c r="QKJ241" s="210"/>
      <c r="QKK241" s="210"/>
      <c r="QKL241" s="210"/>
      <c r="QKM241" s="210"/>
      <c r="QKN241" s="210"/>
      <c r="QKO241" s="210"/>
      <c r="QKP241" s="210"/>
      <c r="QKQ241" s="210"/>
      <c r="QKR241" s="210"/>
      <c r="QKS241" s="210"/>
      <c r="QKT241" s="210"/>
      <c r="QKU241" s="210"/>
      <c r="QKV241" s="210"/>
      <c r="QKW241" s="210"/>
      <c r="QKX241" s="210"/>
      <c r="QKY241" s="210"/>
      <c r="QKZ241" s="210"/>
      <c r="QLA241" s="210"/>
      <c r="QLB241" s="210"/>
      <c r="QLC241" s="210"/>
      <c r="QLD241" s="210"/>
      <c r="QLE241" s="210"/>
      <c r="QLF241" s="210"/>
      <c r="QLG241" s="210"/>
      <c r="QLH241" s="210"/>
      <c r="QLI241" s="210"/>
      <c r="QLJ241" s="210"/>
      <c r="QLK241" s="210"/>
      <c r="QLL241" s="210"/>
      <c r="QLM241" s="210"/>
      <c r="QLN241" s="210"/>
      <c r="QLO241" s="210"/>
      <c r="QLP241" s="210"/>
      <c r="QLQ241" s="210"/>
      <c r="QLR241" s="210"/>
      <c r="QLS241" s="210"/>
      <c r="QLT241" s="210"/>
      <c r="QLU241" s="210"/>
      <c r="QLV241" s="210"/>
      <c r="QLW241" s="210"/>
      <c r="QLX241" s="210"/>
      <c r="QLY241" s="210"/>
      <c r="QLZ241" s="210"/>
      <c r="QMA241" s="210"/>
      <c r="QMB241" s="210"/>
      <c r="QMC241" s="210"/>
      <c r="QMD241" s="210"/>
      <c r="QME241" s="210"/>
      <c r="QMF241" s="210"/>
      <c r="QMG241" s="210"/>
      <c r="QMH241" s="210"/>
      <c r="QMI241" s="210"/>
      <c r="QMJ241" s="210"/>
      <c r="QMK241" s="210"/>
      <c r="QML241" s="210"/>
      <c r="QMM241" s="210"/>
      <c r="QMN241" s="210"/>
      <c r="QMO241" s="210"/>
      <c r="QMP241" s="210"/>
      <c r="QMQ241" s="210"/>
      <c r="QMR241" s="210"/>
      <c r="QMS241" s="210"/>
      <c r="QMT241" s="210"/>
      <c r="QMU241" s="210"/>
      <c r="QMV241" s="210"/>
      <c r="QMW241" s="210"/>
      <c r="QMX241" s="210"/>
      <c r="QMY241" s="210"/>
      <c r="QMZ241" s="210"/>
      <c r="QNA241" s="210"/>
      <c r="QNB241" s="210"/>
      <c r="QNC241" s="210"/>
      <c r="QND241" s="210"/>
      <c r="QNE241" s="210"/>
      <c r="QNF241" s="210"/>
      <c r="QNG241" s="210"/>
      <c r="QNH241" s="210"/>
      <c r="QNI241" s="210"/>
      <c r="QNJ241" s="210"/>
      <c r="QNK241" s="210"/>
      <c r="QNL241" s="210"/>
      <c r="QNM241" s="210"/>
      <c r="QNN241" s="210"/>
      <c r="QNO241" s="210"/>
      <c r="QNP241" s="210"/>
      <c r="QNQ241" s="210"/>
      <c r="QNR241" s="210"/>
      <c r="QNS241" s="210"/>
      <c r="QNT241" s="210"/>
      <c r="QNU241" s="210"/>
      <c r="QNV241" s="210"/>
      <c r="QNW241" s="210"/>
      <c r="QNX241" s="210"/>
      <c r="QNY241" s="210"/>
      <c r="QNZ241" s="210"/>
      <c r="QOA241" s="210"/>
      <c r="QOB241" s="210"/>
      <c r="QOC241" s="210"/>
      <c r="QOD241" s="210"/>
      <c r="QOE241" s="210"/>
      <c r="QOF241" s="210"/>
      <c r="QOG241" s="210"/>
      <c r="QOH241" s="210"/>
      <c r="QOI241" s="210"/>
      <c r="QOJ241" s="210"/>
      <c r="QOK241" s="210"/>
      <c r="QOL241" s="210"/>
      <c r="QOM241" s="210"/>
      <c r="QON241" s="210"/>
      <c r="QOO241" s="210"/>
      <c r="QOP241" s="210"/>
      <c r="QOQ241" s="210"/>
      <c r="QOR241" s="210"/>
      <c r="QOS241" s="210"/>
      <c r="QOT241" s="210"/>
      <c r="QOU241" s="210"/>
      <c r="QOV241" s="210"/>
      <c r="QOW241" s="210"/>
      <c r="QOX241" s="210"/>
      <c r="QOY241" s="210"/>
      <c r="QOZ241" s="210"/>
      <c r="QPA241" s="210"/>
      <c r="QPB241" s="210"/>
      <c r="QPC241" s="210"/>
      <c r="QPD241" s="210"/>
      <c r="QPE241" s="210"/>
      <c r="QPF241" s="210"/>
      <c r="QPG241" s="210"/>
      <c r="QPH241" s="210"/>
      <c r="QPI241" s="210"/>
      <c r="QPJ241" s="210"/>
      <c r="QPK241" s="210"/>
      <c r="QPL241" s="210"/>
      <c r="QPM241" s="210"/>
      <c r="QPN241" s="210"/>
      <c r="QPO241" s="210"/>
      <c r="QPP241" s="210"/>
      <c r="QPQ241" s="210"/>
      <c r="QPR241" s="210"/>
      <c r="QPS241" s="210"/>
      <c r="QPT241" s="210"/>
      <c r="QPU241" s="210"/>
      <c r="QPV241" s="210"/>
      <c r="QPW241" s="210"/>
      <c r="QPX241" s="210"/>
      <c r="QPY241" s="210"/>
      <c r="QPZ241" s="210"/>
      <c r="QQA241" s="210"/>
      <c r="QQB241" s="210"/>
      <c r="QQC241" s="210"/>
      <c r="QQD241" s="210"/>
      <c r="QQE241" s="210"/>
      <c r="QQF241" s="210"/>
      <c r="QQG241" s="210"/>
      <c r="QQH241" s="210"/>
      <c r="QQI241" s="210"/>
      <c r="QQJ241" s="210"/>
      <c r="QQK241" s="210"/>
      <c r="QQL241" s="210"/>
      <c r="QQM241" s="210"/>
      <c r="QQN241" s="210"/>
      <c r="QQO241" s="210"/>
      <c r="QQP241" s="210"/>
      <c r="QQQ241" s="210"/>
      <c r="QQR241" s="210"/>
      <c r="QQS241" s="210"/>
      <c r="QQT241" s="210"/>
      <c r="QQU241" s="210"/>
      <c r="QQV241" s="210"/>
      <c r="QQW241" s="210"/>
      <c r="QQX241" s="210"/>
      <c r="QQY241" s="210"/>
      <c r="QQZ241" s="210"/>
      <c r="QRA241" s="210"/>
      <c r="QRB241" s="210"/>
      <c r="QRC241" s="210"/>
      <c r="QRD241" s="210"/>
      <c r="QRE241" s="210"/>
      <c r="QRF241" s="210"/>
      <c r="QRG241" s="210"/>
      <c r="QRH241" s="210"/>
      <c r="QRI241" s="210"/>
      <c r="QRJ241" s="210"/>
      <c r="QRK241" s="210"/>
      <c r="QRL241" s="210"/>
      <c r="QRM241" s="210"/>
      <c r="QRN241" s="210"/>
      <c r="QRO241" s="210"/>
      <c r="QRP241" s="210"/>
      <c r="QRQ241" s="210"/>
      <c r="QRR241" s="210"/>
      <c r="QRS241" s="210"/>
      <c r="QRT241" s="210"/>
      <c r="QRU241" s="210"/>
      <c r="QRV241" s="210"/>
      <c r="QRW241" s="210"/>
      <c r="QRX241" s="210"/>
      <c r="QRY241" s="210"/>
      <c r="QRZ241" s="210"/>
      <c r="QSA241" s="210"/>
      <c r="QSB241" s="210"/>
      <c r="QSC241" s="210"/>
      <c r="QSD241" s="210"/>
      <c r="QSE241" s="210"/>
      <c r="QSF241" s="210"/>
      <c r="QSG241" s="210"/>
      <c r="QSH241" s="210"/>
      <c r="QSI241" s="210"/>
      <c r="QSJ241" s="210"/>
      <c r="QSK241" s="210"/>
      <c r="QSL241" s="210"/>
      <c r="QSM241" s="210"/>
      <c r="QSN241" s="210"/>
      <c r="QSO241" s="210"/>
      <c r="QSP241" s="210"/>
      <c r="QSQ241" s="210"/>
      <c r="QSR241" s="210"/>
      <c r="QSS241" s="210"/>
      <c r="QST241" s="210"/>
      <c r="QSU241" s="210"/>
      <c r="QSV241" s="210"/>
      <c r="QSW241" s="210"/>
      <c r="QSX241" s="210"/>
      <c r="QSY241" s="210"/>
      <c r="QSZ241" s="210"/>
      <c r="QTA241" s="210"/>
      <c r="QTB241" s="210"/>
      <c r="QTC241" s="210"/>
      <c r="QTD241" s="210"/>
      <c r="QTE241" s="210"/>
      <c r="QTF241" s="210"/>
      <c r="QTG241" s="210"/>
      <c r="QTH241" s="210"/>
      <c r="QTI241" s="210"/>
      <c r="QTJ241" s="210"/>
      <c r="QTK241" s="210"/>
      <c r="QTL241" s="210"/>
      <c r="QTM241" s="210"/>
      <c r="QTN241" s="210"/>
      <c r="QTO241" s="210"/>
      <c r="QTP241" s="210"/>
      <c r="QTQ241" s="210"/>
      <c r="QTR241" s="210"/>
      <c r="QTS241" s="210"/>
      <c r="QTT241" s="210"/>
      <c r="QTU241" s="210"/>
      <c r="QTV241" s="210"/>
      <c r="QTW241" s="210"/>
      <c r="QTX241" s="210"/>
      <c r="QTY241" s="210"/>
      <c r="QTZ241" s="210"/>
      <c r="QUA241" s="210"/>
      <c r="QUB241" s="210"/>
      <c r="QUC241" s="210"/>
      <c r="QUD241" s="210"/>
      <c r="QUE241" s="210"/>
      <c r="QUF241" s="210"/>
      <c r="QUG241" s="210"/>
      <c r="QUH241" s="210"/>
      <c r="QUI241" s="210"/>
      <c r="QUJ241" s="210"/>
      <c r="QUK241" s="210"/>
      <c r="QUL241" s="210"/>
      <c r="QUM241" s="210"/>
      <c r="QUN241" s="210"/>
      <c r="QUO241" s="210"/>
      <c r="QUP241" s="210"/>
      <c r="QUQ241" s="210"/>
      <c r="QUR241" s="210"/>
      <c r="QUS241" s="210"/>
      <c r="QUT241" s="210"/>
      <c r="QUU241" s="210"/>
      <c r="QUV241" s="210"/>
      <c r="QUW241" s="210"/>
      <c r="QUX241" s="210"/>
      <c r="QUY241" s="210"/>
      <c r="QUZ241" s="210"/>
      <c r="QVA241" s="210"/>
      <c r="QVB241" s="210"/>
      <c r="QVC241" s="210"/>
      <c r="QVD241" s="210"/>
      <c r="QVE241" s="210"/>
      <c r="QVF241" s="210"/>
      <c r="QVG241" s="210"/>
      <c r="QVH241" s="210"/>
      <c r="QVI241" s="210"/>
      <c r="QVJ241" s="210"/>
      <c r="QVK241" s="210"/>
      <c r="QVL241" s="210"/>
      <c r="QVM241" s="210"/>
      <c r="QVN241" s="210"/>
      <c r="QVO241" s="210"/>
      <c r="QVP241" s="210"/>
      <c r="QVQ241" s="210"/>
      <c r="QVR241" s="210"/>
      <c r="QVS241" s="210"/>
      <c r="QVT241" s="210"/>
      <c r="QVU241" s="210"/>
      <c r="QVV241" s="210"/>
      <c r="QVW241" s="210"/>
      <c r="QVX241" s="210"/>
      <c r="QVY241" s="210"/>
      <c r="QVZ241" s="210"/>
      <c r="QWA241" s="210"/>
      <c r="QWB241" s="210"/>
      <c r="QWC241" s="210"/>
      <c r="QWD241" s="210"/>
      <c r="QWE241" s="210"/>
      <c r="QWF241" s="210"/>
      <c r="QWG241" s="210"/>
      <c r="QWH241" s="210"/>
      <c r="QWI241" s="210"/>
      <c r="QWJ241" s="210"/>
      <c r="QWK241" s="210"/>
      <c r="QWL241" s="210"/>
      <c r="QWM241" s="210"/>
      <c r="QWN241" s="210"/>
      <c r="QWO241" s="210"/>
      <c r="QWP241" s="210"/>
      <c r="QWQ241" s="210"/>
      <c r="QWR241" s="210"/>
      <c r="QWS241" s="210"/>
      <c r="QWT241" s="210"/>
      <c r="QWU241" s="210"/>
      <c r="QWV241" s="210"/>
      <c r="QWW241" s="210"/>
      <c r="QWX241" s="210"/>
      <c r="QWY241" s="210"/>
      <c r="QWZ241" s="210"/>
      <c r="QXA241" s="210"/>
      <c r="QXB241" s="210"/>
      <c r="QXC241" s="210"/>
      <c r="QXD241" s="210"/>
      <c r="QXE241" s="210"/>
      <c r="QXF241" s="210"/>
      <c r="QXG241" s="210"/>
      <c r="QXH241" s="210"/>
      <c r="QXI241" s="210"/>
      <c r="QXJ241" s="210"/>
      <c r="QXK241" s="210"/>
      <c r="QXL241" s="210"/>
      <c r="QXM241" s="210"/>
      <c r="QXN241" s="210"/>
      <c r="QXO241" s="210"/>
      <c r="QXP241" s="210"/>
      <c r="QXQ241" s="210"/>
      <c r="QXR241" s="210"/>
      <c r="QXS241" s="210"/>
      <c r="QXT241" s="210"/>
      <c r="QXU241" s="210"/>
      <c r="QXV241" s="210"/>
      <c r="QXW241" s="210"/>
      <c r="QXX241" s="210"/>
      <c r="QXY241" s="210"/>
      <c r="QXZ241" s="210"/>
      <c r="QYA241" s="210"/>
      <c r="QYB241" s="210"/>
      <c r="QYC241" s="210"/>
      <c r="QYD241" s="210"/>
      <c r="QYE241" s="210"/>
      <c r="QYF241" s="210"/>
      <c r="QYG241" s="210"/>
      <c r="QYH241" s="210"/>
      <c r="QYI241" s="210"/>
      <c r="QYJ241" s="210"/>
      <c r="QYK241" s="210"/>
      <c r="QYL241" s="210"/>
      <c r="QYM241" s="210"/>
      <c r="QYN241" s="210"/>
      <c r="QYO241" s="210"/>
      <c r="QYP241" s="210"/>
      <c r="QYQ241" s="210"/>
      <c r="QYR241" s="210"/>
      <c r="QYS241" s="210"/>
      <c r="QYT241" s="210"/>
      <c r="QYU241" s="210"/>
      <c r="QYV241" s="210"/>
      <c r="QYW241" s="210"/>
      <c r="QYX241" s="210"/>
      <c r="QYY241" s="210"/>
      <c r="QYZ241" s="210"/>
      <c r="QZA241" s="210"/>
      <c r="QZB241" s="210"/>
      <c r="QZC241" s="210"/>
      <c r="QZD241" s="210"/>
      <c r="QZE241" s="210"/>
      <c r="QZF241" s="210"/>
      <c r="QZG241" s="210"/>
      <c r="QZH241" s="210"/>
      <c r="QZI241" s="210"/>
      <c r="QZJ241" s="210"/>
      <c r="QZK241" s="210"/>
      <c r="QZL241" s="210"/>
      <c r="QZM241" s="210"/>
      <c r="QZN241" s="210"/>
      <c r="QZO241" s="210"/>
      <c r="QZP241" s="210"/>
      <c r="QZQ241" s="210"/>
      <c r="QZR241" s="210"/>
      <c r="QZS241" s="210"/>
      <c r="QZT241" s="210"/>
      <c r="QZU241" s="210"/>
      <c r="QZV241" s="210"/>
      <c r="QZW241" s="210"/>
      <c r="QZX241" s="210"/>
      <c r="QZY241" s="210"/>
      <c r="QZZ241" s="210"/>
      <c r="RAA241" s="210"/>
      <c r="RAB241" s="210"/>
      <c r="RAC241" s="210"/>
      <c r="RAD241" s="210"/>
      <c r="RAE241" s="210"/>
      <c r="RAF241" s="210"/>
      <c r="RAG241" s="210"/>
      <c r="RAH241" s="210"/>
      <c r="RAI241" s="210"/>
      <c r="RAJ241" s="210"/>
      <c r="RAK241" s="210"/>
      <c r="RAL241" s="210"/>
      <c r="RAM241" s="210"/>
      <c r="RAN241" s="210"/>
      <c r="RAO241" s="210"/>
      <c r="RAP241" s="210"/>
      <c r="RAQ241" s="210"/>
      <c r="RAR241" s="210"/>
      <c r="RAS241" s="210"/>
      <c r="RAT241" s="210"/>
      <c r="RAU241" s="210"/>
      <c r="RAV241" s="210"/>
      <c r="RAW241" s="210"/>
      <c r="RAX241" s="210"/>
      <c r="RAY241" s="210"/>
      <c r="RAZ241" s="210"/>
      <c r="RBA241" s="210"/>
      <c r="RBB241" s="210"/>
      <c r="RBC241" s="210"/>
      <c r="RBD241" s="210"/>
      <c r="RBE241" s="210"/>
      <c r="RBF241" s="210"/>
      <c r="RBG241" s="210"/>
      <c r="RBH241" s="210"/>
      <c r="RBI241" s="210"/>
      <c r="RBJ241" s="210"/>
      <c r="RBK241" s="210"/>
      <c r="RBL241" s="210"/>
      <c r="RBM241" s="210"/>
      <c r="RBN241" s="210"/>
      <c r="RBO241" s="210"/>
      <c r="RBP241" s="210"/>
      <c r="RBQ241" s="210"/>
      <c r="RBR241" s="210"/>
      <c r="RBS241" s="210"/>
      <c r="RBT241" s="210"/>
      <c r="RBU241" s="210"/>
      <c r="RBV241" s="210"/>
      <c r="RBW241" s="210"/>
      <c r="RBX241" s="210"/>
      <c r="RBY241" s="210"/>
      <c r="RBZ241" s="210"/>
      <c r="RCA241" s="210"/>
      <c r="RCB241" s="210"/>
      <c r="RCC241" s="210"/>
      <c r="RCD241" s="210"/>
      <c r="RCE241" s="210"/>
      <c r="RCF241" s="210"/>
      <c r="RCG241" s="210"/>
      <c r="RCH241" s="210"/>
      <c r="RCI241" s="210"/>
      <c r="RCJ241" s="210"/>
      <c r="RCK241" s="210"/>
      <c r="RCL241" s="210"/>
      <c r="RCM241" s="210"/>
      <c r="RCN241" s="210"/>
      <c r="RCO241" s="210"/>
      <c r="RCP241" s="210"/>
      <c r="RCQ241" s="210"/>
      <c r="RCR241" s="210"/>
      <c r="RCS241" s="210"/>
      <c r="RCT241" s="210"/>
      <c r="RCU241" s="210"/>
      <c r="RCV241" s="210"/>
      <c r="RCW241" s="210"/>
      <c r="RCX241" s="210"/>
      <c r="RCY241" s="210"/>
      <c r="RCZ241" s="210"/>
      <c r="RDA241" s="210"/>
      <c r="RDB241" s="210"/>
      <c r="RDC241" s="210"/>
      <c r="RDD241" s="210"/>
      <c r="RDE241" s="210"/>
      <c r="RDF241" s="210"/>
      <c r="RDG241" s="210"/>
      <c r="RDH241" s="210"/>
      <c r="RDI241" s="210"/>
      <c r="RDJ241" s="210"/>
      <c r="RDK241" s="210"/>
      <c r="RDL241" s="210"/>
      <c r="RDM241" s="210"/>
      <c r="RDN241" s="210"/>
      <c r="RDO241" s="210"/>
      <c r="RDP241" s="210"/>
      <c r="RDQ241" s="210"/>
      <c r="RDR241" s="210"/>
      <c r="RDS241" s="210"/>
      <c r="RDT241" s="210"/>
      <c r="RDU241" s="210"/>
      <c r="RDV241" s="210"/>
      <c r="RDW241" s="210"/>
      <c r="RDX241" s="210"/>
      <c r="RDY241" s="210"/>
      <c r="RDZ241" s="210"/>
      <c r="REA241" s="210"/>
      <c r="REB241" s="210"/>
      <c r="REC241" s="210"/>
      <c r="RED241" s="210"/>
      <c r="REE241" s="210"/>
      <c r="REF241" s="210"/>
      <c r="REG241" s="210"/>
      <c r="REH241" s="210"/>
      <c r="REI241" s="210"/>
      <c r="REJ241" s="210"/>
      <c r="REK241" s="210"/>
      <c r="REL241" s="210"/>
      <c r="REM241" s="210"/>
      <c r="REN241" s="210"/>
      <c r="REO241" s="210"/>
      <c r="REP241" s="210"/>
      <c r="REQ241" s="210"/>
      <c r="RER241" s="210"/>
      <c r="RES241" s="210"/>
      <c r="RET241" s="210"/>
      <c r="REU241" s="210"/>
      <c r="REV241" s="210"/>
      <c r="REW241" s="210"/>
      <c r="REX241" s="210"/>
      <c r="REY241" s="210"/>
      <c r="REZ241" s="210"/>
      <c r="RFA241" s="210"/>
      <c r="RFB241" s="210"/>
      <c r="RFC241" s="210"/>
      <c r="RFD241" s="210"/>
      <c r="RFE241" s="210"/>
      <c r="RFF241" s="210"/>
      <c r="RFG241" s="210"/>
      <c r="RFH241" s="210"/>
      <c r="RFI241" s="210"/>
      <c r="RFJ241" s="210"/>
      <c r="RFK241" s="210"/>
      <c r="RFL241" s="210"/>
      <c r="RFM241" s="210"/>
      <c r="RFN241" s="210"/>
      <c r="RFO241" s="210"/>
      <c r="RFP241" s="210"/>
      <c r="RFQ241" s="210"/>
      <c r="RFR241" s="210"/>
      <c r="RFS241" s="210"/>
      <c r="RFT241" s="210"/>
      <c r="RFU241" s="210"/>
      <c r="RFV241" s="210"/>
      <c r="RFW241" s="210"/>
      <c r="RFX241" s="210"/>
      <c r="RFY241" s="210"/>
      <c r="RFZ241" s="210"/>
      <c r="RGA241" s="210"/>
      <c r="RGB241" s="210"/>
      <c r="RGC241" s="210"/>
      <c r="RGD241" s="210"/>
      <c r="RGE241" s="210"/>
      <c r="RGF241" s="210"/>
      <c r="RGG241" s="210"/>
      <c r="RGH241" s="210"/>
      <c r="RGI241" s="210"/>
      <c r="RGJ241" s="210"/>
      <c r="RGK241" s="210"/>
      <c r="RGL241" s="210"/>
      <c r="RGM241" s="210"/>
      <c r="RGN241" s="210"/>
      <c r="RGO241" s="210"/>
      <c r="RGP241" s="210"/>
      <c r="RGQ241" s="210"/>
      <c r="RGR241" s="210"/>
      <c r="RGS241" s="210"/>
      <c r="RGT241" s="210"/>
      <c r="RGU241" s="210"/>
      <c r="RGV241" s="210"/>
      <c r="RGW241" s="210"/>
      <c r="RGX241" s="210"/>
      <c r="RGY241" s="210"/>
      <c r="RGZ241" s="210"/>
      <c r="RHA241" s="210"/>
      <c r="RHB241" s="210"/>
      <c r="RHC241" s="210"/>
      <c r="RHD241" s="210"/>
      <c r="RHE241" s="210"/>
      <c r="RHF241" s="210"/>
      <c r="RHG241" s="210"/>
      <c r="RHH241" s="210"/>
      <c r="RHI241" s="210"/>
      <c r="RHJ241" s="210"/>
      <c r="RHK241" s="210"/>
      <c r="RHL241" s="210"/>
      <c r="RHM241" s="210"/>
      <c r="RHN241" s="210"/>
      <c r="RHO241" s="210"/>
      <c r="RHP241" s="210"/>
      <c r="RHQ241" s="210"/>
      <c r="RHR241" s="210"/>
      <c r="RHS241" s="210"/>
      <c r="RHT241" s="210"/>
      <c r="RHU241" s="210"/>
      <c r="RHV241" s="210"/>
      <c r="RHW241" s="210"/>
      <c r="RHX241" s="210"/>
      <c r="RHY241" s="210"/>
      <c r="RHZ241" s="210"/>
      <c r="RIA241" s="210"/>
      <c r="RIB241" s="210"/>
      <c r="RIC241" s="210"/>
      <c r="RID241" s="210"/>
      <c r="RIE241" s="210"/>
      <c r="RIF241" s="210"/>
      <c r="RIG241" s="210"/>
      <c r="RIH241" s="210"/>
      <c r="RII241" s="210"/>
      <c r="RIJ241" s="210"/>
      <c r="RIK241" s="210"/>
      <c r="RIL241" s="210"/>
      <c r="RIM241" s="210"/>
      <c r="RIN241" s="210"/>
      <c r="RIO241" s="210"/>
      <c r="RIP241" s="210"/>
      <c r="RIQ241" s="210"/>
      <c r="RIR241" s="210"/>
      <c r="RIS241" s="210"/>
      <c r="RIT241" s="210"/>
      <c r="RIU241" s="210"/>
      <c r="RIV241" s="210"/>
      <c r="RIW241" s="210"/>
      <c r="RIX241" s="210"/>
      <c r="RIY241" s="210"/>
      <c r="RIZ241" s="210"/>
      <c r="RJA241" s="210"/>
      <c r="RJB241" s="210"/>
      <c r="RJC241" s="210"/>
      <c r="RJD241" s="210"/>
      <c r="RJE241" s="210"/>
      <c r="RJF241" s="210"/>
      <c r="RJG241" s="210"/>
      <c r="RJH241" s="210"/>
      <c r="RJI241" s="210"/>
      <c r="RJJ241" s="210"/>
      <c r="RJK241" s="210"/>
      <c r="RJL241" s="210"/>
      <c r="RJM241" s="210"/>
      <c r="RJN241" s="210"/>
      <c r="RJO241" s="210"/>
      <c r="RJP241" s="210"/>
      <c r="RJQ241" s="210"/>
      <c r="RJR241" s="210"/>
      <c r="RJS241" s="210"/>
      <c r="RJT241" s="210"/>
      <c r="RJU241" s="210"/>
      <c r="RJV241" s="210"/>
      <c r="RJW241" s="210"/>
      <c r="RJX241" s="210"/>
      <c r="RJY241" s="210"/>
      <c r="RJZ241" s="210"/>
      <c r="RKA241" s="210"/>
      <c r="RKB241" s="210"/>
      <c r="RKC241" s="210"/>
      <c r="RKD241" s="210"/>
      <c r="RKE241" s="210"/>
      <c r="RKF241" s="210"/>
      <c r="RKG241" s="210"/>
      <c r="RKH241" s="210"/>
      <c r="RKI241" s="210"/>
      <c r="RKJ241" s="210"/>
      <c r="RKK241" s="210"/>
      <c r="RKL241" s="210"/>
      <c r="RKM241" s="210"/>
      <c r="RKN241" s="210"/>
      <c r="RKO241" s="210"/>
      <c r="RKP241" s="210"/>
      <c r="RKQ241" s="210"/>
      <c r="RKR241" s="210"/>
      <c r="RKS241" s="210"/>
      <c r="RKT241" s="210"/>
      <c r="RKU241" s="210"/>
      <c r="RKV241" s="210"/>
      <c r="RKW241" s="210"/>
      <c r="RKX241" s="210"/>
      <c r="RKY241" s="210"/>
      <c r="RKZ241" s="210"/>
      <c r="RLA241" s="210"/>
      <c r="RLB241" s="210"/>
      <c r="RLC241" s="210"/>
      <c r="RLD241" s="210"/>
      <c r="RLE241" s="210"/>
      <c r="RLF241" s="210"/>
      <c r="RLG241" s="210"/>
      <c r="RLH241" s="210"/>
      <c r="RLI241" s="210"/>
      <c r="RLJ241" s="210"/>
      <c r="RLK241" s="210"/>
      <c r="RLL241" s="210"/>
      <c r="RLM241" s="210"/>
      <c r="RLN241" s="210"/>
      <c r="RLO241" s="210"/>
      <c r="RLP241" s="210"/>
      <c r="RLQ241" s="210"/>
      <c r="RLR241" s="210"/>
      <c r="RLS241" s="210"/>
      <c r="RLT241" s="210"/>
      <c r="RLU241" s="210"/>
      <c r="RLV241" s="210"/>
      <c r="RLW241" s="210"/>
      <c r="RLX241" s="210"/>
      <c r="RLY241" s="210"/>
      <c r="RLZ241" s="210"/>
      <c r="RMA241" s="210"/>
      <c r="RMB241" s="210"/>
      <c r="RMC241" s="210"/>
      <c r="RMD241" s="210"/>
      <c r="RME241" s="210"/>
      <c r="RMF241" s="210"/>
      <c r="RMG241" s="210"/>
      <c r="RMH241" s="210"/>
      <c r="RMI241" s="210"/>
      <c r="RMJ241" s="210"/>
      <c r="RMK241" s="210"/>
      <c r="RML241" s="210"/>
      <c r="RMM241" s="210"/>
      <c r="RMN241" s="210"/>
      <c r="RMO241" s="210"/>
      <c r="RMP241" s="210"/>
      <c r="RMQ241" s="210"/>
      <c r="RMR241" s="210"/>
      <c r="RMS241" s="210"/>
      <c r="RMT241" s="210"/>
      <c r="RMU241" s="210"/>
      <c r="RMV241" s="210"/>
      <c r="RMW241" s="210"/>
      <c r="RMX241" s="210"/>
      <c r="RMY241" s="210"/>
      <c r="RMZ241" s="210"/>
      <c r="RNA241" s="210"/>
      <c r="RNB241" s="210"/>
      <c r="RNC241" s="210"/>
      <c r="RND241" s="210"/>
      <c r="RNE241" s="210"/>
      <c r="RNF241" s="210"/>
      <c r="RNG241" s="210"/>
      <c r="RNH241" s="210"/>
      <c r="RNI241" s="210"/>
      <c r="RNJ241" s="210"/>
      <c r="RNK241" s="210"/>
      <c r="RNL241" s="210"/>
      <c r="RNM241" s="210"/>
      <c r="RNN241" s="210"/>
      <c r="RNO241" s="210"/>
      <c r="RNP241" s="210"/>
      <c r="RNQ241" s="210"/>
      <c r="RNR241" s="210"/>
      <c r="RNS241" s="210"/>
      <c r="RNT241" s="210"/>
      <c r="RNU241" s="210"/>
      <c r="RNV241" s="210"/>
      <c r="RNW241" s="210"/>
      <c r="RNX241" s="210"/>
      <c r="RNY241" s="210"/>
      <c r="RNZ241" s="210"/>
      <c r="ROA241" s="210"/>
      <c r="ROB241" s="210"/>
      <c r="ROC241" s="210"/>
      <c r="ROD241" s="210"/>
      <c r="ROE241" s="210"/>
      <c r="ROF241" s="210"/>
      <c r="ROG241" s="210"/>
      <c r="ROH241" s="210"/>
      <c r="ROI241" s="210"/>
      <c r="ROJ241" s="210"/>
      <c r="ROK241" s="210"/>
      <c r="ROL241" s="210"/>
      <c r="ROM241" s="210"/>
      <c r="RON241" s="210"/>
      <c r="ROO241" s="210"/>
      <c r="ROP241" s="210"/>
      <c r="ROQ241" s="210"/>
      <c r="ROR241" s="210"/>
      <c r="ROS241" s="210"/>
      <c r="ROT241" s="210"/>
      <c r="ROU241" s="210"/>
      <c r="ROV241" s="210"/>
      <c r="ROW241" s="210"/>
      <c r="ROX241" s="210"/>
      <c r="ROY241" s="210"/>
      <c r="ROZ241" s="210"/>
      <c r="RPA241" s="210"/>
      <c r="RPB241" s="210"/>
      <c r="RPC241" s="210"/>
      <c r="RPD241" s="210"/>
      <c r="RPE241" s="210"/>
      <c r="RPF241" s="210"/>
      <c r="RPG241" s="210"/>
      <c r="RPH241" s="210"/>
      <c r="RPI241" s="210"/>
      <c r="RPJ241" s="210"/>
      <c r="RPK241" s="210"/>
      <c r="RPL241" s="210"/>
      <c r="RPM241" s="210"/>
      <c r="RPN241" s="210"/>
      <c r="RPO241" s="210"/>
      <c r="RPP241" s="210"/>
      <c r="RPQ241" s="210"/>
      <c r="RPR241" s="210"/>
      <c r="RPS241" s="210"/>
      <c r="RPT241" s="210"/>
      <c r="RPU241" s="210"/>
      <c r="RPV241" s="210"/>
      <c r="RPW241" s="210"/>
      <c r="RPX241" s="210"/>
      <c r="RPY241" s="210"/>
      <c r="RPZ241" s="210"/>
      <c r="RQA241" s="210"/>
      <c r="RQB241" s="210"/>
      <c r="RQC241" s="210"/>
      <c r="RQD241" s="210"/>
      <c r="RQE241" s="210"/>
      <c r="RQF241" s="210"/>
      <c r="RQG241" s="210"/>
      <c r="RQH241" s="210"/>
      <c r="RQI241" s="210"/>
      <c r="RQJ241" s="210"/>
      <c r="RQK241" s="210"/>
      <c r="RQL241" s="210"/>
      <c r="RQM241" s="210"/>
      <c r="RQN241" s="210"/>
      <c r="RQO241" s="210"/>
      <c r="RQP241" s="210"/>
      <c r="RQQ241" s="210"/>
      <c r="RQR241" s="210"/>
      <c r="RQS241" s="210"/>
      <c r="RQT241" s="210"/>
      <c r="RQU241" s="210"/>
      <c r="RQV241" s="210"/>
      <c r="RQW241" s="210"/>
      <c r="RQX241" s="210"/>
      <c r="RQY241" s="210"/>
      <c r="RQZ241" s="210"/>
      <c r="RRA241" s="210"/>
      <c r="RRB241" s="210"/>
      <c r="RRC241" s="210"/>
      <c r="RRD241" s="210"/>
      <c r="RRE241" s="210"/>
      <c r="RRF241" s="210"/>
      <c r="RRG241" s="210"/>
      <c r="RRH241" s="210"/>
      <c r="RRI241" s="210"/>
      <c r="RRJ241" s="210"/>
      <c r="RRK241" s="210"/>
      <c r="RRL241" s="210"/>
      <c r="RRM241" s="210"/>
      <c r="RRN241" s="210"/>
      <c r="RRO241" s="210"/>
      <c r="RRP241" s="210"/>
      <c r="RRQ241" s="210"/>
      <c r="RRR241" s="210"/>
      <c r="RRS241" s="210"/>
      <c r="RRT241" s="210"/>
      <c r="RRU241" s="210"/>
      <c r="RRV241" s="210"/>
      <c r="RRW241" s="210"/>
      <c r="RRX241" s="210"/>
      <c r="RRY241" s="210"/>
      <c r="RRZ241" s="210"/>
      <c r="RSA241" s="210"/>
      <c r="RSB241" s="210"/>
      <c r="RSC241" s="210"/>
      <c r="RSD241" s="210"/>
      <c r="RSE241" s="210"/>
      <c r="RSF241" s="210"/>
      <c r="RSG241" s="210"/>
      <c r="RSH241" s="210"/>
      <c r="RSI241" s="210"/>
      <c r="RSJ241" s="210"/>
      <c r="RSK241" s="210"/>
      <c r="RSL241" s="210"/>
      <c r="RSM241" s="210"/>
      <c r="RSN241" s="210"/>
      <c r="RSO241" s="210"/>
      <c r="RSP241" s="210"/>
      <c r="RSQ241" s="210"/>
      <c r="RSR241" s="210"/>
      <c r="RSS241" s="210"/>
      <c r="RST241" s="210"/>
      <c r="RSU241" s="210"/>
      <c r="RSV241" s="210"/>
      <c r="RSW241" s="210"/>
      <c r="RSX241" s="210"/>
      <c r="RSY241" s="210"/>
      <c r="RSZ241" s="210"/>
      <c r="RTA241" s="210"/>
      <c r="RTB241" s="210"/>
      <c r="RTC241" s="210"/>
      <c r="RTD241" s="210"/>
      <c r="RTE241" s="210"/>
      <c r="RTF241" s="210"/>
      <c r="RTG241" s="210"/>
      <c r="RTH241" s="210"/>
      <c r="RTI241" s="210"/>
      <c r="RTJ241" s="210"/>
      <c r="RTK241" s="210"/>
      <c r="RTL241" s="210"/>
      <c r="RTM241" s="210"/>
      <c r="RTN241" s="210"/>
      <c r="RTO241" s="210"/>
      <c r="RTP241" s="210"/>
      <c r="RTQ241" s="210"/>
      <c r="RTR241" s="210"/>
      <c r="RTS241" s="210"/>
      <c r="RTT241" s="210"/>
      <c r="RTU241" s="210"/>
      <c r="RTV241" s="210"/>
      <c r="RTW241" s="210"/>
      <c r="RTX241" s="210"/>
      <c r="RTY241" s="210"/>
      <c r="RTZ241" s="210"/>
      <c r="RUA241" s="210"/>
      <c r="RUB241" s="210"/>
      <c r="RUC241" s="210"/>
      <c r="RUD241" s="210"/>
      <c r="RUE241" s="210"/>
      <c r="RUF241" s="210"/>
      <c r="RUG241" s="210"/>
      <c r="RUH241" s="210"/>
      <c r="RUI241" s="210"/>
      <c r="RUJ241" s="210"/>
      <c r="RUK241" s="210"/>
      <c r="RUL241" s="210"/>
      <c r="RUM241" s="210"/>
      <c r="RUN241" s="210"/>
      <c r="RUO241" s="210"/>
      <c r="RUP241" s="210"/>
      <c r="RUQ241" s="210"/>
      <c r="RUR241" s="210"/>
      <c r="RUS241" s="210"/>
      <c r="RUT241" s="210"/>
      <c r="RUU241" s="210"/>
      <c r="RUV241" s="210"/>
      <c r="RUW241" s="210"/>
      <c r="RUX241" s="210"/>
      <c r="RUY241" s="210"/>
      <c r="RUZ241" s="210"/>
      <c r="RVA241" s="210"/>
      <c r="RVB241" s="210"/>
      <c r="RVC241" s="210"/>
      <c r="RVD241" s="210"/>
      <c r="RVE241" s="210"/>
      <c r="RVF241" s="210"/>
      <c r="RVG241" s="210"/>
      <c r="RVH241" s="210"/>
      <c r="RVI241" s="210"/>
      <c r="RVJ241" s="210"/>
      <c r="RVK241" s="210"/>
      <c r="RVL241" s="210"/>
      <c r="RVM241" s="210"/>
      <c r="RVN241" s="210"/>
      <c r="RVO241" s="210"/>
      <c r="RVP241" s="210"/>
      <c r="RVQ241" s="210"/>
      <c r="RVR241" s="210"/>
      <c r="RVS241" s="210"/>
      <c r="RVT241" s="210"/>
      <c r="RVU241" s="210"/>
      <c r="RVV241" s="210"/>
      <c r="RVW241" s="210"/>
      <c r="RVX241" s="210"/>
      <c r="RVY241" s="210"/>
      <c r="RVZ241" s="210"/>
      <c r="RWA241" s="210"/>
      <c r="RWB241" s="210"/>
      <c r="RWC241" s="210"/>
      <c r="RWD241" s="210"/>
      <c r="RWE241" s="210"/>
      <c r="RWF241" s="210"/>
      <c r="RWG241" s="210"/>
      <c r="RWH241" s="210"/>
      <c r="RWI241" s="210"/>
      <c r="RWJ241" s="210"/>
      <c r="RWK241" s="210"/>
      <c r="RWL241" s="210"/>
      <c r="RWM241" s="210"/>
      <c r="RWN241" s="210"/>
      <c r="RWO241" s="210"/>
      <c r="RWP241" s="210"/>
      <c r="RWQ241" s="210"/>
      <c r="RWR241" s="210"/>
      <c r="RWS241" s="210"/>
      <c r="RWT241" s="210"/>
      <c r="RWU241" s="210"/>
      <c r="RWV241" s="210"/>
      <c r="RWW241" s="210"/>
      <c r="RWX241" s="210"/>
      <c r="RWY241" s="210"/>
      <c r="RWZ241" s="210"/>
      <c r="RXA241" s="210"/>
      <c r="RXB241" s="210"/>
      <c r="RXC241" s="210"/>
      <c r="RXD241" s="210"/>
      <c r="RXE241" s="210"/>
      <c r="RXF241" s="210"/>
      <c r="RXG241" s="210"/>
      <c r="RXH241" s="210"/>
      <c r="RXI241" s="210"/>
      <c r="RXJ241" s="210"/>
      <c r="RXK241" s="210"/>
      <c r="RXL241" s="210"/>
      <c r="RXM241" s="210"/>
      <c r="RXN241" s="210"/>
      <c r="RXO241" s="210"/>
      <c r="RXP241" s="210"/>
      <c r="RXQ241" s="210"/>
      <c r="RXR241" s="210"/>
      <c r="RXS241" s="210"/>
      <c r="RXT241" s="210"/>
      <c r="RXU241" s="210"/>
      <c r="RXV241" s="210"/>
      <c r="RXW241" s="210"/>
      <c r="RXX241" s="210"/>
      <c r="RXY241" s="210"/>
      <c r="RXZ241" s="210"/>
      <c r="RYA241" s="210"/>
      <c r="RYB241" s="210"/>
      <c r="RYC241" s="210"/>
      <c r="RYD241" s="210"/>
      <c r="RYE241" s="210"/>
      <c r="RYF241" s="210"/>
      <c r="RYG241" s="210"/>
      <c r="RYH241" s="210"/>
      <c r="RYI241" s="210"/>
      <c r="RYJ241" s="210"/>
      <c r="RYK241" s="210"/>
      <c r="RYL241" s="210"/>
      <c r="RYM241" s="210"/>
      <c r="RYN241" s="210"/>
      <c r="RYO241" s="210"/>
      <c r="RYP241" s="210"/>
      <c r="RYQ241" s="210"/>
      <c r="RYR241" s="210"/>
      <c r="RYS241" s="210"/>
      <c r="RYT241" s="210"/>
      <c r="RYU241" s="210"/>
      <c r="RYV241" s="210"/>
      <c r="RYW241" s="210"/>
      <c r="RYX241" s="210"/>
      <c r="RYY241" s="210"/>
      <c r="RYZ241" s="210"/>
      <c r="RZA241" s="210"/>
      <c r="RZB241" s="210"/>
      <c r="RZC241" s="210"/>
      <c r="RZD241" s="210"/>
      <c r="RZE241" s="210"/>
      <c r="RZF241" s="210"/>
      <c r="RZG241" s="210"/>
      <c r="RZH241" s="210"/>
      <c r="RZI241" s="210"/>
      <c r="RZJ241" s="210"/>
      <c r="RZK241" s="210"/>
      <c r="RZL241" s="210"/>
      <c r="RZM241" s="210"/>
      <c r="RZN241" s="210"/>
      <c r="RZO241" s="210"/>
      <c r="RZP241" s="210"/>
      <c r="RZQ241" s="210"/>
      <c r="RZR241" s="210"/>
      <c r="RZS241" s="210"/>
      <c r="RZT241" s="210"/>
      <c r="RZU241" s="210"/>
      <c r="RZV241" s="210"/>
      <c r="RZW241" s="210"/>
      <c r="RZX241" s="210"/>
      <c r="RZY241" s="210"/>
      <c r="RZZ241" s="210"/>
      <c r="SAA241" s="210"/>
      <c r="SAB241" s="210"/>
      <c r="SAC241" s="210"/>
      <c r="SAD241" s="210"/>
      <c r="SAE241" s="210"/>
      <c r="SAF241" s="210"/>
      <c r="SAG241" s="210"/>
      <c r="SAH241" s="210"/>
      <c r="SAI241" s="210"/>
      <c r="SAJ241" s="210"/>
      <c r="SAK241" s="210"/>
      <c r="SAL241" s="210"/>
      <c r="SAM241" s="210"/>
      <c r="SAN241" s="210"/>
      <c r="SAO241" s="210"/>
      <c r="SAP241" s="210"/>
      <c r="SAQ241" s="210"/>
      <c r="SAR241" s="210"/>
      <c r="SAS241" s="210"/>
      <c r="SAT241" s="210"/>
      <c r="SAU241" s="210"/>
      <c r="SAV241" s="210"/>
      <c r="SAW241" s="210"/>
      <c r="SAX241" s="210"/>
      <c r="SAY241" s="210"/>
      <c r="SAZ241" s="210"/>
      <c r="SBA241" s="210"/>
      <c r="SBB241" s="210"/>
      <c r="SBC241" s="210"/>
      <c r="SBD241" s="210"/>
      <c r="SBE241" s="210"/>
      <c r="SBF241" s="210"/>
      <c r="SBG241" s="210"/>
      <c r="SBH241" s="210"/>
      <c r="SBI241" s="210"/>
      <c r="SBJ241" s="210"/>
      <c r="SBK241" s="210"/>
      <c r="SBL241" s="210"/>
      <c r="SBM241" s="210"/>
      <c r="SBN241" s="210"/>
      <c r="SBO241" s="210"/>
      <c r="SBP241" s="210"/>
      <c r="SBQ241" s="210"/>
      <c r="SBR241" s="210"/>
      <c r="SBS241" s="210"/>
      <c r="SBT241" s="210"/>
      <c r="SBU241" s="210"/>
      <c r="SBV241" s="210"/>
      <c r="SBW241" s="210"/>
      <c r="SBX241" s="210"/>
      <c r="SBY241" s="210"/>
      <c r="SBZ241" s="210"/>
      <c r="SCA241" s="210"/>
      <c r="SCB241" s="210"/>
      <c r="SCC241" s="210"/>
      <c r="SCD241" s="210"/>
      <c r="SCE241" s="210"/>
      <c r="SCF241" s="210"/>
      <c r="SCG241" s="210"/>
      <c r="SCH241" s="210"/>
      <c r="SCI241" s="210"/>
      <c r="SCJ241" s="210"/>
      <c r="SCK241" s="210"/>
      <c r="SCL241" s="210"/>
      <c r="SCM241" s="210"/>
      <c r="SCN241" s="210"/>
      <c r="SCO241" s="210"/>
      <c r="SCP241" s="210"/>
      <c r="SCQ241" s="210"/>
      <c r="SCR241" s="210"/>
      <c r="SCS241" s="210"/>
      <c r="SCT241" s="210"/>
      <c r="SCU241" s="210"/>
      <c r="SCV241" s="210"/>
      <c r="SCW241" s="210"/>
      <c r="SCX241" s="210"/>
      <c r="SCY241" s="210"/>
      <c r="SCZ241" s="210"/>
      <c r="SDA241" s="210"/>
      <c r="SDB241" s="210"/>
      <c r="SDC241" s="210"/>
      <c r="SDD241" s="210"/>
      <c r="SDE241" s="210"/>
      <c r="SDF241" s="210"/>
      <c r="SDG241" s="210"/>
      <c r="SDH241" s="210"/>
      <c r="SDI241" s="210"/>
      <c r="SDJ241" s="210"/>
      <c r="SDK241" s="210"/>
      <c r="SDL241" s="210"/>
      <c r="SDM241" s="210"/>
      <c r="SDN241" s="210"/>
      <c r="SDO241" s="210"/>
      <c r="SDP241" s="210"/>
      <c r="SDQ241" s="210"/>
      <c r="SDR241" s="210"/>
      <c r="SDS241" s="210"/>
      <c r="SDT241" s="210"/>
      <c r="SDU241" s="210"/>
      <c r="SDV241" s="210"/>
      <c r="SDW241" s="210"/>
      <c r="SDX241" s="210"/>
      <c r="SDY241" s="210"/>
      <c r="SDZ241" s="210"/>
      <c r="SEA241" s="210"/>
      <c r="SEB241" s="210"/>
      <c r="SEC241" s="210"/>
      <c r="SED241" s="210"/>
      <c r="SEE241" s="210"/>
      <c r="SEF241" s="210"/>
      <c r="SEG241" s="210"/>
      <c r="SEH241" s="210"/>
      <c r="SEI241" s="210"/>
      <c r="SEJ241" s="210"/>
      <c r="SEK241" s="210"/>
      <c r="SEL241" s="210"/>
      <c r="SEM241" s="210"/>
      <c r="SEN241" s="210"/>
      <c r="SEO241" s="210"/>
      <c r="SEP241" s="210"/>
      <c r="SEQ241" s="210"/>
      <c r="SER241" s="210"/>
      <c r="SES241" s="210"/>
      <c r="SET241" s="210"/>
      <c r="SEU241" s="210"/>
      <c r="SEV241" s="210"/>
      <c r="SEW241" s="210"/>
      <c r="SEX241" s="210"/>
      <c r="SEY241" s="210"/>
      <c r="SEZ241" s="210"/>
      <c r="SFA241" s="210"/>
      <c r="SFB241" s="210"/>
      <c r="SFC241" s="210"/>
      <c r="SFD241" s="210"/>
      <c r="SFE241" s="210"/>
      <c r="SFF241" s="210"/>
      <c r="SFG241" s="210"/>
      <c r="SFH241" s="210"/>
      <c r="SFI241" s="210"/>
      <c r="SFJ241" s="210"/>
      <c r="SFK241" s="210"/>
      <c r="SFL241" s="210"/>
      <c r="SFM241" s="210"/>
      <c r="SFN241" s="210"/>
      <c r="SFO241" s="210"/>
      <c r="SFP241" s="210"/>
      <c r="SFQ241" s="210"/>
      <c r="SFR241" s="210"/>
      <c r="SFS241" s="210"/>
      <c r="SFT241" s="210"/>
      <c r="SFU241" s="210"/>
      <c r="SFV241" s="210"/>
      <c r="SFW241" s="210"/>
      <c r="SFX241" s="210"/>
      <c r="SFY241" s="210"/>
      <c r="SFZ241" s="210"/>
      <c r="SGA241" s="210"/>
      <c r="SGB241" s="210"/>
      <c r="SGC241" s="210"/>
      <c r="SGD241" s="210"/>
      <c r="SGE241" s="210"/>
      <c r="SGF241" s="210"/>
      <c r="SGG241" s="210"/>
      <c r="SGH241" s="210"/>
      <c r="SGI241" s="210"/>
      <c r="SGJ241" s="210"/>
      <c r="SGK241" s="210"/>
      <c r="SGL241" s="210"/>
      <c r="SGM241" s="210"/>
      <c r="SGN241" s="210"/>
      <c r="SGO241" s="210"/>
      <c r="SGP241" s="210"/>
      <c r="SGQ241" s="210"/>
      <c r="SGR241" s="210"/>
      <c r="SGS241" s="210"/>
      <c r="SGT241" s="210"/>
      <c r="SGU241" s="210"/>
      <c r="SGV241" s="210"/>
      <c r="SGW241" s="210"/>
      <c r="SGX241" s="210"/>
      <c r="SGY241" s="210"/>
      <c r="SGZ241" s="210"/>
      <c r="SHA241" s="210"/>
      <c r="SHB241" s="210"/>
      <c r="SHC241" s="210"/>
      <c r="SHD241" s="210"/>
      <c r="SHE241" s="210"/>
      <c r="SHF241" s="210"/>
      <c r="SHG241" s="210"/>
      <c r="SHH241" s="210"/>
      <c r="SHI241" s="210"/>
      <c r="SHJ241" s="210"/>
      <c r="SHK241" s="210"/>
      <c r="SHL241" s="210"/>
      <c r="SHM241" s="210"/>
      <c r="SHN241" s="210"/>
      <c r="SHO241" s="210"/>
      <c r="SHP241" s="210"/>
      <c r="SHQ241" s="210"/>
      <c r="SHR241" s="210"/>
      <c r="SHS241" s="210"/>
      <c r="SHT241" s="210"/>
      <c r="SHU241" s="210"/>
      <c r="SHV241" s="210"/>
      <c r="SHW241" s="210"/>
      <c r="SHX241" s="210"/>
      <c r="SHY241" s="210"/>
      <c r="SHZ241" s="210"/>
      <c r="SIA241" s="210"/>
      <c r="SIB241" s="210"/>
      <c r="SIC241" s="210"/>
      <c r="SID241" s="210"/>
      <c r="SIE241" s="210"/>
      <c r="SIF241" s="210"/>
      <c r="SIG241" s="210"/>
      <c r="SIH241" s="210"/>
      <c r="SII241" s="210"/>
      <c r="SIJ241" s="210"/>
      <c r="SIK241" s="210"/>
      <c r="SIL241" s="210"/>
      <c r="SIM241" s="210"/>
      <c r="SIN241" s="210"/>
      <c r="SIO241" s="210"/>
      <c r="SIP241" s="210"/>
      <c r="SIQ241" s="210"/>
      <c r="SIR241" s="210"/>
      <c r="SIS241" s="210"/>
      <c r="SIT241" s="210"/>
      <c r="SIU241" s="210"/>
      <c r="SIV241" s="210"/>
      <c r="SIW241" s="210"/>
      <c r="SIX241" s="210"/>
      <c r="SIY241" s="210"/>
      <c r="SIZ241" s="210"/>
      <c r="SJA241" s="210"/>
      <c r="SJB241" s="210"/>
      <c r="SJC241" s="210"/>
      <c r="SJD241" s="210"/>
      <c r="SJE241" s="210"/>
      <c r="SJF241" s="210"/>
      <c r="SJG241" s="210"/>
      <c r="SJH241" s="210"/>
      <c r="SJI241" s="210"/>
      <c r="SJJ241" s="210"/>
      <c r="SJK241" s="210"/>
      <c r="SJL241" s="210"/>
      <c r="SJM241" s="210"/>
      <c r="SJN241" s="210"/>
      <c r="SJO241" s="210"/>
      <c r="SJP241" s="210"/>
      <c r="SJQ241" s="210"/>
      <c r="SJR241" s="210"/>
      <c r="SJS241" s="210"/>
      <c r="SJT241" s="210"/>
      <c r="SJU241" s="210"/>
      <c r="SJV241" s="210"/>
      <c r="SJW241" s="210"/>
      <c r="SJX241" s="210"/>
      <c r="SJY241" s="210"/>
      <c r="SJZ241" s="210"/>
      <c r="SKA241" s="210"/>
      <c r="SKB241" s="210"/>
      <c r="SKC241" s="210"/>
      <c r="SKD241" s="210"/>
      <c r="SKE241" s="210"/>
      <c r="SKF241" s="210"/>
      <c r="SKG241" s="210"/>
      <c r="SKH241" s="210"/>
      <c r="SKI241" s="210"/>
      <c r="SKJ241" s="210"/>
      <c r="SKK241" s="210"/>
      <c r="SKL241" s="210"/>
      <c r="SKM241" s="210"/>
      <c r="SKN241" s="210"/>
      <c r="SKO241" s="210"/>
      <c r="SKP241" s="210"/>
      <c r="SKQ241" s="210"/>
      <c r="SKR241" s="210"/>
      <c r="SKS241" s="210"/>
      <c r="SKT241" s="210"/>
      <c r="SKU241" s="210"/>
      <c r="SKV241" s="210"/>
      <c r="SKW241" s="210"/>
      <c r="SKX241" s="210"/>
      <c r="SKY241" s="210"/>
      <c r="SKZ241" s="210"/>
      <c r="SLA241" s="210"/>
      <c r="SLB241" s="210"/>
      <c r="SLC241" s="210"/>
      <c r="SLD241" s="210"/>
      <c r="SLE241" s="210"/>
      <c r="SLF241" s="210"/>
      <c r="SLG241" s="210"/>
      <c r="SLH241" s="210"/>
      <c r="SLI241" s="210"/>
      <c r="SLJ241" s="210"/>
      <c r="SLK241" s="210"/>
      <c r="SLL241" s="210"/>
      <c r="SLM241" s="210"/>
      <c r="SLN241" s="210"/>
      <c r="SLO241" s="210"/>
      <c r="SLP241" s="210"/>
      <c r="SLQ241" s="210"/>
      <c r="SLR241" s="210"/>
      <c r="SLS241" s="210"/>
      <c r="SLT241" s="210"/>
      <c r="SLU241" s="210"/>
      <c r="SLV241" s="210"/>
      <c r="SLW241" s="210"/>
      <c r="SLX241" s="210"/>
      <c r="SLY241" s="210"/>
      <c r="SLZ241" s="210"/>
      <c r="SMA241" s="210"/>
      <c r="SMB241" s="210"/>
      <c r="SMC241" s="210"/>
      <c r="SMD241" s="210"/>
      <c r="SME241" s="210"/>
      <c r="SMF241" s="210"/>
      <c r="SMG241" s="210"/>
      <c r="SMH241" s="210"/>
      <c r="SMI241" s="210"/>
      <c r="SMJ241" s="210"/>
      <c r="SMK241" s="210"/>
      <c r="SML241" s="210"/>
      <c r="SMM241" s="210"/>
      <c r="SMN241" s="210"/>
      <c r="SMO241" s="210"/>
      <c r="SMP241" s="210"/>
      <c r="SMQ241" s="210"/>
      <c r="SMR241" s="210"/>
      <c r="SMS241" s="210"/>
      <c r="SMT241" s="210"/>
      <c r="SMU241" s="210"/>
      <c r="SMV241" s="210"/>
      <c r="SMW241" s="210"/>
      <c r="SMX241" s="210"/>
      <c r="SMY241" s="210"/>
      <c r="SMZ241" s="210"/>
      <c r="SNA241" s="210"/>
      <c r="SNB241" s="210"/>
      <c r="SNC241" s="210"/>
      <c r="SND241" s="210"/>
      <c r="SNE241" s="210"/>
      <c r="SNF241" s="210"/>
      <c r="SNG241" s="210"/>
      <c r="SNH241" s="210"/>
      <c r="SNI241" s="210"/>
      <c r="SNJ241" s="210"/>
      <c r="SNK241" s="210"/>
      <c r="SNL241" s="210"/>
      <c r="SNM241" s="210"/>
      <c r="SNN241" s="210"/>
      <c r="SNO241" s="210"/>
      <c r="SNP241" s="210"/>
      <c r="SNQ241" s="210"/>
      <c r="SNR241" s="210"/>
      <c r="SNS241" s="210"/>
      <c r="SNT241" s="210"/>
      <c r="SNU241" s="210"/>
      <c r="SNV241" s="210"/>
      <c r="SNW241" s="210"/>
      <c r="SNX241" s="210"/>
      <c r="SNY241" s="210"/>
      <c r="SNZ241" s="210"/>
      <c r="SOA241" s="210"/>
      <c r="SOB241" s="210"/>
      <c r="SOC241" s="210"/>
      <c r="SOD241" s="210"/>
      <c r="SOE241" s="210"/>
      <c r="SOF241" s="210"/>
      <c r="SOG241" s="210"/>
      <c r="SOH241" s="210"/>
      <c r="SOI241" s="210"/>
      <c r="SOJ241" s="210"/>
      <c r="SOK241" s="210"/>
      <c r="SOL241" s="210"/>
      <c r="SOM241" s="210"/>
      <c r="SON241" s="210"/>
      <c r="SOO241" s="210"/>
      <c r="SOP241" s="210"/>
      <c r="SOQ241" s="210"/>
      <c r="SOR241" s="210"/>
      <c r="SOS241" s="210"/>
      <c r="SOT241" s="210"/>
      <c r="SOU241" s="210"/>
      <c r="SOV241" s="210"/>
      <c r="SOW241" s="210"/>
      <c r="SOX241" s="210"/>
      <c r="SOY241" s="210"/>
      <c r="SOZ241" s="210"/>
      <c r="SPA241" s="210"/>
      <c r="SPB241" s="210"/>
      <c r="SPC241" s="210"/>
      <c r="SPD241" s="210"/>
      <c r="SPE241" s="210"/>
      <c r="SPF241" s="210"/>
      <c r="SPG241" s="210"/>
      <c r="SPH241" s="210"/>
      <c r="SPI241" s="210"/>
      <c r="SPJ241" s="210"/>
      <c r="SPK241" s="210"/>
      <c r="SPL241" s="210"/>
      <c r="SPM241" s="210"/>
      <c r="SPN241" s="210"/>
      <c r="SPO241" s="210"/>
      <c r="SPP241" s="210"/>
      <c r="SPQ241" s="210"/>
      <c r="SPR241" s="210"/>
      <c r="SPS241" s="210"/>
      <c r="SPT241" s="210"/>
      <c r="SPU241" s="210"/>
      <c r="SPV241" s="210"/>
      <c r="SPW241" s="210"/>
      <c r="SPX241" s="210"/>
      <c r="SPY241" s="210"/>
      <c r="SPZ241" s="210"/>
      <c r="SQA241" s="210"/>
      <c r="SQB241" s="210"/>
      <c r="SQC241" s="210"/>
      <c r="SQD241" s="210"/>
      <c r="SQE241" s="210"/>
      <c r="SQF241" s="210"/>
      <c r="SQG241" s="210"/>
      <c r="SQH241" s="210"/>
      <c r="SQI241" s="210"/>
      <c r="SQJ241" s="210"/>
      <c r="SQK241" s="210"/>
      <c r="SQL241" s="210"/>
      <c r="SQM241" s="210"/>
      <c r="SQN241" s="210"/>
      <c r="SQO241" s="210"/>
      <c r="SQP241" s="210"/>
      <c r="SQQ241" s="210"/>
      <c r="SQR241" s="210"/>
      <c r="SQS241" s="210"/>
      <c r="SQT241" s="210"/>
      <c r="SQU241" s="210"/>
      <c r="SQV241" s="210"/>
      <c r="SQW241" s="210"/>
      <c r="SQX241" s="210"/>
      <c r="SQY241" s="210"/>
      <c r="SQZ241" s="210"/>
      <c r="SRA241" s="210"/>
      <c r="SRB241" s="210"/>
      <c r="SRC241" s="210"/>
      <c r="SRD241" s="210"/>
      <c r="SRE241" s="210"/>
      <c r="SRF241" s="210"/>
      <c r="SRG241" s="210"/>
      <c r="SRH241" s="210"/>
      <c r="SRI241" s="210"/>
      <c r="SRJ241" s="210"/>
      <c r="SRK241" s="210"/>
      <c r="SRL241" s="210"/>
      <c r="SRM241" s="210"/>
      <c r="SRN241" s="210"/>
      <c r="SRO241" s="210"/>
      <c r="SRP241" s="210"/>
      <c r="SRQ241" s="210"/>
      <c r="SRR241" s="210"/>
      <c r="SRS241" s="210"/>
      <c r="SRT241" s="210"/>
      <c r="SRU241" s="210"/>
      <c r="SRV241" s="210"/>
      <c r="SRW241" s="210"/>
      <c r="SRX241" s="210"/>
      <c r="SRY241" s="210"/>
      <c r="SRZ241" s="210"/>
      <c r="SSA241" s="210"/>
      <c r="SSB241" s="210"/>
      <c r="SSC241" s="210"/>
      <c r="SSD241" s="210"/>
      <c r="SSE241" s="210"/>
      <c r="SSF241" s="210"/>
      <c r="SSG241" s="210"/>
      <c r="SSH241" s="210"/>
      <c r="SSI241" s="210"/>
      <c r="SSJ241" s="210"/>
      <c r="SSK241" s="210"/>
      <c r="SSL241" s="210"/>
      <c r="SSM241" s="210"/>
      <c r="SSN241" s="210"/>
      <c r="SSO241" s="210"/>
      <c r="SSP241" s="210"/>
      <c r="SSQ241" s="210"/>
      <c r="SSR241" s="210"/>
      <c r="SSS241" s="210"/>
      <c r="SST241" s="210"/>
      <c r="SSU241" s="210"/>
      <c r="SSV241" s="210"/>
      <c r="SSW241" s="210"/>
      <c r="SSX241" s="210"/>
      <c r="SSY241" s="210"/>
      <c r="SSZ241" s="210"/>
      <c r="STA241" s="210"/>
      <c r="STB241" s="210"/>
      <c r="STC241" s="210"/>
      <c r="STD241" s="210"/>
      <c r="STE241" s="210"/>
      <c r="STF241" s="210"/>
      <c r="STG241" s="210"/>
      <c r="STH241" s="210"/>
      <c r="STI241" s="210"/>
      <c r="STJ241" s="210"/>
      <c r="STK241" s="210"/>
      <c r="STL241" s="210"/>
      <c r="STM241" s="210"/>
      <c r="STN241" s="210"/>
      <c r="STO241" s="210"/>
      <c r="STP241" s="210"/>
      <c r="STQ241" s="210"/>
      <c r="STR241" s="210"/>
      <c r="STS241" s="210"/>
      <c r="STT241" s="210"/>
      <c r="STU241" s="210"/>
      <c r="STV241" s="210"/>
      <c r="STW241" s="210"/>
      <c r="STX241" s="210"/>
      <c r="STY241" s="210"/>
      <c r="STZ241" s="210"/>
      <c r="SUA241" s="210"/>
      <c r="SUB241" s="210"/>
      <c r="SUC241" s="210"/>
      <c r="SUD241" s="210"/>
      <c r="SUE241" s="210"/>
      <c r="SUF241" s="210"/>
      <c r="SUG241" s="210"/>
      <c r="SUH241" s="210"/>
      <c r="SUI241" s="210"/>
      <c r="SUJ241" s="210"/>
      <c r="SUK241" s="210"/>
      <c r="SUL241" s="210"/>
      <c r="SUM241" s="210"/>
      <c r="SUN241" s="210"/>
      <c r="SUO241" s="210"/>
      <c r="SUP241" s="210"/>
      <c r="SUQ241" s="210"/>
      <c r="SUR241" s="210"/>
      <c r="SUS241" s="210"/>
      <c r="SUT241" s="210"/>
      <c r="SUU241" s="210"/>
      <c r="SUV241" s="210"/>
      <c r="SUW241" s="210"/>
      <c r="SUX241" s="210"/>
      <c r="SUY241" s="210"/>
      <c r="SUZ241" s="210"/>
      <c r="SVA241" s="210"/>
      <c r="SVB241" s="210"/>
      <c r="SVC241" s="210"/>
      <c r="SVD241" s="210"/>
      <c r="SVE241" s="210"/>
      <c r="SVF241" s="210"/>
      <c r="SVG241" s="210"/>
      <c r="SVH241" s="210"/>
      <c r="SVI241" s="210"/>
      <c r="SVJ241" s="210"/>
      <c r="SVK241" s="210"/>
      <c r="SVL241" s="210"/>
      <c r="SVM241" s="210"/>
      <c r="SVN241" s="210"/>
      <c r="SVO241" s="210"/>
      <c r="SVP241" s="210"/>
      <c r="SVQ241" s="210"/>
      <c r="SVR241" s="210"/>
      <c r="SVS241" s="210"/>
      <c r="SVT241" s="210"/>
      <c r="SVU241" s="210"/>
      <c r="SVV241" s="210"/>
      <c r="SVW241" s="210"/>
      <c r="SVX241" s="210"/>
      <c r="SVY241" s="210"/>
      <c r="SVZ241" s="210"/>
      <c r="SWA241" s="210"/>
      <c r="SWB241" s="210"/>
      <c r="SWC241" s="210"/>
      <c r="SWD241" s="210"/>
      <c r="SWE241" s="210"/>
      <c r="SWF241" s="210"/>
      <c r="SWG241" s="210"/>
      <c r="SWH241" s="210"/>
      <c r="SWI241" s="210"/>
      <c r="SWJ241" s="210"/>
      <c r="SWK241" s="210"/>
      <c r="SWL241" s="210"/>
      <c r="SWM241" s="210"/>
      <c r="SWN241" s="210"/>
      <c r="SWO241" s="210"/>
      <c r="SWP241" s="210"/>
      <c r="SWQ241" s="210"/>
      <c r="SWR241" s="210"/>
      <c r="SWS241" s="210"/>
      <c r="SWT241" s="210"/>
      <c r="SWU241" s="210"/>
      <c r="SWV241" s="210"/>
      <c r="SWW241" s="210"/>
      <c r="SWX241" s="210"/>
      <c r="SWY241" s="210"/>
      <c r="SWZ241" s="210"/>
      <c r="SXA241" s="210"/>
      <c r="SXB241" s="210"/>
      <c r="SXC241" s="210"/>
      <c r="SXD241" s="210"/>
      <c r="SXE241" s="210"/>
      <c r="SXF241" s="210"/>
      <c r="SXG241" s="210"/>
      <c r="SXH241" s="210"/>
      <c r="SXI241" s="210"/>
      <c r="SXJ241" s="210"/>
      <c r="SXK241" s="210"/>
      <c r="SXL241" s="210"/>
      <c r="SXM241" s="210"/>
      <c r="SXN241" s="210"/>
      <c r="SXO241" s="210"/>
      <c r="SXP241" s="210"/>
      <c r="SXQ241" s="210"/>
      <c r="SXR241" s="210"/>
      <c r="SXS241" s="210"/>
      <c r="SXT241" s="210"/>
      <c r="SXU241" s="210"/>
      <c r="SXV241" s="210"/>
      <c r="SXW241" s="210"/>
      <c r="SXX241" s="210"/>
      <c r="SXY241" s="210"/>
      <c r="SXZ241" s="210"/>
      <c r="SYA241" s="210"/>
      <c r="SYB241" s="210"/>
      <c r="SYC241" s="210"/>
      <c r="SYD241" s="210"/>
      <c r="SYE241" s="210"/>
      <c r="SYF241" s="210"/>
      <c r="SYG241" s="210"/>
      <c r="SYH241" s="210"/>
      <c r="SYI241" s="210"/>
      <c r="SYJ241" s="210"/>
      <c r="SYK241" s="210"/>
      <c r="SYL241" s="210"/>
      <c r="SYM241" s="210"/>
      <c r="SYN241" s="210"/>
      <c r="SYO241" s="210"/>
      <c r="SYP241" s="210"/>
      <c r="SYQ241" s="210"/>
      <c r="SYR241" s="210"/>
      <c r="SYS241" s="210"/>
      <c r="SYT241" s="210"/>
      <c r="SYU241" s="210"/>
      <c r="SYV241" s="210"/>
      <c r="SYW241" s="210"/>
      <c r="SYX241" s="210"/>
      <c r="SYY241" s="210"/>
      <c r="SYZ241" s="210"/>
      <c r="SZA241" s="210"/>
      <c r="SZB241" s="210"/>
      <c r="SZC241" s="210"/>
      <c r="SZD241" s="210"/>
      <c r="SZE241" s="210"/>
      <c r="SZF241" s="210"/>
      <c r="SZG241" s="210"/>
      <c r="SZH241" s="210"/>
      <c r="SZI241" s="210"/>
      <c r="SZJ241" s="210"/>
      <c r="SZK241" s="210"/>
      <c r="SZL241" s="210"/>
      <c r="SZM241" s="210"/>
      <c r="SZN241" s="210"/>
      <c r="SZO241" s="210"/>
      <c r="SZP241" s="210"/>
      <c r="SZQ241" s="210"/>
      <c r="SZR241" s="210"/>
      <c r="SZS241" s="210"/>
      <c r="SZT241" s="210"/>
      <c r="SZU241" s="210"/>
      <c r="SZV241" s="210"/>
      <c r="SZW241" s="210"/>
      <c r="SZX241" s="210"/>
      <c r="SZY241" s="210"/>
      <c r="SZZ241" s="210"/>
      <c r="TAA241" s="210"/>
      <c r="TAB241" s="210"/>
      <c r="TAC241" s="210"/>
      <c r="TAD241" s="210"/>
      <c r="TAE241" s="210"/>
      <c r="TAF241" s="210"/>
      <c r="TAG241" s="210"/>
      <c r="TAH241" s="210"/>
      <c r="TAI241" s="210"/>
      <c r="TAJ241" s="210"/>
      <c r="TAK241" s="210"/>
      <c r="TAL241" s="210"/>
      <c r="TAM241" s="210"/>
      <c r="TAN241" s="210"/>
      <c r="TAO241" s="210"/>
      <c r="TAP241" s="210"/>
      <c r="TAQ241" s="210"/>
      <c r="TAR241" s="210"/>
      <c r="TAS241" s="210"/>
      <c r="TAT241" s="210"/>
      <c r="TAU241" s="210"/>
      <c r="TAV241" s="210"/>
      <c r="TAW241" s="210"/>
      <c r="TAX241" s="210"/>
      <c r="TAY241" s="210"/>
      <c r="TAZ241" s="210"/>
      <c r="TBA241" s="210"/>
      <c r="TBB241" s="210"/>
      <c r="TBC241" s="210"/>
      <c r="TBD241" s="210"/>
      <c r="TBE241" s="210"/>
      <c r="TBF241" s="210"/>
      <c r="TBG241" s="210"/>
      <c r="TBH241" s="210"/>
      <c r="TBI241" s="210"/>
      <c r="TBJ241" s="210"/>
      <c r="TBK241" s="210"/>
      <c r="TBL241" s="210"/>
      <c r="TBM241" s="210"/>
      <c r="TBN241" s="210"/>
      <c r="TBO241" s="210"/>
      <c r="TBP241" s="210"/>
      <c r="TBQ241" s="210"/>
      <c r="TBR241" s="210"/>
      <c r="TBS241" s="210"/>
      <c r="TBT241" s="210"/>
      <c r="TBU241" s="210"/>
      <c r="TBV241" s="210"/>
      <c r="TBW241" s="210"/>
      <c r="TBX241" s="210"/>
      <c r="TBY241" s="210"/>
      <c r="TBZ241" s="210"/>
      <c r="TCA241" s="210"/>
      <c r="TCB241" s="210"/>
      <c r="TCC241" s="210"/>
      <c r="TCD241" s="210"/>
      <c r="TCE241" s="210"/>
      <c r="TCF241" s="210"/>
      <c r="TCG241" s="210"/>
      <c r="TCH241" s="210"/>
      <c r="TCI241" s="210"/>
      <c r="TCJ241" s="210"/>
      <c r="TCK241" s="210"/>
      <c r="TCL241" s="210"/>
      <c r="TCM241" s="210"/>
      <c r="TCN241" s="210"/>
      <c r="TCO241" s="210"/>
      <c r="TCP241" s="210"/>
      <c r="TCQ241" s="210"/>
      <c r="TCR241" s="210"/>
      <c r="TCS241" s="210"/>
      <c r="TCT241" s="210"/>
      <c r="TCU241" s="210"/>
      <c r="TCV241" s="210"/>
      <c r="TCW241" s="210"/>
      <c r="TCX241" s="210"/>
      <c r="TCY241" s="210"/>
      <c r="TCZ241" s="210"/>
      <c r="TDA241" s="210"/>
      <c r="TDB241" s="210"/>
      <c r="TDC241" s="210"/>
      <c r="TDD241" s="210"/>
      <c r="TDE241" s="210"/>
      <c r="TDF241" s="210"/>
      <c r="TDG241" s="210"/>
      <c r="TDH241" s="210"/>
      <c r="TDI241" s="210"/>
      <c r="TDJ241" s="210"/>
      <c r="TDK241" s="210"/>
      <c r="TDL241" s="210"/>
      <c r="TDM241" s="210"/>
      <c r="TDN241" s="210"/>
      <c r="TDO241" s="210"/>
      <c r="TDP241" s="210"/>
      <c r="TDQ241" s="210"/>
      <c r="TDR241" s="210"/>
      <c r="TDS241" s="210"/>
      <c r="TDT241" s="210"/>
      <c r="TDU241" s="210"/>
      <c r="TDV241" s="210"/>
      <c r="TDW241" s="210"/>
      <c r="TDX241" s="210"/>
      <c r="TDY241" s="210"/>
      <c r="TDZ241" s="210"/>
      <c r="TEA241" s="210"/>
      <c r="TEB241" s="210"/>
      <c r="TEC241" s="210"/>
      <c r="TED241" s="210"/>
      <c r="TEE241" s="210"/>
      <c r="TEF241" s="210"/>
      <c r="TEG241" s="210"/>
      <c r="TEH241" s="210"/>
      <c r="TEI241" s="210"/>
      <c r="TEJ241" s="210"/>
      <c r="TEK241" s="210"/>
      <c r="TEL241" s="210"/>
      <c r="TEM241" s="210"/>
      <c r="TEN241" s="210"/>
      <c r="TEO241" s="210"/>
      <c r="TEP241" s="210"/>
      <c r="TEQ241" s="210"/>
      <c r="TER241" s="210"/>
      <c r="TES241" s="210"/>
      <c r="TET241" s="210"/>
      <c r="TEU241" s="210"/>
      <c r="TEV241" s="210"/>
      <c r="TEW241" s="210"/>
      <c r="TEX241" s="210"/>
      <c r="TEY241" s="210"/>
      <c r="TEZ241" s="210"/>
      <c r="TFA241" s="210"/>
      <c r="TFB241" s="210"/>
      <c r="TFC241" s="210"/>
      <c r="TFD241" s="210"/>
      <c r="TFE241" s="210"/>
      <c r="TFF241" s="210"/>
      <c r="TFG241" s="210"/>
      <c r="TFH241" s="210"/>
      <c r="TFI241" s="210"/>
      <c r="TFJ241" s="210"/>
      <c r="TFK241" s="210"/>
      <c r="TFL241" s="210"/>
      <c r="TFM241" s="210"/>
      <c r="TFN241" s="210"/>
      <c r="TFO241" s="210"/>
      <c r="TFP241" s="210"/>
      <c r="TFQ241" s="210"/>
      <c r="TFR241" s="210"/>
      <c r="TFS241" s="210"/>
      <c r="TFT241" s="210"/>
      <c r="TFU241" s="210"/>
      <c r="TFV241" s="210"/>
      <c r="TFW241" s="210"/>
      <c r="TFX241" s="210"/>
      <c r="TFY241" s="210"/>
      <c r="TFZ241" s="210"/>
      <c r="TGA241" s="210"/>
      <c r="TGB241" s="210"/>
      <c r="TGC241" s="210"/>
      <c r="TGD241" s="210"/>
      <c r="TGE241" s="210"/>
      <c r="TGF241" s="210"/>
      <c r="TGG241" s="210"/>
      <c r="TGH241" s="210"/>
      <c r="TGI241" s="210"/>
      <c r="TGJ241" s="210"/>
      <c r="TGK241" s="210"/>
      <c r="TGL241" s="210"/>
      <c r="TGM241" s="210"/>
      <c r="TGN241" s="210"/>
      <c r="TGO241" s="210"/>
      <c r="TGP241" s="210"/>
      <c r="TGQ241" s="210"/>
      <c r="TGR241" s="210"/>
      <c r="TGS241" s="210"/>
      <c r="TGT241" s="210"/>
      <c r="TGU241" s="210"/>
      <c r="TGV241" s="210"/>
      <c r="TGW241" s="210"/>
      <c r="TGX241" s="210"/>
      <c r="TGY241" s="210"/>
      <c r="TGZ241" s="210"/>
      <c r="THA241" s="210"/>
      <c r="THB241" s="210"/>
      <c r="THC241" s="210"/>
      <c r="THD241" s="210"/>
      <c r="THE241" s="210"/>
      <c r="THF241" s="210"/>
      <c r="THG241" s="210"/>
      <c r="THH241" s="210"/>
      <c r="THI241" s="210"/>
      <c r="THJ241" s="210"/>
      <c r="THK241" s="210"/>
      <c r="THL241" s="210"/>
      <c r="THM241" s="210"/>
      <c r="THN241" s="210"/>
      <c r="THO241" s="210"/>
      <c r="THP241" s="210"/>
      <c r="THQ241" s="210"/>
      <c r="THR241" s="210"/>
      <c r="THS241" s="210"/>
      <c r="THT241" s="210"/>
      <c r="THU241" s="210"/>
      <c r="THV241" s="210"/>
      <c r="THW241" s="210"/>
      <c r="THX241" s="210"/>
      <c r="THY241" s="210"/>
      <c r="THZ241" s="210"/>
      <c r="TIA241" s="210"/>
      <c r="TIB241" s="210"/>
      <c r="TIC241" s="210"/>
      <c r="TID241" s="210"/>
      <c r="TIE241" s="210"/>
      <c r="TIF241" s="210"/>
      <c r="TIG241" s="210"/>
      <c r="TIH241" s="210"/>
      <c r="TII241" s="210"/>
      <c r="TIJ241" s="210"/>
      <c r="TIK241" s="210"/>
      <c r="TIL241" s="210"/>
      <c r="TIM241" s="210"/>
      <c r="TIN241" s="210"/>
      <c r="TIO241" s="210"/>
      <c r="TIP241" s="210"/>
      <c r="TIQ241" s="210"/>
      <c r="TIR241" s="210"/>
      <c r="TIS241" s="210"/>
      <c r="TIT241" s="210"/>
      <c r="TIU241" s="210"/>
      <c r="TIV241" s="210"/>
      <c r="TIW241" s="210"/>
      <c r="TIX241" s="210"/>
      <c r="TIY241" s="210"/>
      <c r="TIZ241" s="210"/>
      <c r="TJA241" s="210"/>
      <c r="TJB241" s="210"/>
      <c r="TJC241" s="210"/>
      <c r="TJD241" s="210"/>
      <c r="TJE241" s="210"/>
      <c r="TJF241" s="210"/>
      <c r="TJG241" s="210"/>
      <c r="TJH241" s="210"/>
      <c r="TJI241" s="210"/>
      <c r="TJJ241" s="210"/>
      <c r="TJK241" s="210"/>
      <c r="TJL241" s="210"/>
      <c r="TJM241" s="210"/>
      <c r="TJN241" s="210"/>
      <c r="TJO241" s="210"/>
      <c r="TJP241" s="210"/>
      <c r="TJQ241" s="210"/>
      <c r="TJR241" s="210"/>
      <c r="TJS241" s="210"/>
      <c r="TJT241" s="210"/>
      <c r="TJU241" s="210"/>
      <c r="TJV241" s="210"/>
      <c r="TJW241" s="210"/>
      <c r="TJX241" s="210"/>
      <c r="TJY241" s="210"/>
      <c r="TJZ241" s="210"/>
      <c r="TKA241" s="210"/>
      <c r="TKB241" s="210"/>
      <c r="TKC241" s="210"/>
      <c r="TKD241" s="210"/>
      <c r="TKE241" s="210"/>
      <c r="TKF241" s="210"/>
      <c r="TKG241" s="210"/>
      <c r="TKH241" s="210"/>
      <c r="TKI241" s="210"/>
      <c r="TKJ241" s="210"/>
      <c r="TKK241" s="210"/>
      <c r="TKL241" s="210"/>
      <c r="TKM241" s="210"/>
      <c r="TKN241" s="210"/>
      <c r="TKO241" s="210"/>
      <c r="TKP241" s="210"/>
      <c r="TKQ241" s="210"/>
      <c r="TKR241" s="210"/>
      <c r="TKS241" s="210"/>
      <c r="TKT241" s="210"/>
      <c r="TKU241" s="210"/>
      <c r="TKV241" s="210"/>
      <c r="TKW241" s="210"/>
      <c r="TKX241" s="210"/>
      <c r="TKY241" s="210"/>
      <c r="TKZ241" s="210"/>
      <c r="TLA241" s="210"/>
      <c r="TLB241" s="210"/>
      <c r="TLC241" s="210"/>
      <c r="TLD241" s="210"/>
      <c r="TLE241" s="210"/>
      <c r="TLF241" s="210"/>
      <c r="TLG241" s="210"/>
      <c r="TLH241" s="210"/>
      <c r="TLI241" s="210"/>
      <c r="TLJ241" s="210"/>
      <c r="TLK241" s="210"/>
      <c r="TLL241" s="210"/>
      <c r="TLM241" s="210"/>
      <c r="TLN241" s="210"/>
      <c r="TLO241" s="210"/>
      <c r="TLP241" s="210"/>
      <c r="TLQ241" s="210"/>
      <c r="TLR241" s="210"/>
      <c r="TLS241" s="210"/>
      <c r="TLT241" s="210"/>
      <c r="TLU241" s="210"/>
      <c r="TLV241" s="210"/>
      <c r="TLW241" s="210"/>
      <c r="TLX241" s="210"/>
      <c r="TLY241" s="210"/>
      <c r="TLZ241" s="210"/>
      <c r="TMA241" s="210"/>
      <c r="TMB241" s="210"/>
      <c r="TMC241" s="210"/>
      <c r="TMD241" s="210"/>
      <c r="TME241" s="210"/>
      <c r="TMF241" s="210"/>
      <c r="TMG241" s="210"/>
      <c r="TMH241" s="210"/>
      <c r="TMI241" s="210"/>
      <c r="TMJ241" s="210"/>
      <c r="TMK241" s="210"/>
      <c r="TML241" s="210"/>
      <c r="TMM241" s="210"/>
      <c r="TMN241" s="210"/>
      <c r="TMO241" s="210"/>
      <c r="TMP241" s="210"/>
      <c r="TMQ241" s="210"/>
      <c r="TMR241" s="210"/>
      <c r="TMS241" s="210"/>
      <c r="TMT241" s="210"/>
      <c r="TMU241" s="210"/>
      <c r="TMV241" s="210"/>
      <c r="TMW241" s="210"/>
      <c r="TMX241" s="210"/>
      <c r="TMY241" s="210"/>
      <c r="TMZ241" s="210"/>
      <c r="TNA241" s="210"/>
      <c r="TNB241" s="210"/>
      <c r="TNC241" s="210"/>
      <c r="TND241" s="210"/>
      <c r="TNE241" s="210"/>
      <c r="TNF241" s="210"/>
      <c r="TNG241" s="210"/>
      <c r="TNH241" s="210"/>
      <c r="TNI241" s="210"/>
      <c r="TNJ241" s="210"/>
      <c r="TNK241" s="210"/>
      <c r="TNL241" s="210"/>
      <c r="TNM241" s="210"/>
      <c r="TNN241" s="210"/>
      <c r="TNO241" s="210"/>
      <c r="TNP241" s="210"/>
      <c r="TNQ241" s="210"/>
      <c r="TNR241" s="210"/>
      <c r="TNS241" s="210"/>
      <c r="TNT241" s="210"/>
      <c r="TNU241" s="210"/>
      <c r="TNV241" s="210"/>
      <c r="TNW241" s="210"/>
      <c r="TNX241" s="210"/>
      <c r="TNY241" s="210"/>
      <c r="TNZ241" s="210"/>
      <c r="TOA241" s="210"/>
      <c r="TOB241" s="210"/>
      <c r="TOC241" s="210"/>
      <c r="TOD241" s="210"/>
      <c r="TOE241" s="210"/>
      <c r="TOF241" s="210"/>
      <c r="TOG241" s="210"/>
      <c r="TOH241" s="210"/>
      <c r="TOI241" s="210"/>
      <c r="TOJ241" s="210"/>
      <c r="TOK241" s="210"/>
      <c r="TOL241" s="210"/>
      <c r="TOM241" s="210"/>
      <c r="TON241" s="210"/>
      <c r="TOO241" s="210"/>
      <c r="TOP241" s="210"/>
      <c r="TOQ241" s="210"/>
      <c r="TOR241" s="210"/>
      <c r="TOS241" s="210"/>
      <c r="TOT241" s="210"/>
      <c r="TOU241" s="210"/>
      <c r="TOV241" s="210"/>
      <c r="TOW241" s="210"/>
      <c r="TOX241" s="210"/>
      <c r="TOY241" s="210"/>
      <c r="TOZ241" s="210"/>
      <c r="TPA241" s="210"/>
      <c r="TPB241" s="210"/>
      <c r="TPC241" s="210"/>
      <c r="TPD241" s="210"/>
      <c r="TPE241" s="210"/>
      <c r="TPF241" s="210"/>
      <c r="TPG241" s="210"/>
      <c r="TPH241" s="210"/>
      <c r="TPI241" s="210"/>
      <c r="TPJ241" s="210"/>
      <c r="TPK241" s="210"/>
      <c r="TPL241" s="210"/>
      <c r="TPM241" s="210"/>
      <c r="TPN241" s="210"/>
      <c r="TPO241" s="210"/>
      <c r="TPP241" s="210"/>
      <c r="TPQ241" s="210"/>
      <c r="TPR241" s="210"/>
      <c r="TPS241" s="210"/>
      <c r="TPT241" s="210"/>
      <c r="TPU241" s="210"/>
      <c r="TPV241" s="210"/>
      <c r="TPW241" s="210"/>
      <c r="TPX241" s="210"/>
      <c r="TPY241" s="210"/>
      <c r="TPZ241" s="210"/>
      <c r="TQA241" s="210"/>
      <c r="TQB241" s="210"/>
      <c r="TQC241" s="210"/>
      <c r="TQD241" s="210"/>
      <c r="TQE241" s="210"/>
      <c r="TQF241" s="210"/>
      <c r="TQG241" s="210"/>
      <c r="TQH241" s="210"/>
      <c r="TQI241" s="210"/>
      <c r="TQJ241" s="210"/>
      <c r="TQK241" s="210"/>
      <c r="TQL241" s="210"/>
      <c r="TQM241" s="210"/>
      <c r="TQN241" s="210"/>
      <c r="TQO241" s="210"/>
      <c r="TQP241" s="210"/>
      <c r="TQQ241" s="210"/>
      <c r="TQR241" s="210"/>
      <c r="TQS241" s="210"/>
      <c r="TQT241" s="210"/>
      <c r="TQU241" s="210"/>
      <c r="TQV241" s="210"/>
      <c r="TQW241" s="210"/>
      <c r="TQX241" s="210"/>
      <c r="TQY241" s="210"/>
      <c r="TQZ241" s="210"/>
      <c r="TRA241" s="210"/>
      <c r="TRB241" s="210"/>
      <c r="TRC241" s="210"/>
      <c r="TRD241" s="210"/>
      <c r="TRE241" s="210"/>
      <c r="TRF241" s="210"/>
      <c r="TRG241" s="210"/>
      <c r="TRH241" s="210"/>
      <c r="TRI241" s="210"/>
      <c r="TRJ241" s="210"/>
      <c r="TRK241" s="210"/>
      <c r="TRL241" s="210"/>
      <c r="TRM241" s="210"/>
      <c r="TRN241" s="210"/>
      <c r="TRO241" s="210"/>
      <c r="TRP241" s="210"/>
      <c r="TRQ241" s="210"/>
      <c r="TRR241" s="210"/>
      <c r="TRS241" s="210"/>
      <c r="TRT241" s="210"/>
      <c r="TRU241" s="210"/>
      <c r="TRV241" s="210"/>
      <c r="TRW241" s="210"/>
      <c r="TRX241" s="210"/>
      <c r="TRY241" s="210"/>
      <c r="TRZ241" s="210"/>
      <c r="TSA241" s="210"/>
      <c r="TSB241" s="210"/>
      <c r="TSC241" s="210"/>
      <c r="TSD241" s="210"/>
      <c r="TSE241" s="210"/>
      <c r="TSF241" s="210"/>
      <c r="TSG241" s="210"/>
      <c r="TSH241" s="210"/>
      <c r="TSI241" s="210"/>
      <c r="TSJ241" s="210"/>
      <c r="TSK241" s="210"/>
      <c r="TSL241" s="210"/>
      <c r="TSM241" s="210"/>
      <c r="TSN241" s="210"/>
      <c r="TSO241" s="210"/>
      <c r="TSP241" s="210"/>
      <c r="TSQ241" s="210"/>
      <c r="TSR241" s="210"/>
      <c r="TSS241" s="210"/>
      <c r="TST241" s="210"/>
      <c r="TSU241" s="210"/>
      <c r="TSV241" s="210"/>
      <c r="TSW241" s="210"/>
      <c r="TSX241" s="210"/>
      <c r="TSY241" s="210"/>
      <c r="TSZ241" s="210"/>
      <c r="TTA241" s="210"/>
      <c r="TTB241" s="210"/>
      <c r="TTC241" s="210"/>
      <c r="TTD241" s="210"/>
      <c r="TTE241" s="210"/>
      <c r="TTF241" s="210"/>
      <c r="TTG241" s="210"/>
      <c r="TTH241" s="210"/>
      <c r="TTI241" s="210"/>
      <c r="TTJ241" s="210"/>
      <c r="TTK241" s="210"/>
      <c r="TTL241" s="210"/>
      <c r="TTM241" s="210"/>
      <c r="TTN241" s="210"/>
      <c r="TTO241" s="210"/>
      <c r="TTP241" s="210"/>
      <c r="TTQ241" s="210"/>
      <c r="TTR241" s="210"/>
      <c r="TTS241" s="210"/>
      <c r="TTT241" s="210"/>
      <c r="TTU241" s="210"/>
      <c r="TTV241" s="210"/>
      <c r="TTW241" s="210"/>
      <c r="TTX241" s="210"/>
      <c r="TTY241" s="210"/>
      <c r="TTZ241" s="210"/>
      <c r="TUA241" s="210"/>
      <c r="TUB241" s="210"/>
      <c r="TUC241" s="210"/>
      <c r="TUD241" s="210"/>
      <c r="TUE241" s="210"/>
      <c r="TUF241" s="210"/>
      <c r="TUG241" s="210"/>
      <c r="TUH241" s="210"/>
      <c r="TUI241" s="210"/>
      <c r="TUJ241" s="210"/>
      <c r="TUK241" s="210"/>
      <c r="TUL241" s="210"/>
      <c r="TUM241" s="210"/>
      <c r="TUN241" s="210"/>
      <c r="TUO241" s="210"/>
      <c r="TUP241" s="210"/>
      <c r="TUQ241" s="210"/>
      <c r="TUR241" s="210"/>
      <c r="TUS241" s="210"/>
      <c r="TUT241" s="210"/>
      <c r="TUU241" s="210"/>
      <c r="TUV241" s="210"/>
      <c r="TUW241" s="210"/>
      <c r="TUX241" s="210"/>
      <c r="TUY241" s="210"/>
      <c r="TUZ241" s="210"/>
      <c r="TVA241" s="210"/>
      <c r="TVB241" s="210"/>
      <c r="TVC241" s="210"/>
      <c r="TVD241" s="210"/>
      <c r="TVE241" s="210"/>
      <c r="TVF241" s="210"/>
      <c r="TVG241" s="210"/>
      <c r="TVH241" s="210"/>
      <c r="TVI241" s="210"/>
      <c r="TVJ241" s="210"/>
      <c r="TVK241" s="210"/>
      <c r="TVL241" s="210"/>
      <c r="TVM241" s="210"/>
      <c r="TVN241" s="210"/>
      <c r="TVO241" s="210"/>
      <c r="TVP241" s="210"/>
      <c r="TVQ241" s="210"/>
      <c r="TVR241" s="210"/>
      <c r="TVS241" s="210"/>
      <c r="TVT241" s="210"/>
      <c r="TVU241" s="210"/>
      <c r="TVV241" s="210"/>
      <c r="TVW241" s="210"/>
      <c r="TVX241" s="210"/>
      <c r="TVY241" s="210"/>
      <c r="TVZ241" s="210"/>
      <c r="TWA241" s="210"/>
      <c r="TWB241" s="210"/>
      <c r="TWC241" s="210"/>
      <c r="TWD241" s="210"/>
      <c r="TWE241" s="210"/>
      <c r="TWF241" s="210"/>
      <c r="TWG241" s="210"/>
      <c r="TWH241" s="210"/>
      <c r="TWI241" s="210"/>
      <c r="TWJ241" s="210"/>
      <c r="TWK241" s="210"/>
      <c r="TWL241" s="210"/>
      <c r="TWM241" s="210"/>
      <c r="TWN241" s="210"/>
      <c r="TWO241" s="210"/>
      <c r="TWP241" s="210"/>
      <c r="TWQ241" s="210"/>
      <c r="TWR241" s="210"/>
      <c r="TWS241" s="210"/>
      <c r="TWT241" s="210"/>
      <c r="TWU241" s="210"/>
      <c r="TWV241" s="210"/>
      <c r="TWW241" s="210"/>
      <c r="TWX241" s="210"/>
      <c r="TWY241" s="210"/>
      <c r="TWZ241" s="210"/>
      <c r="TXA241" s="210"/>
      <c r="TXB241" s="210"/>
      <c r="TXC241" s="210"/>
      <c r="TXD241" s="210"/>
      <c r="TXE241" s="210"/>
      <c r="TXF241" s="210"/>
      <c r="TXG241" s="210"/>
      <c r="TXH241" s="210"/>
      <c r="TXI241" s="210"/>
      <c r="TXJ241" s="210"/>
      <c r="TXK241" s="210"/>
      <c r="TXL241" s="210"/>
      <c r="TXM241" s="210"/>
      <c r="TXN241" s="210"/>
      <c r="TXO241" s="210"/>
      <c r="TXP241" s="210"/>
      <c r="TXQ241" s="210"/>
      <c r="TXR241" s="210"/>
      <c r="TXS241" s="210"/>
      <c r="TXT241" s="210"/>
      <c r="TXU241" s="210"/>
      <c r="TXV241" s="210"/>
      <c r="TXW241" s="210"/>
      <c r="TXX241" s="210"/>
      <c r="TXY241" s="210"/>
      <c r="TXZ241" s="210"/>
      <c r="TYA241" s="210"/>
      <c r="TYB241" s="210"/>
      <c r="TYC241" s="210"/>
      <c r="TYD241" s="210"/>
      <c r="TYE241" s="210"/>
      <c r="TYF241" s="210"/>
      <c r="TYG241" s="210"/>
      <c r="TYH241" s="210"/>
      <c r="TYI241" s="210"/>
      <c r="TYJ241" s="210"/>
      <c r="TYK241" s="210"/>
      <c r="TYL241" s="210"/>
      <c r="TYM241" s="210"/>
      <c r="TYN241" s="210"/>
      <c r="TYO241" s="210"/>
      <c r="TYP241" s="210"/>
      <c r="TYQ241" s="210"/>
      <c r="TYR241" s="210"/>
      <c r="TYS241" s="210"/>
      <c r="TYT241" s="210"/>
      <c r="TYU241" s="210"/>
      <c r="TYV241" s="210"/>
      <c r="TYW241" s="210"/>
      <c r="TYX241" s="210"/>
      <c r="TYY241" s="210"/>
      <c r="TYZ241" s="210"/>
      <c r="TZA241" s="210"/>
      <c r="TZB241" s="210"/>
      <c r="TZC241" s="210"/>
      <c r="TZD241" s="210"/>
      <c r="TZE241" s="210"/>
      <c r="TZF241" s="210"/>
      <c r="TZG241" s="210"/>
      <c r="TZH241" s="210"/>
      <c r="TZI241" s="210"/>
      <c r="TZJ241" s="210"/>
      <c r="TZK241" s="210"/>
      <c r="TZL241" s="210"/>
      <c r="TZM241" s="210"/>
      <c r="TZN241" s="210"/>
      <c r="TZO241" s="210"/>
      <c r="TZP241" s="210"/>
      <c r="TZQ241" s="210"/>
      <c r="TZR241" s="210"/>
      <c r="TZS241" s="210"/>
      <c r="TZT241" s="210"/>
      <c r="TZU241" s="210"/>
      <c r="TZV241" s="210"/>
      <c r="TZW241" s="210"/>
      <c r="TZX241" s="210"/>
      <c r="TZY241" s="210"/>
      <c r="TZZ241" s="210"/>
      <c r="UAA241" s="210"/>
      <c r="UAB241" s="210"/>
      <c r="UAC241" s="210"/>
      <c r="UAD241" s="210"/>
      <c r="UAE241" s="210"/>
      <c r="UAF241" s="210"/>
      <c r="UAG241" s="210"/>
      <c r="UAH241" s="210"/>
      <c r="UAI241" s="210"/>
      <c r="UAJ241" s="210"/>
      <c r="UAK241" s="210"/>
      <c r="UAL241" s="210"/>
      <c r="UAM241" s="210"/>
      <c r="UAN241" s="210"/>
      <c r="UAO241" s="210"/>
      <c r="UAP241" s="210"/>
      <c r="UAQ241" s="210"/>
      <c r="UAR241" s="210"/>
      <c r="UAS241" s="210"/>
      <c r="UAT241" s="210"/>
      <c r="UAU241" s="210"/>
      <c r="UAV241" s="210"/>
      <c r="UAW241" s="210"/>
      <c r="UAX241" s="210"/>
      <c r="UAY241" s="210"/>
      <c r="UAZ241" s="210"/>
      <c r="UBA241" s="210"/>
      <c r="UBB241" s="210"/>
      <c r="UBC241" s="210"/>
      <c r="UBD241" s="210"/>
      <c r="UBE241" s="210"/>
      <c r="UBF241" s="210"/>
      <c r="UBG241" s="210"/>
      <c r="UBH241" s="210"/>
      <c r="UBI241" s="210"/>
      <c r="UBJ241" s="210"/>
      <c r="UBK241" s="210"/>
      <c r="UBL241" s="210"/>
      <c r="UBM241" s="210"/>
      <c r="UBN241" s="210"/>
      <c r="UBO241" s="210"/>
      <c r="UBP241" s="210"/>
      <c r="UBQ241" s="210"/>
      <c r="UBR241" s="210"/>
      <c r="UBS241" s="210"/>
      <c r="UBT241" s="210"/>
      <c r="UBU241" s="210"/>
      <c r="UBV241" s="210"/>
      <c r="UBW241" s="210"/>
      <c r="UBX241" s="210"/>
      <c r="UBY241" s="210"/>
      <c r="UBZ241" s="210"/>
      <c r="UCA241" s="210"/>
      <c r="UCB241" s="210"/>
      <c r="UCC241" s="210"/>
      <c r="UCD241" s="210"/>
      <c r="UCE241" s="210"/>
      <c r="UCF241" s="210"/>
      <c r="UCG241" s="210"/>
      <c r="UCH241" s="210"/>
      <c r="UCI241" s="210"/>
      <c r="UCJ241" s="210"/>
      <c r="UCK241" s="210"/>
      <c r="UCL241" s="210"/>
      <c r="UCM241" s="210"/>
      <c r="UCN241" s="210"/>
      <c r="UCO241" s="210"/>
      <c r="UCP241" s="210"/>
      <c r="UCQ241" s="210"/>
      <c r="UCR241" s="210"/>
      <c r="UCS241" s="210"/>
      <c r="UCT241" s="210"/>
      <c r="UCU241" s="210"/>
      <c r="UCV241" s="210"/>
      <c r="UCW241" s="210"/>
      <c r="UCX241" s="210"/>
      <c r="UCY241" s="210"/>
      <c r="UCZ241" s="210"/>
      <c r="UDA241" s="210"/>
      <c r="UDB241" s="210"/>
      <c r="UDC241" s="210"/>
      <c r="UDD241" s="210"/>
      <c r="UDE241" s="210"/>
      <c r="UDF241" s="210"/>
      <c r="UDG241" s="210"/>
      <c r="UDH241" s="210"/>
      <c r="UDI241" s="210"/>
      <c r="UDJ241" s="210"/>
      <c r="UDK241" s="210"/>
      <c r="UDL241" s="210"/>
      <c r="UDM241" s="210"/>
      <c r="UDN241" s="210"/>
      <c r="UDO241" s="210"/>
      <c r="UDP241" s="210"/>
      <c r="UDQ241" s="210"/>
      <c r="UDR241" s="210"/>
      <c r="UDS241" s="210"/>
      <c r="UDT241" s="210"/>
      <c r="UDU241" s="210"/>
      <c r="UDV241" s="210"/>
      <c r="UDW241" s="210"/>
      <c r="UDX241" s="210"/>
      <c r="UDY241" s="210"/>
      <c r="UDZ241" s="210"/>
      <c r="UEA241" s="210"/>
      <c r="UEB241" s="210"/>
      <c r="UEC241" s="210"/>
      <c r="UED241" s="210"/>
      <c r="UEE241" s="210"/>
      <c r="UEF241" s="210"/>
      <c r="UEG241" s="210"/>
      <c r="UEH241" s="210"/>
      <c r="UEI241" s="210"/>
      <c r="UEJ241" s="210"/>
      <c r="UEK241" s="210"/>
      <c r="UEL241" s="210"/>
      <c r="UEM241" s="210"/>
      <c r="UEN241" s="210"/>
      <c r="UEO241" s="210"/>
      <c r="UEP241" s="210"/>
      <c r="UEQ241" s="210"/>
      <c r="UER241" s="210"/>
      <c r="UES241" s="210"/>
      <c r="UET241" s="210"/>
      <c r="UEU241" s="210"/>
      <c r="UEV241" s="210"/>
      <c r="UEW241" s="210"/>
      <c r="UEX241" s="210"/>
      <c r="UEY241" s="210"/>
      <c r="UEZ241" s="210"/>
      <c r="UFA241" s="210"/>
      <c r="UFB241" s="210"/>
      <c r="UFC241" s="210"/>
      <c r="UFD241" s="210"/>
      <c r="UFE241" s="210"/>
      <c r="UFF241" s="210"/>
      <c r="UFG241" s="210"/>
      <c r="UFH241" s="210"/>
      <c r="UFI241" s="210"/>
      <c r="UFJ241" s="210"/>
      <c r="UFK241" s="210"/>
      <c r="UFL241" s="210"/>
      <c r="UFM241" s="210"/>
      <c r="UFN241" s="210"/>
      <c r="UFO241" s="210"/>
      <c r="UFP241" s="210"/>
      <c r="UFQ241" s="210"/>
      <c r="UFR241" s="210"/>
      <c r="UFS241" s="210"/>
      <c r="UFT241" s="210"/>
      <c r="UFU241" s="210"/>
      <c r="UFV241" s="210"/>
      <c r="UFW241" s="210"/>
      <c r="UFX241" s="210"/>
      <c r="UFY241" s="210"/>
      <c r="UFZ241" s="210"/>
      <c r="UGA241" s="210"/>
      <c r="UGB241" s="210"/>
      <c r="UGC241" s="210"/>
      <c r="UGD241" s="210"/>
      <c r="UGE241" s="210"/>
      <c r="UGF241" s="210"/>
      <c r="UGG241" s="210"/>
      <c r="UGH241" s="210"/>
      <c r="UGI241" s="210"/>
      <c r="UGJ241" s="210"/>
      <c r="UGK241" s="210"/>
      <c r="UGL241" s="210"/>
      <c r="UGM241" s="210"/>
      <c r="UGN241" s="210"/>
      <c r="UGO241" s="210"/>
      <c r="UGP241" s="210"/>
      <c r="UGQ241" s="210"/>
      <c r="UGR241" s="210"/>
      <c r="UGS241" s="210"/>
      <c r="UGT241" s="210"/>
      <c r="UGU241" s="210"/>
      <c r="UGV241" s="210"/>
      <c r="UGW241" s="210"/>
      <c r="UGX241" s="210"/>
      <c r="UGY241" s="210"/>
      <c r="UGZ241" s="210"/>
      <c r="UHA241" s="210"/>
      <c r="UHB241" s="210"/>
      <c r="UHC241" s="210"/>
      <c r="UHD241" s="210"/>
      <c r="UHE241" s="210"/>
      <c r="UHF241" s="210"/>
      <c r="UHG241" s="210"/>
      <c r="UHH241" s="210"/>
      <c r="UHI241" s="210"/>
      <c r="UHJ241" s="210"/>
      <c r="UHK241" s="210"/>
      <c r="UHL241" s="210"/>
      <c r="UHM241" s="210"/>
      <c r="UHN241" s="210"/>
      <c r="UHO241" s="210"/>
      <c r="UHP241" s="210"/>
      <c r="UHQ241" s="210"/>
      <c r="UHR241" s="210"/>
      <c r="UHS241" s="210"/>
      <c r="UHT241" s="210"/>
      <c r="UHU241" s="210"/>
      <c r="UHV241" s="210"/>
      <c r="UHW241" s="210"/>
      <c r="UHX241" s="210"/>
      <c r="UHY241" s="210"/>
      <c r="UHZ241" s="210"/>
      <c r="UIA241" s="210"/>
      <c r="UIB241" s="210"/>
      <c r="UIC241" s="210"/>
      <c r="UID241" s="210"/>
      <c r="UIE241" s="210"/>
      <c r="UIF241" s="210"/>
      <c r="UIG241" s="210"/>
      <c r="UIH241" s="210"/>
      <c r="UII241" s="210"/>
      <c r="UIJ241" s="210"/>
      <c r="UIK241" s="210"/>
      <c r="UIL241" s="210"/>
      <c r="UIM241" s="210"/>
      <c r="UIN241" s="210"/>
      <c r="UIO241" s="210"/>
      <c r="UIP241" s="210"/>
      <c r="UIQ241" s="210"/>
      <c r="UIR241" s="210"/>
      <c r="UIS241" s="210"/>
      <c r="UIT241" s="210"/>
      <c r="UIU241" s="210"/>
      <c r="UIV241" s="210"/>
      <c r="UIW241" s="210"/>
      <c r="UIX241" s="210"/>
      <c r="UIY241" s="210"/>
      <c r="UIZ241" s="210"/>
      <c r="UJA241" s="210"/>
      <c r="UJB241" s="210"/>
      <c r="UJC241" s="210"/>
      <c r="UJD241" s="210"/>
      <c r="UJE241" s="210"/>
      <c r="UJF241" s="210"/>
      <c r="UJG241" s="210"/>
      <c r="UJH241" s="210"/>
      <c r="UJI241" s="210"/>
      <c r="UJJ241" s="210"/>
      <c r="UJK241" s="210"/>
      <c r="UJL241" s="210"/>
      <c r="UJM241" s="210"/>
      <c r="UJN241" s="210"/>
      <c r="UJO241" s="210"/>
      <c r="UJP241" s="210"/>
      <c r="UJQ241" s="210"/>
      <c r="UJR241" s="210"/>
      <c r="UJS241" s="210"/>
      <c r="UJT241" s="210"/>
      <c r="UJU241" s="210"/>
      <c r="UJV241" s="210"/>
      <c r="UJW241" s="210"/>
      <c r="UJX241" s="210"/>
      <c r="UJY241" s="210"/>
      <c r="UJZ241" s="210"/>
      <c r="UKA241" s="210"/>
      <c r="UKB241" s="210"/>
      <c r="UKC241" s="210"/>
      <c r="UKD241" s="210"/>
      <c r="UKE241" s="210"/>
      <c r="UKF241" s="210"/>
      <c r="UKG241" s="210"/>
      <c r="UKH241" s="210"/>
      <c r="UKI241" s="210"/>
      <c r="UKJ241" s="210"/>
      <c r="UKK241" s="210"/>
      <c r="UKL241" s="210"/>
      <c r="UKM241" s="210"/>
      <c r="UKN241" s="210"/>
      <c r="UKO241" s="210"/>
      <c r="UKP241" s="210"/>
      <c r="UKQ241" s="210"/>
      <c r="UKR241" s="210"/>
      <c r="UKS241" s="210"/>
      <c r="UKT241" s="210"/>
      <c r="UKU241" s="210"/>
      <c r="UKV241" s="210"/>
      <c r="UKW241" s="210"/>
      <c r="UKX241" s="210"/>
      <c r="UKY241" s="210"/>
      <c r="UKZ241" s="210"/>
      <c r="ULA241" s="210"/>
      <c r="ULB241" s="210"/>
      <c r="ULC241" s="210"/>
      <c r="ULD241" s="210"/>
      <c r="ULE241" s="210"/>
      <c r="ULF241" s="210"/>
      <c r="ULG241" s="210"/>
      <c r="ULH241" s="210"/>
      <c r="ULI241" s="210"/>
      <c r="ULJ241" s="210"/>
      <c r="ULK241" s="210"/>
      <c r="ULL241" s="210"/>
      <c r="ULM241" s="210"/>
      <c r="ULN241" s="210"/>
      <c r="ULO241" s="210"/>
      <c r="ULP241" s="210"/>
      <c r="ULQ241" s="210"/>
      <c r="ULR241" s="210"/>
      <c r="ULS241" s="210"/>
      <c r="ULT241" s="210"/>
      <c r="ULU241" s="210"/>
      <c r="ULV241" s="210"/>
      <c r="ULW241" s="210"/>
      <c r="ULX241" s="210"/>
      <c r="ULY241" s="210"/>
      <c r="ULZ241" s="210"/>
      <c r="UMA241" s="210"/>
      <c r="UMB241" s="210"/>
      <c r="UMC241" s="210"/>
      <c r="UMD241" s="210"/>
      <c r="UME241" s="210"/>
      <c r="UMF241" s="210"/>
      <c r="UMG241" s="210"/>
      <c r="UMH241" s="210"/>
      <c r="UMI241" s="210"/>
      <c r="UMJ241" s="210"/>
      <c r="UMK241" s="210"/>
      <c r="UML241" s="210"/>
      <c r="UMM241" s="210"/>
      <c r="UMN241" s="210"/>
      <c r="UMO241" s="210"/>
      <c r="UMP241" s="210"/>
      <c r="UMQ241" s="210"/>
      <c r="UMR241" s="210"/>
      <c r="UMS241" s="210"/>
      <c r="UMT241" s="210"/>
      <c r="UMU241" s="210"/>
      <c r="UMV241" s="210"/>
      <c r="UMW241" s="210"/>
      <c r="UMX241" s="210"/>
      <c r="UMY241" s="210"/>
      <c r="UMZ241" s="210"/>
      <c r="UNA241" s="210"/>
      <c r="UNB241" s="210"/>
      <c r="UNC241" s="210"/>
      <c r="UND241" s="210"/>
      <c r="UNE241" s="210"/>
      <c r="UNF241" s="210"/>
      <c r="UNG241" s="210"/>
      <c r="UNH241" s="210"/>
      <c r="UNI241" s="210"/>
      <c r="UNJ241" s="210"/>
      <c r="UNK241" s="210"/>
      <c r="UNL241" s="210"/>
      <c r="UNM241" s="210"/>
      <c r="UNN241" s="210"/>
      <c r="UNO241" s="210"/>
      <c r="UNP241" s="210"/>
      <c r="UNQ241" s="210"/>
      <c r="UNR241" s="210"/>
      <c r="UNS241" s="210"/>
      <c r="UNT241" s="210"/>
      <c r="UNU241" s="210"/>
      <c r="UNV241" s="210"/>
      <c r="UNW241" s="210"/>
      <c r="UNX241" s="210"/>
      <c r="UNY241" s="210"/>
      <c r="UNZ241" s="210"/>
      <c r="UOA241" s="210"/>
      <c r="UOB241" s="210"/>
      <c r="UOC241" s="210"/>
      <c r="UOD241" s="210"/>
      <c r="UOE241" s="210"/>
      <c r="UOF241" s="210"/>
      <c r="UOG241" s="210"/>
      <c r="UOH241" s="210"/>
      <c r="UOI241" s="210"/>
      <c r="UOJ241" s="210"/>
      <c r="UOK241" s="210"/>
      <c r="UOL241" s="210"/>
      <c r="UOM241" s="210"/>
      <c r="UON241" s="210"/>
      <c r="UOO241" s="210"/>
      <c r="UOP241" s="210"/>
      <c r="UOQ241" s="210"/>
      <c r="UOR241" s="210"/>
      <c r="UOS241" s="210"/>
      <c r="UOT241" s="210"/>
      <c r="UOU241" s="210"/>
      <c r="UOV241" s="210"/>
      <c r="UOW241" s="210"/>
      <c r="UOX241" s="210"/>
      <c r="UOY241" s="210"/>
      <c r="UOZ241" s="210"/>
      <c r="UPA241" s="210"/>
      <c r="UPB241" s="210"/>
      <c r="UPC241" s="210"/>
      <c r="UPD241" s="210"/>
      <c r="UPE241" s="210"/>
      <c r="UPF241" s="210"/>
      <c r="UPG241" s="210"/>
      <c r="UPH241" s="210"/>
      <c r="UPI241" s="210"/>
      <c r="UPJ241" s="210"/>
      <c r="UPK241" s="210"/>
      <c r="UPL241" s="210"/>
      <c r="UPM241" s="210"/>
      <c r="UPN241" s="210"/>
      <c r="UPO241" s="210"/>
      <c r="UPP241" s="210"/>
      <c r="UPQ241" s="210"/>
      <c r="UPR241" s="210"/>
      <c r="UPS241" s="210"/>
      <c r="UPT241" s="210"/>
      <c r="UPU241" s="210"/>
      <c r="UPV241" s="210"/>
      <c r="UPW241" s="210"/>
      <c r="UPX241" s="210"/>
      <c r="UPY241" s="210"/>
      <c r="UPZ241" s="210"/>
      <c r="UQA241" s="210"/>
      <c r="UQB241" s="210"/>
      <c r="UQC241" s="210"/>
      <c r="UQD241" s="210"/>
      <c r="UQE241" s="210"/>
      <c r="UQF241" s="210"/>
      <c r="UQG241" s="210"/>
      <c r="UQH241" s="210"/>
      <c r="UQI241" s="210"/>
      <c r="UQJ241" s="210"/>
      <c r="UQK241" s="210"/>
      <c r="UQL241" s="210"/>
      <c r="UQM241" s="210"/>
      <c r="UQN241" s="210"/>
      <c r="UQO241" s="210"/>
      <c r="UQP241" s="210"/>
      <c r="UQQ241" s="210"/>
      <c r="UQR241" s="210"/>
      <c r="UQS241" s="210"/>
      <c r="UQT241" s="210"/>
      <c r="UQU241" s="210"/>
      <c r="UQV241" s="210"/>
      <c r="UQW241" s="210"/>
      <c r="UQX241" s="210"/>
      <c r="UQY241" s="210"/>
      <c r="UQZ241" s="210"/>
      <c r="URA241" s="210"/>
      <c r="URB241" s="210"/>
      <c r="URC241" s="210"/>
      <c r="URD241" s="210"/>
      <c r="URE241" s="210"/>
      <c r="URF241" s="210"/>
      <c r="URG241" s="210"/>
      <c r="URH241" s="210"/>
      <c r="URI241" s="210"/>
      <c r="URJ241" s="210"/>
      <c r="URK241" s="210"/>
      <c r="URL241" s="210"/>
      <c r="URM241" s="210"/>
      <c r="URN241" s="210"/>
      <c r="URO241" s="210"/>
      <c r="URP241" s="210"/>
      <c r="URQ241" s="210"/>
      <c r="URR241" s="210"/>
      <c r="URS241" s="210"/>
      <c r="URT241" s="210"/>
      <c r="URU241" s="210"/>
      <c r="URV241" s="210"/>
      <c r="URW241" s="210"/>
      <c r="URX241" s="210"/>
      <c r="URY241" s="210"/>
      <c r="URZ241" s="210"/>
      <c r="USA241" s="210"/>
      <c r="USB241" s="210"/>
      <c r="USC241" s="210"/>
      <c r="USD241" s="210"/>
      <c r="USE241" s="210"/>
      <c r="USF241" s="210"/>
      <c r="USG241" s="210"/>
      <c r="USH241" s="210"/>
      <c r="USI241" s="210"/>
      <c r="USJ241" s="210"/>
      <c r="USK241" s="210"/>
      <c r="USL241" s="210"/>
      <c r="USM241" s="210"/>
      <c r="USN241" s="210"/>
      <c r="USO241" s="210"/>
      <c r="USP241" s="210"/>
      <c r="USQ241" s="210"/>
      <c r="USR241" s="210"/>
      <c r="USS241" s="210"/>
      <c r="UST241" s="210"/>
      <c r="USU241" s="210"/>
      <c r="USV241" s="210"/>
      <c r="USW241" s="210"/>
      <c r="USX241" s="210"/>
      <c r="USY241" s="210"/>
      <c r="USZ241" s="210"/>
      <c r="UTA241" s="210"/>
      <c r="UTB241" s="210"/>
      <c r="UTC241" s="210"/>
      <c r="UTD241" s="210"/>
      <c r="UTE241" s="210"/>
      <c r="UTF241" s="210"/>
      <c r="UTG241" s="210"/>
      <c r="UTH241" s="210"/>
      <c r="UTI241" s="210"/>
      <c r="UTJ241" s="210"/>
      <c r="UTK241" s="210"/>
      <c r="UTL241" s="210"/>
      <c r="UTM241" s="210"/>
      <c r="UTN241" s="210"/>
      <c r="UTO241" s="210"/>
      <c r="UTP241" s="210"/>
      <c r="UTQ241" s="210"/>
      <c r="UTR241" s="210"/>
      <c r="UTS241" s="210"/>
      <c r="UTT241" s="210"/>
      <c r="UTU241" s="210"/>
      <c r="UTV241" s="210"/>
      <c r="UTW241" s="210"/>
      <c r="UTX241" s="210"/>
      <c r="UTY241" s="210"/>
      <c r="UTZ241" s="210"/>
      <c r="UUA241" s="210"/>
      <c r="UUB241" s="210"/>
      <c r="UUC241" s="210"/>
      <c r="UUD241" s="210"/>
      <c r="UUE241" s="210"/>
      <c r="UUF241" s="210"/>
      <c r="UUG241" s="210"/>
      <c r="UUH241" s="210"/>
      <c r="UUI241" s="210"/>
      <c r="UUJ241" s="210"/>
      <c r="UUK241" s="210"/>
      <c r="UUL241" s="210"/>
      <c r="UUM241" s="210"/>
      <c r="UUN241" s="210"/>
      <c r="UUO241" s="210"/>
      <c r="UUP241" s="210"/>
      <c r="UUQ241" s="210"/>
      <c r="UUR241" s="210"/>
      <c r="UUS241" s="210"/>
      <c r="UUT241" s="210"/>
      <c r="UUU241" s="210"/>
      <c r="UUV241" s="210"/>
      <c r="UUW241" s="210"/>
      <c r="UUX241" s="210"/>
      <c r="UUY241" s="210"/>
      <c r="UUZ241" s="210"/>
      <c r="UVA241" s="210"/>
      <c r="UVB241" s="210"/>
      <c r="UVC241" s="210"/>
      <c r="UVD241" s="210"/>
      <c r="UVE241" s="210"/>
      <c r="UVF241" s="210"/>
      <c r="UVG241" s="210"/>
      <c r="UVH241" s="210"/>
      <c r="UVI241" s="210"/>
      <c r="UVJ241" s="210"/>
      <c r="UVK241" s="210"/>
      <c r="UVL241" s="210"/>
      <c r="UVM241" s="210"/>
      <c r="UVN241" s="210"/>
      <c r="UVO241" s="210"/>
      <c r="UVP241" s="210"/>
      <c r="UVQ241" s="210"/>
      <c r="UVR241" s="210"/>
      <c r="UVS241" s="210"/>
      <c r="UVT241" s="210"/>
      <c r="UVU241" s="210"/>
      <c r="UVV241" s="210"/>
      <c r="UVW241" s="210"/>
      <c r="UVX241" s="210"/>
      <c r="UVY241" s="210"/>
      <c r="UVZ241" s="210"/>
      <c r="UWA241" s="210"/>
      <c r="UWB241" s="210"/>
      <c r="UWC241" s="210"/>
      <c r="UWD241" s="210"/>
      <c r="UWE241" s="210"/>
      <c r="UWF241" s="210"/>
      <c r="UWG241" s="210"/>
      <c r="UWH241" s="210"/>
      <c r="UWI241" s="210"/>
      <c r="UWJ241" s="210"/>
      <c r="UWK241" s="210"/>
      <c r="UWL241" s="210"/>
      <c r="UWM241" s="210"/>
      <c r="UWN241" s="210"/>
      <c r="UWO241" s="210"/>
      <c r="UWP241" s="210"/>
      <c r="UWQ241" s="210"/>
      <c r="UWR241" s="210"/>
      <c r="UWS241" s="210"/>
      <c r="UWT241" s="210"/>
      <c r="UWU241" s="210"/>
      <c r="UWV241" s="210"/>
      <c r="UWW241" s="210"/>
      <c r="UWX241" s="210"/>
      <c r="UWY241" s="210"/>
      <c r="UWZ241" s="210"/>
      <c r="UXA241" s="210"/>
      <c r="UXB241" s="210"/>
      <c r="UXC241" s="210"/>
      <c r="UXD241" s="210"/>
      <c r="UXE241" s="210"/>
      <c r="UXF241" s="210"/>
      <c r="UXG241" s="210"/>
      <c r="UXH241" s="210"/>
      <c r="UXI241" s="210"/>
      <c r="UXJ241" s="210"/>
      <c r="UXK241" s="210"/>
      <c r="UXL241" s="210"/>
      <c r="UXM241" s="210"/>
      <c r="UXN241" s="210"/>
      <c r="UXO241" s="210"/>
      <c r="UXP241" s="210"/>
      <c r="UXQ241" s="210"/>
      <c r="UXR241" s="210"/>
      <c r="UXS241" s="210"/>
      <c r="UXT241" s="210"/>
      <c r="UXU241" s="210"/>
      <c r="UXV241" s="210"/>
      <c r="UXW241" s="210"/>
      <c r="UXX241" s="210"/>
      <c r="UXY241" s="210"/>
      <c r="UXZ241" s="210"/>
      <c r="UYA241" s="210"/>
      <c r="UYB241" s="210"/>
      <c r="UYC241" s="210"/>
      <c r="UYD241" s="210"/>
      <c r="UYE241" s="210"/>
      <c r="UYF241" s="210"/>
      <c r="UYG241" s="210"/>
      <c r="UYH241" s="210"/>
      <c r="UYI241" s="210"/>
      <c r="UYJ241" s="210"/>
      <c r="UYK241" s="210"/>
      <c r="UYL241" s="210"/>
      <c r="UYM241" s="210"/>
      <c r="UYN241" s="210"/>
      <c r="UYO241" s="210"/>
      <c r="UYP241" s="210"/>
      <c r="UYQ241" s="210"/>
      <c r="UYR241" s="210"/>
      <c r="UYS241" s="210"/>
      <c r="UYT241" s="210"/>
      <c r="UYU241" s="210"/>
      <c r="UYV241" s="210"/>
      <c r="UYW241" s="210"/>
      <c r="UYX241" s="210"/>
      <c r="UYY241" s="210"/>
      <c r="UYZ241" s="210"/>
      <c r="UZA241" s="210"/>
      <c r="UZB241" s="210"/>
      <c r="UZC241" s="210"/>
      <c r="UZD241" s="210"/>
      <c r="UZE241" s="210"/>
      <c r="UZF241" s="210"/>
      <c r="UZG241" s="210"/>
      <c r="UZH241" s="210"/>
      <c r="UZI241" s="210"/>
      <c r="UZJ241" s="210"/>
      <c r="UZK241" s="210"/>
      <c r="UZL241" s="210"/>
      <c r="UZM241" s="210"/>
      <c r="UZN241" s="210"/>
      <c r="UZO241" s="210"/>
      <c r="UZP241" s="210"/>
      <c r="UZQ241" s="210"/>
      <c r="UZR241" s="210"/>
      <c r="UZS241" s="210"/>
      <c r="UZT241" s="210"/>
      <c r="UZU241" s="210"/>
      <c r="UZV241" s="210"/>
      <c r="UZW241" s="210"/>
      <c r="UZX241" s="210"/>
      <c r="UZY241" s="210"/>
      <c r="UZZ241" s="210"/>
      <c r="VAA241" s="210"/>
      <c r="VAB241" s="210"/>
      <c r="VAC241" s="210"/>
      <c r="VAD241" s="210"/>
      <c r="VAE241" s="210"/>
      <c r="VAF241" s="210"/>
      <c r="VAG241" s="210"/>
      <c r="VAH241" s="210"/>
      <c r="VAI241" s="210"/>
      <c r="VAJ241" s="210"/>
      <c r="VAK241" s="210"/>
      <c r="VAL241" s="210"/>
      <c r="VAM241" s="210"/>
      <c r="VAN241" s="210"/>
      <c r="VAO241" s="210"/>
      <c r="VAP241" s="210"/>
      <c r="VAQ241" s="210"/>
      <c r="VAR241" s="210"/>
      <c r="VAS241" s="210"/>
      <c r="VAT241" s="210"/>
      <c r="VAU241" s="210"/>
      <c r="VAV241" s="210"/>
      <c r="VAW241" s="210"/>
      <c r="VAX241" s="210"/>
      <c r="VAY241" s="210"/>
      <c r="VAZ241" s="210"/>
      <c r="VBA241" s="210"/>
      <c r="VBB241" s="210"/>
      <c r="VBC241" s="210"/>
      <c r="VBD241" s="210"/>
      <c r="VBE241" s="210"/>
      <c r="VBF241" s="210"/>
      <c r="VBG241" s="210"/>
      <c r="VBH241" s="210"/>
      <c r="VBI241" s="210"/>
      <c r="VBJ241" s="210"/>
      <c r="VBK241" s="210"/>
      <c r="VBL241" s="210"/>
      <c r="VBM241" s="210"/>
      <c r="VBN241" s="210"/>
      <c r="VBO241" s="210"/>
      <c r="VBP241" s="210"/>
      <c r="VBQ241" s="210"/>
      <c r="VBR241" s="210"/>
      <c r="VBS241" s="210"/>
      <c r="VBT241" s="210"/>
      <c r="VBU241" s="210"/>
      <c r="VBV241" s="210"/>
      <c r="VBW241" s="210"/>
      <c r="VBX241" s="210"/>
      <c r="VBY241" s="210"/>
      <c r="VBZ241" s="210"/>
      <c r="VCA241" s="210"/>
      <c r="VCB241" s="210"/>
      <c r="VCC241" s="210"/>
      <c r="VCD241" s="210"/>
      <c r="VCE241" s="210"/>
      <c r="VCF241" s="210"/>
      <c r="VCG241" s="210"/>
      <c r="VCH241" s="210"/>
      <c r="VCI241" s="210"/>
      <c r="VCJ241" s="210"/>
      <c r="VCK241" s="210"/>
      <c r="VCL241" s="210"/>
      <c r="VCM241" s="210"/>
      <c r="VCN241" s="210"/>
      <c r="VCO241" s="210"/>
      <c r="VCP241" s="210"/>
      <c r="VCQ241" s="210"/>
      <c r="VCR241" s="210"/>
      <c r="VCS241" s="210"/>
      <c r="VCT241" s="210"/>
      <c r="VCU241" s="210"/>
      <c r="VCV241" s="210"/>
      <c r="VCW241" s="210"/>
      <c r="VCX241" s="210"/>
      <c r="VCY241" s="210"/>
      <c r="VCZ241" s="210"/>
      <c r="VDA241" s="210"/>
      <c r="VDB241" s="210"/>
      <c r="VDC241" s="210"/>
      <c r="VDD241" s="210"/>
      <c r="VDE241" s="210"/>
      <c r="VDF241" s="210"/>
      <c r="VDG241" s="210"/>
      <c r="VDH241" s="210"/>
      <c r="VDI241" s="210"/>
      <c r="VDJ241" s="210"/>
      <c r="VDK241" s="210"/>
      <c r="VDL241" s="210"/>
      <c r="VDM241" s="210"/>
      <c r="VDN241" s="210"/>
      <c r="VDO241" s="210"/>
      <c r="VDP241" s="210"/>
      <c r="VDQ241" s="210"/>
      <c r="VDR241" s="210"/>
      <c r="VDS241" s="210"/>
      <c r="VDT241" s="210"/>
      <c r="VDU241" s="210"/>
      <c r="VDV241" s="210"/>
      <c r="VDW241" s="210"/>
      <c r="VDX241" s="210"/>
      <c r="VDY241" s="210"/>
      <c r="VDZ241" s="210"/>
      <c r="VEA241" s="210"/>
      <c r="VEB241" s="210"/>
      <c r="VEC241" s="210"/>
      <c r="VED241" s="210"/>
      <c r="VEE241" s="210"/>
      <c r="VEF241" s="210"/>
      <c r="VEG241" s="210"/>
      <c r="VEH241" s="210"/>
      <c r="VEI241" s="210"/>
      <c r="VEJ241" s="210"/>
      <c r="VEK241" s="210"/>
      <c r="VEL241" s="210"/>
      <c r="VEM241" s="210"/>
      <c r="VEN241" s="210"/>
      <c r="VEO241" s="210"/>
      <c r="VEP241" s="210"/>
      <c r="VEQ241" s="210"/>
      <c r="VER241" s="210"/>
      <c r="VES241" s="210"/>
      <c r="VET241" s="210"/>
      <c r="VEU241" s="210"/>
      <c r="VEV241" s="210"/>
      <c r="VEW241" s="210"/>
      <c r="VEX241" s="210"/>
      <c r="VEY241" s="210"/>
      <c r="VEZ241" s="210"/>
      <c r="VFA241" s="210"/>
      <c r="VFB241" s="210"/>
      <c r="VFC241" s="210"/>
      <c r="VFD241" s="210"/>
      <c r="VFE241" s="210"/>
      <c r="VFF241" s="210"/>
      <c r="VFG241" s="210"/>
      <c r="VFH241" s="210"/>
      <c r="VFI241" s="210"/>
      <c r="VFJ241" s="210"/>
      <c r="VFK241" s="210"/>
      <c r="VFL241" s="210"/>
      <c r="VFM241" s="210"/>
      <c r="VFN241" s="210"/>
      <c r="VFO241" s="210"/>
      <c r="VFP241" s="210"/>
      <c r="VFQ241" s="210"/>
      <c r="VFR241" s="210"/>
      <c r="VFS241" s="210"/>
      <c r="VFT241" s="210"/>
      <c r="VFU241" s="210"/>
      <c r="VFV241" s="210"/>
      <c r="VFW241" s="210"/>
      <c r="VFX241" s="210"/>
      <c r="VFY241" s="210"/>
      <c r="VFZ241" s="210"/>
      <c r="VGA241" s="210"/>
      <c r="VGB241" s="210"/>
      <c r="VGC241" s="210"/>
      <c r="VGD241" s="210"/>
      <c r="VGE241" s="210"/>
      <c r="VGF241" s="210"/>
      <c r="VGG241" s="210"/>
      <c r="VGH241" s="210"/>
      <c r="VGI241" s="210"/>
      <c r="VGJ241" s="210"/>
      <c r="VGK241" s="210"/>
      <c r="VGL241" s="210"/>
      <c r="VGM241" s="210"/>
      <c r="VGN241" s="210"/>
      <c r="VGO241" s="210"/>
      <c r="VGP241" s="210"/>
      <c r="VGQ241" s="210"/>
      <c r="VGR241" s="210"/>
      <c r="VGS241" s="210"/>
      <c r="VGT241" s="210"/>
      <c r="VGU241" s="210"/>
      <c r="VGV241" s="210"/>
      <c r="VGW241" s="210"/>
      <c r="VGX241" s="210"/>
      <c r="VGY241" s="210"/>
      <c r="VGZ241" s="210"/>
      <c r="VHA241" s="210"/>
      <c r="VHB241" s="210"/>
      <c r="VHC241" s="210"/>
      <c r="VHD241" s="210"/>
      <c r="VHE241" s="210"/>
      <c r="VHF241" s="210"/>
      <c r="VHG241" s="210"/>
      <c r="VHH241" s="210"/>
      <c r="VHI241" s="210"/>
      <c r="VHJ241" s="210"/>
      <c r="VHK241" s="210"/>
      <c r="VHL241" s="210"/>
      <c r="VHM241" s="210"/>
      <c r="VHN241" s="210"/>
      <c r="VHO241" s="210"/>
      <c r="VHP241" s="210"/>
      <c r="VHQ241" s="210"/>
      <c r="VHR241" s="210"/>
      <c r="VHS241" s="210"/>
      <c r="VHT241" s="210"/>
      <c r="VHU241" s="210"/>
      <c r="VHV241" s="210"/>
      <c r="VHW241" s="210"/>
      <c r="VHX241" s="210"/>
      <c r="VHY241" s="210"/>
      <c r="VHZ241" s="210"/>
      <c r="VIA241" s="210"/>
      <c r="VIB241" s="210"/>
      <c r="VIC241" s="210"/>
      <c r="VID241" s="210"/>
      <c r="VIE241" s="210"/>
      <c r="VIF241" s="210"/>
      <c r="VIG241" s="210"/>
      <c r="VIH241" s="210"/>
      <c r="VII241" s="210"/>
      <c r="VIJ241" s="210"/>
      <c r="VIK241" s="210"/>
      <c r="VIL241" s="210"/>
      <c r="VIM241" s="210"/>
      <c r="VIN241" s="210"/>
      <c r="VIO241" s="210"/>
      <c r="VIP241" s="210"/>
      <c r="VIQ241" s="210"/>
      <c r="VIR241" s="210"/>
      <c r="VIS241" s="210"/>
      <c r="VIT241" s="210"/>
      <c r="VIU241" s="210"/>
      <c r="VIV241" s="210"/>
      <c r="VIW241" s="210"/>
      <c r="VIX241" s="210"/>
      <c r="VIY241" s="210"/>
      <c r="VIZ241" s="210"/>
      <c r="VJA241" s="210"/>
      <c r="VJB241" s="210"/>
      <c r="VJC241" s="210"/>
      <c r="VJD241" s="210"/>
      <c r="VJE241" s="210"/>
      <c r="VJF241" s="210"/>
      <c r="VJG241" s="210"/>
      <c r="VJH241" s="210"/>
      <c r="VJI241" s="210"/>
      <c r="VJJ241" s="210"/>
      <c r="VJK241" s="210"/>
      <c r="VJL241" s="210"/>
      <c r="VJM241" s="210"/>
      <c r="VJN241" s="210"/>
      <c r="VJO241" s="210"/>
      <c r="VJP241" s="210"/>
      <c r="VJQ241" s="210"/>
      <c r="VJR241" s="210"/>
      <c r="VJS241" s="210"/>
      <c r="VJT241" s="210"/>
      <c r="VJU241" s="210"/>
      <c r="VJV241" s="210"/>
      <c r="VJW241" s="210"/>
      <c r="VJX241" s="210"/>
      <c r="VJY241" s="210"/>
      <c r="VJZ241" s="210"/>
      <c r="VKA241" s="210"/>
      <c r="VKB241" s="210"/>
      <c r="VKC241" s="210"/>
      <c r="VKD241" s="210"/>
      <c r="VKE241" s="210"/>
      <c r="VKF241" s="210"/>
      <c r="VKG241" s="210"/>
      <c r="VKH241" s="210"/>
      <c r="VKI241" s="210"/>
      <c r="VKJ241" s="210"/>
      <c r="VKK241" s="210"/>
      <c r="VKL241" s="210"/>
      <c r="VKM241" s="210"/>
      <c r="VKN241" s="210"/>
      <c r="VKO241" s="210"/>
      <c r="VKP241" s="210"/>
      <c r="VKQ241" s="210"/>
      <c r="VKR241" s="210"/>
      <c r="VKS241" s="210"/>
      <c r="VKT241" s="210"/>
      <c r="VKU241" s="210"/>
      <c r="VKV241" s="210"/>
      <c r="VKW241" s="210"/>
      <c r="VKX241" s="210"/>
      <c r="VKY241" s="210"/>
      <c r="VKZ241" s="210"/>
      <c r="VLA241" s="210"/>
      <c r="VLB241" s="210"/>
      <c r="VLC241" s="210"/>
      <c r="VLD241" s="210"/>
      <c r="VLE241" s="210"/>
      <c r="VLF241" s="210"/>
      <c r="VLG241" s="210"/>
      <c r="VLH241" s="210"/>
      <c r="VLI241" s="210"/>
      <c r="VLJ241" s="210"/>
      <c r="VLK241" s="210"/>
      <c r="VLL241" s="210"/>
      <c r="VLM241" s="210"/>
      <c r="VLN241" s="210"/>
      <c r="VLO241" s="210"/>
      <c r="VLP241" s="210"/>
      <c r="VLQ241" s="210"/>
      <c r="VLR241" s="210"/>
      <c r="VLS241" s="210"/>
      <c r="VLT241" s="210"/>
      <c r="VLU241" s="210"/>
      <c r="VLV241" s="210"/>
      <c r="VLW241" s="210"/>
      <c r="VLX241" s="210"/>
      <c r="VLY241" s="210"/>
      <c r="VLZ241" s="210"/>
      <c r="VMA241" s="210"/>
      <c r="VMB241" s="210"/>
      <c r="VMC241" s="210"/>
      <c r="VMD241" s="210"/>
      <c r="VME241" s="210"/>
      <c r="VMF241" s="210"/>
      <c r="VMG241" s="210"/>
      <c r="VMH241" s="210"/>
      <c r="VMI241" s="210"/>
      <c r="VMJ241" s="210"/>
      <c r="VMK241" s="210"/>
      <c r="VML241" s="210"/>
      <c r="VMM241" s="210"/>
      <c r="VMN241" s="210"/>
      <c r="VMO241" s="210"/>
      <c r="VMP241" s="210"/>
      <c r="VMQ241" s="210"/>
      <c r="VMR241" s="210"/>
      <c r="VMS241" s="210"/>
      <c r="VMT241" s="210"/>
      <c r="VMU241" s="210"/>
      <c r="VMV241" s="210"/>
      <c r="VMW241" s="210"/>
      <c r="VMX241" s="210"/>
      <c r="VMY241" s="210"/>
      <c r="VMZ241" s="210"/>
      <c r="VNA241" s="210"/>
      <c r="VNB241" s="210"/>
      <c r="VNC241" s="210"/>
      <c r="VND241" s="210"/>
      <c r="VNE241" s="210"/>
      <c r="VNF241" s="210"/>
      <c r="VNG241" s="210"/>
      <c r="VNH241" s="210"/>
      <c r="VNI241" s="210"/>
      <c r="VNJ241" s="210"/>
      <c r="VNK241" s="210"/>
      <c r="VNL241" s="210"/>
      <c r="VNM241" s="210"/>
      <c r="VNN241" s="210"/>
      <c r="VNO241" s="210"/>
      <c r="VNP241" s="210"/>
      <c r="VNQ241" s="210"/>
      <c r="VNR241" s="210"/>
      <c r="VNS241" s="210"/>
      <c r="VNT241" s="210"/>
      <c r="VNU241" s="210"/>
      <c r="VNV241" s="210"/>
      <c r="VNW241" s="210"/>
      <c r="VNX241" s="210"/>
      <c r="VNY241" s="210"/>
      <c r="VNZ241" s="210"/>
      <c r="VOA241" s="210"/>
      <c r="VOB241" s="210"/>
      <c r="VOC241" s="210"/>
      <c r="VOD241" s="210"/>
      <c r="VOE241" s="210"/>
      <c r="VOF241" s="210"/>
      <c r="VOG241" s="210"/>
      <c r="VOH241" s="210"/>
      <c r="VOI241" s="210"/>
      <c r="VOJ241" s="210"/>
      <c r="VOK241" s="210"/>
      <c r="VOL241" s="210"/>
      <c r="VOM241" s="210"/>
      <c r="VON241" s="210"/>
      <c r="VOO241" s="210"/>
      <c r="VOP241" s="210"/>
      <c r="VOQ241" s="210"/>
      <c r="VOR241" s="210"/>
      <c r="VOS241" s="210"/>
      <c r="VOT241" s="210"/>
      <c r="VOU241" s="210"/>
      <c r="VOV241" s="210"/>
      <c r="VOW241" s="210"/>
      <c r="VOX241" s="210"/>
      <c r="VOY241" s="210"/>
      <c r="VOZ241" s="210"/>
      <c r="VPA241" s="210"/>
      <c r="VPB241" s="210"/>
      <c r="VPC241" s="210"/>
      <c r="VPD241" s="210"/>
      <c r="VPE241" s="210"/>
      <c r="VPF241" s="210"/>
      <c r="VPG241" s="210"/>
      <c r="VPH241" s="210"/>
      <c r="VPI241" s="210"/>
      <c r="VPJ241" s="210"/>
      <c r="VPK241" s="210"/>
      <c r="VPL241" s="210"/>
      <c r="VPM241" s="210"/>
      <c r="VPN241" s="210"/>
      <c r="VPO241" s="210"/>
      <c r="VPP241" s="210"/>
      <c r="VPQ241" s="210"/>
      <c r="VPR241" s="210"/>
      <c r="VPS241" s="210"/>
      <c r="VPT241" s="210"/>
      <c r="VPU241" s="210"/>
      <c r="VPV241" s="210"/>
      <c r="VPW241" s="210"/>
      <c r="VPX241" s="210"/>
      <c r="VPY241" s="210"/>
      <c r="VPZ241" s="210"/>
      <c r="VQA241" s="210"/>
      <c r="VQB241" s="210"/>
      <c r="VQC241" s="210"/>
      <c r="VQD241" s="210"/>
      <c r="VQE241" s="210"/>
      <c r="VQF241" s="210"/>
      <c r="VQG241" s="210"/>
      <c r="VQH241" s="210"/>
      <c r="VQI241" s="210"/>
      <c r="VQJ241" s="210"/>
      <c r="VQK241" s="210"/>
      <c r="VQL241" s="210"/>
      <c r="VQM241" s="210"/>
      <c r="VQN241" s="210"/>
      <c r="VQO241" s="210"/>
      <c r="VQP241" s="210"/>
      <c r="VQQ241" s="210"/>
      <c r="VQR241" s="210"/>
      <c r="VQS241" s="210"/>
      <c r="VQT241" s="210"/>
      <c r="VQU241" s="210"/>
      <c r="VQV241" s="210"/>
      <c r="VQW241" s="210"/>
      <c r="VQX241" s="210"/>
      <c r="VQY241" s="210"/>
      <c r="VQZ241" s="210"/>
      <c r="VRA241" s="210"/>
      <c r="VRB241" s="210"/>
      <c r="VRC241" s="210"/>
      <c r="VRD241" s="210"/>
      <c r="VRE241" s="210"/>
      <c r="VRF241" s="210"/>
      <c r="VRG241" s="210"/>
      <c r="VRH241" s="210"/>
      <c r="VRI241" s="210"/>
      <c r="VRJ241" s="210"/>
      <c r="VRK241" s="210"/>
      <c r="VRL241" s="210"/>
      <c r="VRM241" s="210"/>
      <c r="VRN241" s="210"/>
      <c r="VRO241" s="210"/>
      <c r="VRP241" s="210"/>
      <c r="VRQ241" s="210"/>
      <c r="VRR241" s="210"/>
      <c r="VRS241" s="210"/>
      <c r="VRT241" s="210"/>
      <c r="VRU241" s="210"/>
      <c r="VRV241" s="210"/>
      <c r="VRW241" s="210"/>
      <c r="VRX241" s="210"/>
      <c r="VRY241" s="210"/>
      <c r="VRZ241" s="210"/>
      <c r="VSA241" s="210"/>
      <c r="VSB241" s="210"/>
      <c r="VSC241" s="210"/>
      <c r="VSD241" s="210"/>
      <c r="VSE241" s="210"/>
      <c r="VSF241" s="210"/>
      <c r="VSG241" s="210"/>
      <c r="VSH241" s="210"/>
      <c r="VSI241" s="210"/>
      <c r="VSJ241" s="210"/>
      <c r="VSK241" s="210"/>
      <c r="VSL241" s="210"/>
      <c r="VSM241" s="210"/>
      <c r="VSN241" s="210"/>
      <c r="VSO241" s="210"/>
      <c r="VSP241" s="210"/>
      <c r="VSQ241" s="210"/>
      <c r="VSR241" s="210"/>
      <c r="VSS241" s="210"/>
      <c r="VST241" s="210"/>
      <c r="VSU241" s="210"/>
      <c r="VSV241" s="210"/>
      <c r="VSW241" s="210"/>
      <c r="VSX241" s="210"/>
      <c r="VSY241" s="210"/>
      <c r="VSZ241" s="210"/>
      <c r="VTA241" s="210"/>
      <c r="VTB241" s="210"/>
      <c r="VTC241" s="210"/>
      <c r="VTD241" s="210"/>
      <c r="VTE241" s="210"/>
      <c r="VTF241" s="210"/>
      <c r="VTG241" s="210"/>
      <c r="VTH241" s="210"/>
      <c r="VTI241" s="210"/>
      <c r="VTJ241" s="210"/>
      <c r="VTK241" s="210"/>
      <c r="VTL241" s="210"/>
      <c r="VTM241" s="210"/>
      <c r="VTN241" s="210"/>
      <c r="VTO241" s="210"/>
      <c r="VTP241" s="210"/>
      <c r="VTQ241" s="210"/>
      <c r="VTR241" s="210"/>
      <c r="VTS241" s="210"/>
      <c r="VTT241" s="210"/>
      <c r="VTU241" s="210"/>
      <c r="VTV241" s="210"/>
      <c r="VTW241" s="210"/>
      <c r="VTX241" s="210"/>
      <c r="VTY241" s="210"/>
      <c r="VTZ241" s="210"/>
      <c r="VUA241" s="210"/>
      <c r="VUB241" s="210"/>
      <c r="VUC241" s="210"/>
      <c r="VUD241" s="210"/>
      <c r="VUE241" s="210"/>
      <c r="VUF241" s="210"/>
      <c r="VUG241" s="210"/>
      <c r="VUH241" s="210"/>
      <c r="VUI241" s="210"/>
      <c r="VUJ241" s="210"/>
      <c r="VUK241" s="210"/>
      <c r="VUL241" s="210"/>
      <c r="VUM241" s="210"/>
      <c r="VUN241" s="210"/>
      <c r="VUO241" s="210"/>
      <c r="VUP241" s="210"/>
      <c r="VUQ241" s="210"/>
      <c r="VUR241" s="210"/>
      <c r="VUS241" s="210"/>
      <c r="VUT241" s="210"/>
      <c r="VUU241" s="210"/>
      <c r="VUV241" s="210"/>
      <c r="VUW241" s="210"/>
      <c r="VUX241" s="210"/>
      <c r="VUY241" s="210"/>
      <c r="VUZ241" s="210"/>
      <c r="VVA241" s="210"/>
      <c r="VVB241" s="210"/>
      <c r="VVC241" s="210"/>
      <c r="VVD241" s="210"/>
      <c r="VVE241" s="210"/>
      <c r="VVF241" s="210"/>
      <c r="VVG241" s="210"/>
      <c r="VVH241" s="210"/>
      <c r="VVI241" s="210"/>
      <c r="VVJ241" s="210"/>
      <c r="VVK241" s="210"/>
      <c r="VVL241" s="210"/>
      <c r="VVM241" s="210"/>
      <c r="VVN241" s="210"/>
      <c r="VVO241" s="210"/>
      <c r="VVP241" s="210"/>
      <c r="VVQ241" s="210"/>
      <c r="VVR241" s="210"/>
      <c r="VVS241" s="210"/>
      <c r="VVT241" s="210"/>
      <c r="VVU241" s="210"/>
      <c r="VVV241" s="210"/>
      <c r="VVW241" s="210"/>
      <c r="VVX241" s="210"/>
      <c r="VVY241" s="210"/>
      <c r="VVZ241" s="210"/>
      <c r="VWA241" s="210"/>
      <c r="VWB241" s="210"/>
      <c r="VWC241" s="210"/>
      <c r="VWD241" s="210"/>
      <c r="VWE241" s="210"/>
      <c r="VWF241" s="210"/>
      <c r="VWG241" s="210"/>
      <c r="VWH241" s="210"/>
      <c r="VWI241" s="210"/>
      <c r="VWJ241" s="210"/>
      <c r="VWK241" s="210"/>
      <c r="VWL241" s="210"/>
      <c r="VWM241" s="210"/>
      <c r="VWN241" s="210"/>
      <c r="VWO241" s="210"/>
      <c r="VWP241" s="210"/>
      <c r="VWQ241" s="210"/>
      <c r="VWR241" s="210"/>
      <c r="VWS241" s="210"/>
      <c r="VWT241" s="210"/>
      <c r="VWU241" s="210"/>
      <c r="VWV241" s="210"/>
      <c r="VWW241" s="210"/>
      <c r="VWX241" s="210"/>
      <c r="VWY241" s="210"/>
      <c r="VWZ241" s="210"/>
      <c r="VXA241" s="210"/>
      <c r="VXB241" s="210"/>
      <c r="VXC241" s="210"/>
      <c r="VXD241" s="210"/>
      <c r="VXE241" s="210"/>
      <c r="VXF241" s="210"/>
      <c r="VXG241" s="210"/>
      <c r="VXH241" s="210"/>
      <c r="VXI241" s="210"/>
      <c r="VXJ241" s="210"/>
      <c r="VXK241" s="210"/>
      <c r="VXL241" s="210"/>
      <c r="VXM241" s="210"/>
      <c r="VXN241" s="210"/>
      <c r="VXO241" s="210"/>
      <c r="VXP241" s="210"/>
      <c r="VXQ241" s="210"/>
      <c r="VXR241" s="210"/>
      <c r="VXS241" s="210"/>
      <c r="VXT241" s="210"/>
      <c r="VXU241" s="210"/>
      <c r="VXV241" s="210"/>
      <c r="VXW241" s="210"/>
      <c r="VXX241" s="210"/>
      <c r="VXY241" s="210"/>
      <c r="VXZ241" s="210"/>
      <c r="VYA241" s="210"/>
      <c r="VYB241" s="210"/>
      <c r="VYC241" s="210"/>
      <c r="VYD241" s="210"/>
      <c r="VYE241" s="210"/>
      <c r="VYF241" s="210"/>
      <c r="VYG241" s="210"/>
      <c r="VYH241" s="210"/>
      <c r="VYI241" s="210"/>
      <c r="VYJ241" s="210"/>
      <c r="VYK241" s="210"/>
      <c r="VYL241" s="210"/>
      <c r="VYM241" s="210"/>
      <c r="VYN241" s="210"/>
      <c r="VYO241" s="210"/>
      <c r="VYP241" s="210"/>
      <c r="VYQ241" s="210"/>
      <c r="VYR241" s="210"/>
      <c r="VYS241" s="210"/>
      <c r="VYT241" s="210"/>
      <c r="VYU241" s="210"/>
      <c r="VYV241" s="210"/>
      <c r="VYW241" s="210"/>
      <c r="VYX241" s="210"/>
      <c r="VYY241" s="210"/>
      <c r="VYZ241" s="210"/>
      <c r="VZA241" s="210"/>
      <c r="VZB241" s="210"/>
      <c r="VZC241" s="210"/>
      <c r="VZD241" s="210"/>
      <c r="VZE241" s="210"/>
      <c r="VZF241" s="210"/>
      <c r="VZG241" s="210"/>
      <c r="VZH241" s="210"/>
      <c r="VZI241" s="210"/>
      <c r="VZJ241" s="210"/>
      <c r="VZK241" s="210"/>
      <c r="VZL241" s="210"/>
      <c r="VZM241" s="210"/>
      <c r="VZN241" s="210"/>
      <c r="VZO241" s="210"/>
      <c r="VZP241" s="210"/>
      <c r="VZQ241" s="210"/>
      <c r="VZR241" s="210"/>
      <c r="VZS241" s="210"/>
      <c r="VZT241" s="210"/>
      <c r="VZU241" s="210"/>
      <c r="VZV241" s="210"/>
      <c r="VZW241" s="210"/>
      <c r="VZX241" s="210"/>
      <c r="VZY241" s="210"/>
      <c r="VZZ241" s="210"/>
      <c r="WAA241" s="210"/>
      <c r="WAB241" s="210"/>
      <c r="WAC241" s="210"/>
      <c r="WAD241" s="210"/>
      <c r="WAE241" s="210"/>
      <c r="WAF241" s="210"/>
      <c r="WAG241" s="210"/>
      <c r="WAH241" s="210"/>
      <c r="WAI241" s="210"/>
      <c r="WAJ241" s="210"/>
      <c r="WAK241" s="210"/>
      <c r="WAL241" s="210"/>
      <c r="WAM241" s="210"/>
      <c r="WAN241" s="210"/>
      <c r="WAO241" s="210"/>
      <c r="WAP241" s="210"/>
      <c r="WAQ241" s="210"/>
      <c r="WAR241" s="210"/>
      <c r="WAS241" s="210"/>
      <c r="WAT241" s="210"/>
      <c r="WAU241" s="210"/>
      <c r="WAV241" s="210"/>
      <c r="WAW241" s="210"/>
      <c r="WAX241" s="210"/>
      <c r="WAY241" s="210"/>
      <c r="WAZ241" s="210"/>
      <c r="WBA241" s="210"/>
      <c r="WBB241" s="210"/>
      <c r="WBC241" s="210"/>
      <c r="WBD241" s="210"/>
      <c r="WBE241" s="210"/>
      <c r="WBF241" s="210"/>
      <c r="WBG241" s="210"/>
      <c r="WBH241" s="210"/>
      <c r="WBI241" s="210"/>
      <c r="WBJ241" s="210"/>
      <c r="WBK241" s="210"/>
      <c r="WBL241" s="210"/>
      <c r="WBM241" s="210"/>
      <c r="WBN241" s="210"/>
      <c r="WBO241" s="210"/>
      <c r="WBP241" s="210"/>
      <c r="WBQ241" s="210"/>
      <c r="WBR241" s="210"/>
      <c r="WBS241" s="210"/>
      <c r="WBT241" s="210"/>
      <c r="WBU241" s="210"/>
      <c r="WBV241" s="210"/>
      <c r="WBW241" s="210"/>
      <c r="WBX241" s="210"/>
      <c r="WBY241" s="210"/>
      <c r="WBZ241" s="210"/>
      <c r="WCA241" s="210"/>
      <c r="WCB241" s="210"/>
      <c r="WCC241" s="210"/>
      <c r="WCD241" s="210"/>
      <c r="WCE241" s="210"/>
      <c r="WCF241" s="210"/>
      <c r="WCG241" s="210"/>
      <c r="WCH241" s="210"/>
      <c r="WCI241" s="210"/>
      <c r="WCJ241" s="210"/>
      <c r="WCK241" s="210"/>
      <c r="WCL241" s="210"/>
      <c r="WCM241" s="210"/>
      <c r="WCN241" s="210"/>
      <c r="WCO241" s="210"/>
      <c r="WCP241" s="210"/>
      <c r="WCQ241" s="210"/>
      <c r="WCR241" s="210"/>
      <c r="WCS241" s="210"/>
      <c r="WCT241" s="210"/>
      <c r="WCU241" s="210"/>
      <c r="WCV241" s="210"/>
      <c r="WCW241" s="210"/>
      <c r="WCX241" s="210"/>
      <c r="WCY241" s="210"/>
      <c r="WCZ241" s="210"/>
      <c r="WDA241" s="210"/>
      <c r="WDB241" s="210"/>
      <c r="WDC241" s="210"/>
      <c r="WDD241" s="210"/>
      <c r="WDE241" s="210"/>
      <c r="WDF241" s="210"/>
      <c r="WDG241" s="210"/>
      <c r="WDH241" s="210"/>
      <c r="WDI241" s="210"/>
      <c r="WDJ241" s="210"/>
      <c r="WDK241" s="210"/>
      <c r="WDL241" s="210"/>
      <c r="WDM241" s="210"/>
      <c r="WDN241" s="210"/>
      <c r="WDO241" s="210"/>
      <c r="WDP241" s="210"/>
      <c r="WDQ241" s="210"/>
      <c r="WDR241" s="210"/>
      <c r="WDS241" s="210"/>
      <c r="WDT241" s="210"/>
      <c r="WDU241" s="210"/>
      <c r="WDV241" s="210"/>
      <c r="WDW241" s="210"/>
      <c r="WDX241" s="210"/>
      <c r="WDY241" s="210"/>
      <c r="WDZ241" s="210"/>
      <c r="WEA241" s="210"/>
      <c r="WEB241" s="210"/>
      <c r="WEC241" s="210"/>
      <c r="WED241" s="210"/>
      <c r="WEE241" s="210"/>
      <c r="WEF241" s="210"/>
      <c r="WEG241" s="210"/>
      <c r="WEH241" s="210"/>
      <c r="WEI241" s="210"/>
      <c r="WEJ241" s="210"/>
      <c r="WEK241" s="210"/>
      <c r="WEL241" s="210"/>
      <c r="WEM241" s="210"/>
      <c r="WEN241" s="210"/>
      <c r="WEO241" s="210"/>
      <c r="WEP241" s="210"/>
      <c r="WEQ241" s="210"/>
      <c r="WER241" s="210"/>
      <c r="WES241" s="210"/>
      <c r="WET241" s="210"/>
      <c r="WEU241" s="210"/>
      <c r="WEV241" s="210"/>
      <c r="WEW241" s="210"/>
      <c r="WEX241" s="210"/>
      <c r="WEY241" s="210"/>
      <c r="WEZ241" s="210"/>
      <c r="WFA241" s="210"/>
      <c r="WFB241" s="210"/>
      <c r="WFC241" s="210"/>
      <c r="WFD241" s="210"/>
      <c r="WFE241" s="210"/>
      <c r="WFF241" s="210"/>
      <c r="WFG241" s="210"/>
      <c r="WFH241" s="210"/>
      <c r="WFI241" s="210"/>
      <c r="WFJ241" s="210"/>
      <c r="WFK241" s="210"/>
      <c r="WFL241" s="210"/>
      <c r="WFM241" s="210"/>
      <c r="WFN241" s="210"/>
      <c r="WFO241" s="210"/>
      <c r="WFP241" s="210"/>
      <c r="WFQ241" s="210"/>
      <c r="WFR241" s="210"/>
      <c r="WFS241" s="210"/>
      <c r="WFT241" s="210"/>
      <c r="WFU241" s="210"/>
      <c r="WFV241" s="210"/>
      <c r="WFW241" s="210"/>
      <c r="WFX241" s="210"/>
      <c r="WFY241" s="210"/>
      <c r="WFZ241" s="210"/>
      <c r="WGA241" s="210"/>
      <c r="WGB241" s="210"/>
      <c r="WGC241" s="210"/>
      <c r="WGD241" s="210"/>
      <c r="WGE241" s="210"/>
      <c r="WGF241" s="210"/>
      <c r="WGG241" s="210"/>
      <c r="WGH241" s="210"/>
      <c r="WGI241" s="210"/>
      <c r="WGJ241" s="210"/>
      <c r="WGK241" s="210"/>
      <c r="WGL241" s="210"/>
      <c r="WGM241" s="210"/>
      <c r="WGN241" s="210"/>
      <c r="WGO241" s="210"/>
      <c r="WGP241" s="210"/>
      <c r="WGQ241" s="210"/>
      <c r="WGR241" s="210"/>
      <c r="WGS241" s="210"/>
      <c r="WGT241" s="210"/>
      <c r="WGU241" s="210"/>
      <c r="WGV241" s="210"/>
      <c r="WGW241" s="210"/>
      <c r="WGX241" s="210"/>
      <c r="WGY241" s="210"/>
      <c r="WGZ241" s="210"/>
      <c r="WHA241" s="210"/>
      <c r="WHB241" s="210"/>
      <c r="WHC241" s="210"/>
      <c r="WHD241" s="210"/>
      <c r="WHE241" s="210"/>
      <c r="WHF241" s="210"/>
      <c r="WHG241" s="210"/>
      <c r="WHH241" s="210"/>
      <c r="WHI241" s="210"/>
      <c r="WHJ241" s="210"/>
      <c r="WHK241" s="210"/>
      <c r="WHL241" s="210"/>
      <c r="WHM241" s="210"/>
      <c r="WHN241" s="210"/>
      <c r="WHO241" s="210"/>
      <c r="WHP241" s="210"/>
      <c r="WHQ241" s="210"/>
      <c r="WHR241" s="210"/>
      <c r="WHS241" s="210"/>
      <c r="WHT241" s="210"/>
      <c r="WHU241" s="210"/>
      <c r="WHV241" s="210"/>
      <c r="WHW241" s="210"/>
      <c r="WHX241" s="210"/>
      <c r="WHY241" s="210"/>
      <c r="WHZ241" s="210"/>
      <c r="WIA241" s="210"/>
      <c r="WIB241" s="210"/>
      <c r="WIC241" s="210"/>
      <c r="WID241" s="210"/>
      <c r="WIE241" s="210"/>
      <c r="WIF241" s="210"/>
      <c r="WIG241" s="210"/>
      <c r="WIH241" s="210"/>
      <c r="WII241" s="210"/>
      <c r="WIJ241" s="210"/>
      <c r="WIK241" s="210"/>
      <c r="WIL241" s="210"/>
      <c r="WIM241" s="210"/>
      <c r="WIN241" s="210"/>
      <c r="WIO241" s="210"/>
      <c r="WIP241" s="210"/>
      <c r="WIQ241" s="210"/>
      <c r="WIR241" s="210"/>
      <c r="WIS241" s="210"/>
      <c r="WIT241" s="210"/>
      <c r="WIU241" s="210"/>
      <c r="WIV241" s="210"/>
      <c r="WIW241" s="210"/>
      <c r="WIX241" s="210"/>
      <c r="WIY241" s="210"/>
      <c r="WIZ241" s="210"/>
      <c r="WJA241" s="210"/>
      <c r="WJB241" s="210"/>
      <c r="WJC241" s="210"/>
      <c r="WJD241" s="210"/>
      <c r="WJE241" s="210"/>
      <c r="WJF241" s="210"/>
      <c r="WJG241" s="210"/>
      <c r="WJH241" s="210"/>
      <c r="WJI241" s="210"/>
      <c r="WJJ241" s="210"/>
      <c r="WJK241" s="210"/>
      <c r="WJL241" s="210"/>
      <c r="WJM241" s="210"/>
      <c r="WJN241" s="210"/>
      <c r="WJO241" s="210"/>
      <c r="WJP241" s="210"/>
      <c r="WJQ241" s="210"/>
      <c r="WJR241" s="210"/>
      <c r="WJS241" s="210"/>
      <c r="WJT241" s="210"/>
      <c r="WJU241" s="210"/>
      <c r="WJV241" s="210"/>
      <c r="WJW241" s="210"/>
      <c r="WJX241" s="210"/>
      <c r="WJY241" s="210"/>
      <c r="WJZ241" s="210"/>
      <c r="WKA241" s="210"/>
      <c r="WKB241" s="210"/>
      <c r="WKC241" s="210"/>
      <c r="WKD241" s="210"/>
      <c r="WKE241" s="210"/>
      <c r="WKF241" s="210"/>
      <c r="WKG241" s="210"/>
      <c r="WKH241" s="210"/>
      <c r="WKI241" s="210"/>
      <c r="WKJ241" s="210"/>
      <c r="WKK241" s="210"/>
      <c r="WKL241" s="210"/>
      <c r="WKM241" s="210"/>
      <c r="WKN241" s="210"/>
      <c r="WKO241" s="210"/>
      <c r="WKP241" s="210"/>
      <c r="WKQ241" s="210"/>
      <c r="WKR241" s="210"/>
      <c r="WKS241" s="210"/>
      <c r="WKT241" s="210"/>
      <c r="WKU241" s="210"/>
      <c r="WKV241" s="210"/>
      <c r="WKW241" s="210"/>
      <c r="WKX241" s="210"/>
      <c r="WKY241" s="210"/>
      <c r="WKZ241" s="210"/>
      <c r="WLA241" s="210"/>
      <c r="WLB241" s="210"/>
      <c r="WLC241" s="210"/>
      <c r="WLD241" s="210"/>
      <c r="WLE241" s="210"/>
      <c r="WLF241" s="210"/>
      <c r="WLG241" s="210"/>
      <c r="WLH241" s="210"/>
      <c r="WLI241" s="210"/>
      <c r="WLJ241" s="210"/>
      <c r="WLK241" s="210"/>
      <c r="WLL241" s="210"/>
      <c r="WLM241" s="210"/>
      <c r="WLN241" s="210"/>
      <c r="WLO241" s="210"/>
      <c r="WLP241" s="210"/>
      <c r="WLQ241" s="210"/>
      <c r="WLR241" s="210"/>
      <c r="WLS241" s="210"/>
      <c r="WLT241" s="210"/>
      <c r="WLU241" s="210"/>
      <c r="WLV241" s="210"/>
      <c r="WLW241" s="210"/>
      <c r="WLX241" s="210"/>
      <c r="WLY241" s="210"/>
      <c r="WLZ241" s="210"/>
      <c r="WMA241" s="210"/>
      <c r="WMB241" s="210"/>
      <c r="WMC241" s="210"/>
      <c r="WMD241" s="210"/>
      <c r="WME241" s="210"/>
      <c r="WMF241" s="210"/>
      <c r="WMG241" s="210"/>
      <c r="WMH241" s="210"/>
      <c r="WMI241" s="210"/>
      <c r="WMJ241" s="210"/>
      <c r="WMK241" s="210"/>
      <c r="WML241" s="210"/>
      <c r="WMM241" s="210"/>
      <c r="WMN241" s="210"/>
      <c r="WMO241" s="210"/>
      <c r="WMP241" s="210"/>
      <c r="WMQ241" s="210"/>
      <c r="WMR241" s="210"/>
      <c r="WMS241" s="210"/>
      <c r="WMT241" s="210"/>
      <c r="WMU241" s="210"/>
      <c r="WMV241" s="210"/>
      <c r="WMW241" s="210"/>
      <c r="WMX241" s="210"/>
      <c r="WMY241" s="210"/>
      <c r="WMZ241" s="210"/>
      <c r="WNA241" s="210"/>
      <c r="WNB241" s="210"/>
      <c r="WNC241" s="210"/>
      <c r="WND241" s="210"/>
      <c r="WNE241" s="210"/>
      <c r="WNF241" s="210"/>
      <c r="WNG241" s="210"/>
      <c r="WNH241" s="210"/>
      <c r="WNI241" s="210"/>
      <c r="WNJ241" s="210"/>
      <c r="WNK241" s="210"/>
      <c r="WNL241" s="210"/>
      <c r="WNM241" s="210"/>
      <c r="WNN241" s="210"/>
      <c r="WNO241" s="210"/>
      <c r="WNP241" s="210"/>
      <c r="WNQ241" s="210"/>
      <c r="WNR241" s="210"/>
      <c r="WNS241" s="210"/>
      <c r="WNT241" s="210"/>
      <c r="WNU241" s="210"/>
      <c r="WNV241" s="210"/>
      <c r="WNW241" s="210"/>
      <c r="WNX241" s="210"/>
      <c r="WNY241" s="210"/>
      <c r="WNZ241" s="210"/>
      <c r="WOA241" s="210"/>
      <c r="WOB241" s="210"/>
      <c r="WOC241" s="210"/>
      <c r="WOD241" s="210"/>
      <c r="WOE241" s="210"/>
      <c r="WOF241" s="210"/>
      <c r="WOG241" s="210"/>
      <c r="WOH241" s="210"/>
      <c r="WOI241" s="210"/>
      <c r="WOJ241" s="210"/>
      <c r="WOK241" s="210"/>
      <c r="WOL241" s="210"/>
      <c r="WOM241" s="210"/>
      <c r="WON241" s="210"/>
      <c r="WOO241" s="210"/>
      <c r="WOP241" s="210"/>
      <c r="WOQ241" s="210"/>
      <c r="WOR241" s="210"/>
      <c r="WOS241" s="210"/>
      <c r="WOT241" s="210"/>
      <c r="WOU241" s="210"/>
      <c r="WOV241" s="210"/>
      <c r="WOW241" s="210"/>
      <c r="WOX241" s="210"/>
      <c r="WOY241" s="210"/>
      <c r="WOZ241" s="210"/>
      <c r="WPA241" s="210"/>
      <c r="WPB241" s="210"/>
      <c r="WPC241" s="210"/>
      <c r="WPD241" s="210"/>
      <c r="WPE241" s="210"/>
      <c r="WPF241" s="210"/>
      <c r="WPG241" s="210"/>
      <c r="WPH241" s="210"/>
      <c r="WPI241" s="210"/>
      <c r="WPJ241" s="210"/>
      <c r="WPK241" s="210"/>
      <c r="WPL241" s="210"/>
      <c r="WPM241" s="210"/>
      <c r="WPN241" s="210"/>
      <c r="WPO241" s="210"/>
      <c r="WPP241" s="210"/>
      <c r="WPQ241" s="210"/>
      <c r="WPR241" s="210"/>
      <c r="WPS241" s="210"/>
      <c r="WPT241" s="210"/>
      <c r="WPU241" s="210"/>
      <c r="WPV241" s="210"/>
      <c r="WPW241" s="210"/>
      <c r="WPX241" s="210"/>
      <c r="WPY241" s="210"/>
      <c r="WPZ241" s="210"/>
      <c r="WQA241" s="210"/>
      <c r="WQB241" s="210"/>
      <c r="WQC241" s="210"/>
      <c r="WQD241" s="210"/>
      <c r="WQE241" s="210"/>
      <c r="WQF241" s="210"/>
      <c r="WQG241" s="210"/>
      <c r="WQH241" s="210"/>
      <c r="WQI241" s="210"/>
      <c r="WQJ241" s="210"/>
      <c r="WQK241" s="210"/>
      <c r="WQL241" s="210"/>
      <c r="WQM241" s="210"/>
      <c r="WQN241" s="210"/>
      <c r="WQO241" s="210"/>
      <c r="WQP241" s="210"/>
      <c r="WQQ241" s="210"/>
      <c r="WQR241" s="210"/>
      <c r="WQS241" s="210"/>
      <c r="WQT241" s="210"/>
      <c r="WQU241" s="210"/>
      <c r="WQV241" s="210"/>
      <c r="WQW241" s="210"/>
      <c r="WQX241" s="210"/>
      <c r="WQY241" s="210"/>
      <c r="WQZ241" s="210"/>
      <c r="WRA241" s="210"/>
      <c r="WRB241" s="210"/>
      <c r="WRC241" s="210"/>
      <c r="WRD241" s="210"/>
      <c r="WRE241" s="210"/>
      <c r="WRF241" s="210"/>
      <c r="WRG241" s="210"/>
      <c r="WRH241" s="210"/>
      <c r="WRI241" s="210"/>
      <c r="WRJ241" s="210"/>
      <c r="WRK241" s="210"/>
      <c r="WRL241" s="210"/>
      <c r="WRM241" s="210"/>
      <c r="WRN241" s="210"/>
      <c r="WRO241" s="210"/>
      <c r="WRP241" s="210"/>
      <c r="WRQ241" s="210"/>
      <c r="WRR241" s="210"/>
      <c r="WRS241" s="210"/>
      <c r="WRT241" s="210"/>
      <c r="WRU241" s="210"/>
      <c r="WRV241" s="210"/>
      <c r="WRW241" s="210"/>
      <c r="WRX241" s="210"/>
      <c r="WRY241" s="210"/>
      <c r="WRZ241" s="210"/>
      <c r="WSA241" s="210"/>
      <c r="WSB241" s="210"/>
      <c r="WSC241" s="210"/>
      <c r="WSD241" s="210"/>
      <c r="WSE241" s="210"/>
      <c r="WSF241" s="210"/>
      <c r="WSG241" s="210"/>
      <c r="WSH241" s="210"/>
      <c r="WSI241" s="210"/>
      <c r="WSJ241" s="210"/>
      <c r="WSK241" s="210"/>
      <c r="WSL241" s="210"/>
      <c r="WSM241" s="210"/>
      <c r="WSN241" s="210"/>
      <c r="WSO241" s="210"/>
      <c r="WSP241" s="210"/>
      <c r="WSQ241" s="210"/>
      <c r="WSR241" s="210"/>
      <c r="WSS241" s="210"/>
      <c r="WST241" s="210"/>
      <c r="WSU241" s="210"/>
      <c r="WSV241" s="210"/>
      <c r="WSW241" s="210"/>
      <c r="WSX241" s="210"/>
      <c r="WSY241" s="210"/>
      <c r="WSZ241" s="210"/>
      <c r="WTA241" s="210"/>
      <c r="WTB241" s="210"/>
      <c r="WTC241" s="210"/>
      <c r="WTD241" s="210"/>
      <c r="WTE241" s="210"/>
      <c r="WTF241" s="210"/>
      <c r="WTG241" s="210"/>
      <c r="WTH241" s="210"/>
      <c r="WTI241" s="210"/>
      <c r="WTJ241" s="210"/>
      <c r="WTK241" s="210"/>
      <c r="WTL241" s="210"/>
      <c r="WTM241" s="210"/>
      <c r="WTN241" s="210"/>
      <c r="WTO241" s="210"/>
      <c r="WTP241" s="210"/>
      <c r="WTQ241" s="210"/>
      <c r="WTR241" s="210"/>
      <c r="WTS241" s="210"/>
      <c r="WTT241" s="210"/>
      <c r="WTU241" s="210"/>
      <c r="WTV241" s="210"/>
      <c r="WTW241" s="210"/>
      <c r="WTX241" s="210"/>
      <c r="WTY241" s="210"/>
      <c r="WTZ241" s="210"/>
      <c r="WUA241" s="210"/>
      <c r="WUB241" s="210"/>
      <c r="WUC241" s="210"/>
      <c r="WUD241" s="210"/>
      <c r="WUE241" s="210"/>
      <c r="WUF241" s="210"/>
      <c r="WUG241" s="210"/>
      <c r="WUH241" s="210"/>
      <c r="WUI241" s="210"/>
      <c r="WUJ241" s="210"/>
      <c r="WUK241" s="210"/>
      <c r="WUL241" s="210"/>
      <c r="WUM241" s="210"/>
      <c r="WUN241" s="210"/>
      <c r="WUO241" s="210"/>
      <c r="WUP241" s="210"/>
      <c r="WUQ241" s="210"/>
      <c r="WUR241" s="210"/>
      <c r="WUS241" s="210"/>
      <c r="WUT241" s="210"/>
      <c r="WUU241" s="210"/>
      <c r="WUV241" s="210"/>
      <c r="WUW241" s="210"/>
      <c r="WUX241" s="210"/>
      <c r="WUY241" s="210"/>
      <c r="WUZ241" s="210"/>
      <c r="WVA241" s="210"/>
      <c r="WVB241" s="210"/>
      <c r="WVC241" s="210"/>
      <c r="WVD241" s="210"/>
      <c r="WVE241" s="210"/>
      <c r="WVF241" s="210"/>
      <c r="WVG241" s="210"/>
      <c r="WVH241" s="210"/>
      <c r="WVI241" s="210"/>
      <c r="WVJ241" s="210"/>
      <c r="WVK241" s="210"/>
      <c r="WVL241" s="210"/>
      <c r="WVM241" s="210"/>
      <c r="WVN241" s="210"/>
      <c r="WVO241" s="210"/>
      <c r="WVP241" s="210"/>
      <c r="WVQ241" s="210"/>
      <c r="WVR241" s="210"/>
      <c r="WVS241" s="210"/>
      <c r="WVT241" s="210"/>
      <c r="WVU241" s="210"/>
      <c r="WVV241" s="210"/>
      <c r="WVW241" s="210"/>
      <c r="WVX241" s="210"/>
      <c r="WVY241" s="210"/>
      <c r="WVZ241" s="210"/>
      <c r="WWA241" s="210"/>
      <c r="WWB241" s="210"/>
      <c r="WWC241" s="210"/>
      <c r="WWD241" s="210"/>
      <c r="WWE241" s="210"/>
      <c r="WWF241" s="210"/>
      <c r="WWG241" s="210"/>
      <c r="WWH241" s="210"/>
      <c r="WWI241" s="210"/>
      <c r="WWJ241" s="210"/>
      <c r="WWK241" s="210"/>
      <c r="WWL241" s="210"/>
      <c r="WWM241" s="210"/>
      <c r="WWN241" s="210"/>
      <c r="WWO241" s="210"/>
      <c r="WWP241" s="210"/>
      <c r="WWQ241" s="210"/>
      <c r="WWR241" s="210"/>
      <c r="WWS241" s="210"/>
      <c r="WWT241" s="210"/>
      <c r="WWU241" s="210"/>
      <c r="WWV241" s="210"/>
      <c r="WWW241" s="210"/>
      <c r="WWX241" s="210"/>
      <c r="WWY241" s="210"/>
      <c r="WWZ241" s="210"/>
      <c r="WXA241" s="210"/>
      <c r="WXB241" s="210"/>
      <c r="WXC241" s="210"/>
      <c r="WXD241" s="210"/>
      <c r="WXE241" s="210"/>
      <c r="WXF241" s="210"/>
      <c r="WXG241" s="210"/>
      <c r="WXH241" s="210"/>
      <c r="WXI241" s="210"/>
      <c r="WXJ241" s="210"/>
      <c r="WXK241" s="210"/>
      <c r="WXL241" s="210"/>
      <c r="WXM241" s="210"/>
      <c r="WXN241" s="210"/>
      <c r="WXO241" s="210"/>
      <c r="WXP241" s="210"/>
      <c r="WXQ241" s="210"/>
      <c r="WXR241" s="210"/>
      <c r="WXS241" s="210"/>
      <c r="WXT241" s="210"/>
      <c r="WXU241" s="210"/>
      <c r="WXV241" s="210"/>
      <c r="WXW241" s="210"/>
      <c r="WXX241" s="210"/>
      <c r="WXY241" s="210"/>
      <c r="WXZ241" s="210"/>
      <c r="WYA241" s="210"/>
      <c r="WYB241" s="210"/>
      <c r="WYC241" s="210"/>
      <c r="WYD241" s="210"/>
      <c r="WYE241" s="210"/>
      <c r="WYF241" s="210"/>
      <c r="WYG241" s="210"/>
      <c r="WYH241" s="210"/>
      <c r="WYI241" s="210"/>
      <c r="WYJ241" s="210"/>
      <c r="WYK241" s="210"/>
      <c r="WYL241" s="210"/>
      <c r="WYM241" s="210"/>
      <c r="WYN241" s="210"/>
      <c r="WYO241" s="210"/>
      <c r="WYP241" s="210"/>
      <c r="WYQ241" s="210"/>
      <c r="WYR241" s="210"/>
      <c r="WYS241" s="210"/>
      <c r="WYT241" s="210"/>
      <c r="WYU241" s="210"/>
      <c r="WYV241" s="210"/>
      <c r="WYW241" s="210"/>
      <c r="WYX241" s="210"/>
      <c r="WYY241" s="210"/>
      <c r="WYZ241" s="210"/>
      <c r="WZA241" s="210"/>
      <c r="WZB241" s="210"/>
      <c r="WZC241" s="210"/>
      <c r="WZD241" s="210"/>
      <c r="WZE241" s="210"/>
      <c r="WZF241" s="210"/>
      <c r="WZG241" s="210"/>
      <c r="WZH241" s="210"/>
      <c r="WZI241" s="210"/>
      <c r="WZJ241" s="210"/>
      <c r="WZK241" s="210"/>
      <c r="WZL241" s="210"/>
      <c r="WZM241" s="210"/>
      <c r="WZN241" s="210"/>
      <c r="WZO241" s="210"/>
      <c r="WZP241" s="210"/>
      <c r="WZQ241" s="210"/>
      <c r="WZR241" s="210"/>
      <c r="WZS241" s="210"/>
      <c r="WZT241" s="210"/>
      <c r="WZU241" s="210"/>
      <c r="WZV241" s="210"/>
      <c r="WZW241" s="210"/>
      <c r="WZX241" s="210"/>
      <c r="WZY241" s="210"/>
      <c r="WZZ241" s="210"/>
      <c r="XAA241" s="210"/>
      <c r="XAB241" s="210"/>
      <c r="XAC241" s="210"/>
      <c r="XAD241" s="210"/>
      <c r="XAE241" s="210"/>
      <c r="XAF241" s="210"/>
      <c r="XAG241" s="210"/>
      <c r="XAH241" s="210"/>
      <c r="XAI241" s="210"/>
      <c r="XAJ241" s="210"/>
      <c r="XAK241" s="210"/>
      <c r="XAL241" s="210"/>
      <c r="XAM241" s="210"/>
      <c r="XAN241" s="210"/>
      <c r="XAO241" s="210"/>
      <c r="XAP241" s="210"/>
      <c r="XAQ241" s="210"/>
      <c r="XAR241" s="210"/>
      <c r="XAS241" s="210"/>
      <c r="XAT241" s="210"/>
      <c r="XAU241" s="210"/>
      <c r="XAV241" s="210"/>
      <c r="XAW241" s="210"/>
      <c r="XAX241" s="210"/>
      <c r="XAY241" s="210"/>
      <c r="XAZ241" s="210"/>
      <c r="XBA241" s="210"/>
      <c r="XBB241" s="210"/>
      <c r="XBC241" s="210"/>
      <c r="XBD241" s="210"/>
      <c r="XBE241" s="210"/>
      <c r="XBF241" s="210"/>
      <c r="XBG241" s="210"/>
      <c r="XBH241" s="210"/>
      <c r="XBI241" s="210"/>
      <c r="XBJ241" s="210"/>
      <c r="XBK241" s="210"/>
      <c r="XBL241" s="210"/>
      <c r="XBM241" s="210"/>
      <c r="XBN241" s="210"/>
      <c r="XBO241" s="210"/>
      <c r="XBP241" s="210"/>
      <c r="XBQ241" s="210"/>
      <c r="XBR241" s="210"/>
      <c r="XBS241" s="210"/>
      <c r="XBT241" s="210"/>
      <c r="XBU241" s="210"/>
      <c r="XBV241" s="210"/>
      <c r="XBW241" s="210"/>
      <c r="XBX241" s="210"/>
      <c r="XBY241" s="210"/>
      <c r="XBZ241" s="210"/>
      <c r="XCA241" s="210"/>
      <c r="XCB241" s="210"/>
      <c r="XCC241" s="210"/>
      <c r="XCD241" s="210"/>
      <c r="XCE241" s="210"/>
      <c r="XCF241" s="210"/>
      <c r="XCG241" s="210"/>
      <c r="XCH241" s="210"/>
      <c r="XCI241" s="210"/>
      <c r="XCJ241" s="210"/>
      <c r="XCK241" s="210"/>
      <c r="XCL241" s="210"/>
      <c r="XCM241" s="210"/>
      <c r="XCN241" s="210"/>
      <c r="XCO241" s="210"/>
      <c r="XCP241" s="210"/>
      <c r="XCQ241" s="210"/>
      <c r="XCR241" s="210"/>
      <c r="XCS241" s="210"/>
      <c r="XCT241" s="210"/>
      <c r="XCU241" s="210"/>
      <c r="XCV241" s="210"/>
      <c r="XCW241" s="210"/>
      <c r="XCX241" s="210"/>
      <c r="XCY241" s="210"/>
      <c r="XCZ241" s="210"/>
      <c r="XDA241" s="210"/>
      <c r="XDB241" s="210"/>
      <c r="XDC241" s="210"/>
      <c r="XDD241" s="210"/>
      <c r="XDE241" s="210"/>
      <c r="XDF241" s="210"/>
      <c r="XDG241" s="210"/>
      <c r="XDH241" s="210"/>
      <c r="XDI241" s="210"/>
      <c r="XDJ241" s="210"/>
      <c r="XDK241" s="210"/>
      <c r="XDL241" s="210"/>
      <c r="XDM241" s="210"/>
      <c r="XDN241" s="210"/>
      <c r="XDO241" s="210"/>
      <c r="XDP241" s="210"/>
      <c r="XDQ241" s="210"/>
      <c r="XDR241" s="210"/>
      <c r="XDS241" s="210"/>
      <c r="XDT241" s="210"/>
      <c r="XDU241" s="210"/>
      <c r="XDV241" s="210"/>
      <c r="XDW241" s="210"/>
      <c r="XDX241" s="210"/>
      <c r="XDY241" s="210"/>
      <c r="XDZ241" s="210"/>
      <c r="XEA241" s="210"/>
      <c r="XEB241" s="210"/>
      <c r="XEC241" s="210"/>
      <c r="XED241" s="210"/>
      <c r="XEE241" s="210"/>
      <c r="XEF241" s="210"/>
      <c r="XEG241" s="210"/>
      <c r="XEH241" s="210"/>
      <c r="XEI241" s="210"/>
      <c r="XEJ241" s="210"/>
      <c r="XEK241" s="210"/>
      <c r="XEL241" s="210"/>
      <c r="XEM241" s="210"/>
      <c r="XEN241" s="210"/>
      <c r="XEO241" s="210"/>
      <c r="XEP241" s="210"/>
      <c r="XEQ241" s="210"/>
      <c r="XER241" s="210"/>
      <c r="XES241" s="210"/>
      <c r="XET241" s="210"/>
      <c r="XEU241" s="210"/>
      <c r="XEV241" s="210"/>
      <c r="XEW241" s="210"/>
      <c r="XEX241" s="210"/>
      <c r="XEY241" s="210"/>
      <c r="XEZ241" s="210"/>
      <c r="XFA241" s="210"/>
      <c r="XFB241" s="210"/>
      <c r="XFC241" s="210"/>
      <c r="XFD241" s="210"/>
    </row>
    <row r="242" spans="1:16384" ht="13.5" customHeight="1" x14ac:dyDescent="0.25">
      <c r="A242" s="30">
        <v>45723</v>
      </c>
      <c r="B242" s="235" t="s">
        <v>411</v>
      </c>
      <c r="C242" s="24" t="s">
        <v>344</v>
      </c>
      <c r="D242" s="108">
        <v>265</v>
      </c>
      <c r="E242" s="105">
        <f>D242*$L$2</f>
        <v>389550</v>
      </c>
      <c r="F242" s="136" t="s">
        <v>343</v>
      </c>
      <c r="G242" s="102" t="str">
        <f>VLOOKUP(B242,CÓDIGOS!$A$1:$B$1000,2)</f>
        <v>Columnas G4</v>
      </c>
      <c r="H242" s="26" t="s">
        <v>344</v>
      </c>
      <c r="I242" s="104"/>
      <c r="J242" s="104">
        <v>1</v>
      </c>
      <c r="K242" s="187">
        <f>D242*$L$2*J242</f>
        <v>389550</v>
      </c>
      <c r="L242" s="188">
        <f t="shared" si="14"/>
        <v>428505.00000000006</v>
      </c>
      <c r="M242" s="189">
        <f t="shared" si="15"/>
        <v>324625</v>
      </c>
      <c r="N242" s="65"/>
      <c r="O242" s="66"/>
    </row>
    <row r="243" spans="1:16384" ht="13.5" customHeight="1" x14ac:dyDescent="0.25">
      <c r="A243" s="43"/>
      <c r="B243" s="238"/>
      <c r="C243" s="31"/>
      <c r="D243" s="40"/>
      <c r="E243" s="105">
        <f>D243*$L$2</f>
        <v>0</v>
      </c>
      <c r="F243" s="20" t="s">
        <v>345</v>
      </c>
      <c r="G243" s="102" t="e">
        <f>VLOOKUP(B243,CÓDIGOS!$A$1:$B$1000,2)</f>
        <v>#N/A</v>
      </c>
      <c r="H243" s="32"/>
      <c r="I243" s="32"/>
      <c r="J243" s="32"/>
      <c r="K243" s="198"/>
      <c r="L243" s="198"/>
      <c r="M243" s="198"/>
      <c r="N243" s="22"/>
      <c r="O243" s="22"/>
    </row>
    <row r="244" spans="1:16384" ht="13.5" customHeight="1" x14ac:dyDescent="0.25">
      <c r="A244" s="29">
        <v>45368</v>
      </c>
      <c r="B244" s="221">
        <v>1212022</v>
      </c>
      <c r="C244" s="25" t="s">
        <v>18</v>
      </c>
      <c r="D244" s="27">
        <v>47.2</v>
      </c>
      <c r="E244" s="105">
        <f>D244*$L$2</f>
        <v>69384</v>
      </c>
      <c r="F244" s="2" t="s">
        <v>346</v>
      </c>
      <c r="G244" s="102" t="str">
        <f>VLOOKUP(B244,CÓDIGOS!$A$1:$B$1000,2)</f>
        <v>Sensor de sat. c/broche ad. p/MEDITECH 3m 283BLR</v>
      </c>
      <c r="H244" s="26" t="s">
        <v>347</v>
      </c>
      <c r="I244" s="26"/>
      <c r="J244" s="104">
        <v>1.5</v>
      </c>
      <c r="K244" s="187">
        <f>D244*$L$2*J244</f>
        <v>104076</v>
      </c>
      <c r="L244" s="188">
        <f t="shared" si="14"/>
        <v>114483.6</v>
      </c>
      <c r="M244" s="189">
        <f t="shared" si="15"/>
        <v>86730</v>
      </c>
      <c r="N244" s="3"/>
      <c r="O244" s="4"/>
    </row>
    <row r="245" spans="1:16384" ht="13.5" customHeight="1" x14ac:dyDescent="0.25">
      <c r="A245" s="86"/>
      <c r="B245" s="221">
        <v>1223001</v>
      </c>
      <c r="C245" s="103" t="s">
        <v>361</v>
      </c>
      <c r="D245" s="105">
        <v>27</v>
      </c>
      <c r="E245" s="105">
        <f>D245*$L$2</f>
        <v>39690</v>
      </c>
      <c r="F245" s="102" t="s">
        <v>357</v>
      </c>
      <c r="G245" s="102" t="str">
        <f>VLOOKUP(B245,CÓDIGOS!$A$1:$B$1000,2)</f>
        <v>Manguito CUFF de presión adulto 1 vía</v>
      </c>
      <c r="H245" s="104"/>
      <c r="I245" s="104"/>
      <c r="J245" s="104">
        <v>1.2</v>
      </c>
      <c r="K245" s="191">
        <f>D245*$L$2*J245</f>
        <v>47628</v>
      </c>
      <c r="L245" s="188">
        <f t="shared" si="14"/>
        <v>52390.8</v>
      </c>
      <c r="M245" s="189">
        <f t="shared" si="15"/>
        <v>39690</v>
      </c>
      <c r="N245" s="65"/>
      <c r="O245" s="66"/>
    </row>
    <row r="246" spans="1:16384" ht="13.5" customHeight="1" x14ac:dyDescent="0.25">
      <c r="A246" s="86"/>
      <c r="B246" s="221">
        <v>1199019</v>
      </c>
      <c r="C246" s="103" t="s">
        <v>361</v>
      </c>
      <c r="D246" s="105">
        <v>105</v>
      </c>
      <c r="E246" s="105">
        <f>D246*$L$2</f>
        <v>154350</v>
      </c>
      <c r="F246" s="102" t="s">
        <v>358</v>
      </c>
      <c r="G246" s="102" t="str">
        <f>VLOOKUP(B246,CÓDIGOS!$A$1:$B$1000,2)</f>
        <v>Cable paciente ECG 5 deriv. compatible MEDITECH</v>
      </c>
      <c r="H246" s="104"/>
      <c r="I246" s="104"/>
      <c r="J246" s="104">
        <v>1.2</v>
      </c>
      <c r="K246" s="191">
        <f>D246*$L$2*J246</f>
        <v>185220</v>
      </c>
      <c r="L246" s="188">
        <f t="shared" si="14"/>
        <v>203742.00000000003</v>
      </c>
      <c r="M246" s="189">
        <f t="shared" si="15"/>
        <v>154350</v>
      </c>
      <c r="N246" s="65"/>
      <c r="O246" s="66"/>
    </row>
    <row r="247" spans="1:16384" ht="13.5" customHeight="1" x14ac:dyDescent="0.25">
      <c r="A247" s="29">
        <v>45368</v>
      </c>
      <c r="B247" s="221">
        <v>1206001</v>
      </c>
      <c r="C247" s="25" t="s">
        <v>361</v>
      </c>
      <c r="D247" s="27">
        <v>50</v>
      </c>
      <c r="E247" s="105">
        <f>D247*$L$2</f>
        <v>73500</v>
      </c>
      <c r="F247" s="2" t="s">
        <v>359</v>
      </c>
      <c r="G247" s="102" t="str">
        <f>VLOOKUP(B247,CÓDIGOS!$A$1:$B$1000,2)</f>
        <v>Cámara para Calentador Humidificador RH-800</v>
      </c>
      <c r="H247" s="26" t="s">
        <v>360</v>
      </c>
      <c r="I247" s="26">
        <v>707</v>
      </c>
      <c r="J247" s="104">
        <v>1.2</v>
      </c>
      <c r="K247" s="191">
        <f>D247*$L$2*J247</f>
        <v>88200</v>
      </c>
      <c r="L247" s="188">
        <f t="shared" si="14"/>
        <v>97020.000000000015</v>
      </c>
      <c r="M247" s="189">
        <f t="shared" si="15"/>
        <v>73500</v>
      </c>
      <c r="N247" s="3">
        <f>D247*$C$5*1.4</f>
        <v>0</v>
      </c>
      <c r="O247" s="4">
        <f>D247*$C$5*1.5*1.21</f>
        <v>0</v>
      </c>
    </row>
    <row r="248" spans="1:16384" ht="13.5" customHeight="1" x14ac:dyDescent="0.25">
      <c r="A248" s="20"/>
      <c r="B248" s="245"/>
      <c r="C248" s="20"/>
      <c r="D248" s="20"/>
      <c r="E248" s="6"/>
      <c r="F248" s="20" t="s">
        <v>120</v>
      </c>
      <c r="G248" s="102" t="e">
        <f>VLOOKUP(B248,CÓDIGOS!$A$1:$B$1000,2)</f>
        <v>#N/A</v>
      </c>
      <c r="H248" s="20"/>
      <c r="I248" s="20"/>
      <c r="J248" s="20"/>
      <c r="K248" s="20"/>
      <c r="L248" s="20"/>
      <c r="M248" s="20"/>
      <c r="N248" s="20"/>
      <c r="O248" s="20"/>
    </row>
    <row r="249" spans="1:16384" ht="13.5" customHeight="1" x14ac:dyDescent="0.25">
      <c r="A249" s="50"/>
      <c r="B249" s="246" t="s">
        <v>125</v>
      </c>
      <c r="C249" s="103" t="s">
        <v>84</v>
      </c>
      <c r="D249" s="105">
        <v>63.7</v>
      </c>
      <c r="E249" s="6"/>
      <c r="F249" s="102" t="s">
        <v>85</v>
      </c>
      <c r="G249" s="102" t="str">
        <f>VLOOKUP(B249,CÓDIGOS!$A$1:$B$1000,2)</f>
        <v>Mini compresor 12V controls company</v>
      </c>
      <c r="H249" s="26"/>
      <c r="I249" s="26"/>
      <c r="J249" s="26">
        <v>1.35</v>
      </c>
      <c r="K249" s="191">
        <f>D249*$L$2*J249</f>
        <v>126412.65000000001</v>
      </c>
      <c r="L249" s="188">
        <f t="shared" si="14"/>
        <v>139053.91500000001</v>
      </c>
      <c r="M249" s="189">
        <f t="shared" si="15"/>
        <v>105343.875</v>
      </c>
      <c r="N249" s="100"/>
      <c r="O249" s="100"/>
    </row>
    <row r="250" spans="1:16384" ht="13.5" customHeight="1" x14ac:dyDescent="0.25">
      <c r="A250" s="50"/>
      <c r="B250" s="246" t="s">
        <v>363</v>
      </c>
      <c r="C250" s="103" t="s">
        <v>282</v>
      </c>
      <c r="D250" s="105">
        <v>2</v>
      </c>
      <c r="E250" s="6"/>
      <c r="F250" s="102" t="s">
        <v>362</v>
      </c>
      <c r="G250" s="102" t="str">
        <f>VLOOKUP(B250,CÓDIGOS!$A$1:$B$1000,2)</f>
        <v>FLAPPER BOMBA DE VACIO MOVI VAC</v>
      </c>
      <c r="H250" s="26"/>
      <c r="I250" s="104"/>
      <c r="J250" s="26">
        <v>1.35</v>
      </c>
      <c r="K250" s="191">
        <f>D250*$L$2*J250</f>
        <v>3969.0000000000005</v>
      </c>
      <c r="L250" s="188">
        <f t="shared" si="14"/>
        <v>4365.9000000000005</v>
      </c>
      <c r="M250" s="189">
        <f t="shared" si="15"/>
        <v>3307.5000000000005</v>
      </c>
      <c r="N250" s="100"/>
      <c r="O250" s="100"/>
    </row>
    <row r="251" spans="1:16384" ht="13.5" customHeight="1" x14ac:dyDescent="0.25">
      <c r="A251" s="50"/>
      <c r="B251" s="246" t="s">
        <v>126</v>
      </c>
      <c r="C251" s="103" t="s">
        <v>84</v>
      </c>
      <c r="D251" s="105">
        <v>6</v>
      </c>
      <c r="E251" s="6"/>
      <c r="F251" s="102" t="s">
        <v>121</v>
      </c>
      <c r="G251" s="102" t="str">
        <f>VLOOKUP(B251,CÓDIGOS!$A$1:$B$1000,2)</f>
        <v>CABLE 12V FICHA ENCENDEDOR MOVIVAC</v>
      </c>
      <c r="H251" s="26"/>
      <c r="I251" s="104"/>
      <c r="J251" s="26">
        <v>1.3500000000000003</v>
      </c>
      <c r="K251" s="191">
        <f>D251*$L$2*J251</f>
        <v>11907.000000000004</v>
      </c>
      <c r="L251" s="188">
        <f t="shared" si="14"/>
        <v>13097.700000000004</v>
      </c>
      <c r="M251" s="189">
        <f t="shared" si="15"/>
        <v>9922.5000000000018</v>
      </c>
      <c r="N251" s="100"/>
      <c r="O251" s="100"/>
    </row>
    <row r="252" spans="1:16384" ht="13.5" customHeight="1" x14ac:dyDescent="0.25">
      <c r="A252" s="50"/>
      <c r="B252" s="246" t="s">
        <v>127</v>
      </c>
      <c r="C252" s="103" t="s">
        <v>84</v>
      </c>
      <c r="D252" s="105">
        <v>30</v>
      </c>
      <c r="E252" s="6"/>
      <c r="F252" s="102" t="s">
        <v>158</v>
      </c>
      <c r="G252" s="102" t="str">
        <f>VLOOKUP(B252,CÓDIGOS!$A$1:$B$1000,2)</f>
        <v>Batería gel 6V A/H</v>
      </c>
      <c r="H252" s="26"/>
      <c r="I252" s="104"/>
      <c r="J252" s="26">
        <v>1.35</v>
      </c>
      <c r="K252" s="191">
        <f>D252*$L$2*J252</f>
        <v>59535.000000000007</v>
      </c>
      <c r="L252" s="188">
        <f t="shared" si="14"/>
        <v>65488.500000000015</v>
      </c>
      <c r="M252" s="189">
        <f t="shared" si="15"/>
        <v>49612.500000000007</v>
      </c>
      <c r="N252" s="100"/>
      <c r="O252" s="100"/>
    </row>
    <row r="253" spans="1:16384" ht="13.5" customHeight="1" x14ac:dyDescent="0.25">
      <c r="A253" s="50"/>
      <c r="B253" s="246" t="s">
        <v>293</v>
      </c>
      <c r="C253" s="103" t="s">
        <v>84</v>
      </c>
      <c r="D253" s="105">
        <v>2.5</v>
      </c>
      <c r="E253" s="6"/>
      <c r="F253" s="102" t="s">
        <v>204</v>
      </c>
      <c r="G253" s="102" t="str">
        <f>VLOOKUP(B253,CÓDIGOS!$A$1:$B$1000,2)</f>
        <v>Soporte Jack PVC impreso A-550</v>
      </c>
      <c r="H253" s="26"/>
      <c r="I253" s="104"/>
      <c r="J253" s="26">
        <v>1</v>
      </c>
      <c r="K253" s="191">
        <f>D253*$L$2*J253</f>
        <v>3675</v>
      </c>
      <c r="L253" s="188">
        <f t="shared" si="14"/>
        <v>4042.5000000000005</v>
      </c>
      <c r="M253" s="189">
        <f t="shared" si="15"/>
        <v>3062.5</v>
      </c>
      <c r="N253" s="100"/>
      <c r="O253" s="100"/>
    </row>
    <row r="254" spans="1:16384" ht="13.5" customHeight="1" x14ac:dyDescent="0.25">
      <c r="A254" s="50"/>
      <c r="B254" s="246" t="s">
        <v>128</v>
      </c>
      <c r="C254" s="103" t="s">
        <v>84</v>
      </c>
      <c r="D254" s="105">
        <v>33</v>
      </c>
      <c r="E254" s="6"/>
      <c r="F254" s="102" t="s">
        <v>122</v>
      </c>
      <c r="G254" s="102" t="str">
        <f>VLOOKUP(B254,CÓDIGOS!$A$1:$B$1000,2)</f>
        <v>Carcaza plástica MOVI-VAC fase 2</v>
      </c>
      <c r="H254" s="26"/>
      <c r="I254" s="104"/>
      <c r="J254" s="26">
        <v>1.35</v>
      </c>
      <c r="K254" s="191">
        <f>D254*$L$2*J254</f>
        <v>65488.500000000007</v>
      </c>
      <c r="L254" s="188">
        <f t="shared" si="14"/>
        <v>72037.35000000002</v>
      </c>
      <c r="M254" s="189">
        <f t="shared" si="15"/>
        <v>54573.750000000007</v>
      </c>
      <c r="N254" s="100"/>
      <c r="O254" s="100"/>
    </row>
    <row r="255" spans="1:16384" ht="13.5" customHeight="1" x14ac:dyDescent="0.25">
      <c r="A255" s="50"/>
      <c r="B255" s="246" t="s">
        <v>129</v>
      </c>
      <c r="C255" s="103" t="s">
        <v>84</v>
      </c>
      <c r="D255" s="105">
        <v>10</v>
      </c>
      <c r="E255" s="6"/>
      <c r="F255" s="102" t="s">
        <v>123</v>
      </c>
      <c r="G255" s="102" t="str">
        <f>VLOOKUP(B255,CÓDIGOS!$A$1:$B$1000,2)</f>
        <v>Jarra aspirador plástica</v>
      </c>
      <c r="H255" s="26"/>
      <c r="I255" s="104"/>
      <c r="J255" s="26">
        <v>1.35</v>
      </c>
      <c r="K255" s="191">
        <f>D255*$L$2*J255</f>
        <v>19845</v>
      </c>
      <c r="L255" s="188">
        <f t="shared" si="14"/>
        <v>21829.5</v>
      </c>
      <c r="M255" s="189">
        <f t="shared" si="15"/>
        <v>16537.5</v>
      </c>
      <c r="N255" s="100"/>
      <c r="O255" s="100"/>
    </row>
    <row r="256" spans="1:16384" ht="13.5" customHeight="1" x14ac:dyDescent="0.25">
      <c r="A256" s="50"/>
      <c r="B256" s="247" t="s">
        <v>130</v>
      </c>
      <c r="C256" s="103" t="s">
        <v>84</v>
      </c>
      <c r="D256" s="105">
        <v>46</v>
      </c>
      <c r="E256" s="6"/>
      <c r="F256" s="106" t="s">
        <v>142</v>
      </c>
      <c r="G256" s="102" t="str">
        <f>VLOOKUP(B256,CÓDIGOS!$A$1:$B$1000,2)</f>
        <v>Fuente de alimentación ext. 12,5 V 3A p/MOVI VAC</v>
      </c>
      <c r="H256" s="26"/>
      <c r="I256" s="26"/>
      <c r="J256" s="26">
        <v>1.35</v>
      </c>
      <c r="K256" s="191">
        <f>D256*$L$2*J256</f>
        <v>91287</v>
      </c>
      <c r="L256" s="188">
        <f t="shared" si="14"/>
        <v>100415.70000000001</v>
      </c>
      <c r="M256" s="189">
        <f t="shared" si="15"/>
        <v>76072.5</v>
      </c>
      <c r="N256" s="100"/>
      <c r="O256" s="100"/>
    </row>
    <row r="257" spans="1:15" ht="13.5" customHeight="1" x14ac:dyDescent="0.25">
      <c r="A257" s="50"/>
      <c r="B257" s="246" t="s">
        <v>143</v>
      </c>
      <c r="C257" s="103" t="s">
        <v>84</v>
      </c>
      <c r="D257" s="105">
        <v>21</v>
      </c>
      <c r="E257" s="6"/>
      <c r="F257" s="102" t="s">
        <v>144</v>
      </c>
      <c r="G257" s="102" t="str">
        <f>VLOOKUP(B257,CÓDIGOS!$A$1:$B$1000,2)</f>
        <v>Jack DC p/chasis</v>
      </c>
      <c r="H257" s="26"/>
      <c r="I257" s="104"/>
      <c r="J257" s="26">
        <v>1.35</v>
      </c>
      <c r="K257" s="191">
        <f>D257*$L$2*J257</f>
        <v>41674.5</v>
      </c>
      <c r="L257" s="188">
        <f t="shared" si="14"/>
        <v>45841.950000000004</v>
      </c>
      <c r="M257" s="189">
        <f t="shared" si="15"/>
        <v>34728.75</v>
      </c>
    </row>
    <row r="258" spans="1:15" ht="13.5" customHeight="1" x14ac:dyDescent="0.25">
      <c r="A258" s="50"/>
      <c r="B258" s="246" t="s">
        <v>88</v>
      </c>
      <c r="C258" s="103" t="s">
        <v>84</v>
      </c>
      <c r="D258" s="105">
        <v>22</v>
      </c>
      <c r="E258" s="6"/>
      <c r="F258" s="102" t="s">
        <v>87</v>
      </c>
      <c r="G258" s="102" t="str">
        <f>VLOOKUP(B258,CÓDIGOS!$A$1:$B$1000,2)</f>
        <v>SUBCONJUNTO PLAQUETA ARMADA 2117</v>
      </c>
      <c r="H258" s="26"/>
      <c r="I258" s="104"/>
      <c r="J258" s="26">
        <v>1.35</v>
      </c>
      <c r="K258" s="191">
        <f>D258*$L$2*J258</f>
        <v>43659</v>
      </c>
      <c r="L258" s="188">
        <f t="shared" si="14"/>
        <v>48024.9</v>
      </c>
      <c r="M258" s="189">
        <f t="shared" si="15"/>
        <v>36382.5</v>
      </c>
    </row>
    <row r="259" spans="1:15" ht="13.5" customHeight="1" x14ac:dyDescent="0.25">
      <c r="A259" s="50"/>
      <c r="B259" s="246" t="s">
        <v>131</v>
      </c>
      <c r="C259" s="103" t="s">
        <v>84</v>
      </c>
      <c r="D259" s="105">
        <v>15.9</v>
      </c>
      <c r="E259" s="6"/>
      <c r="F259" s="102" t="s">
        <v>124</v>
      </c>
      <c r="G259" s="102" t="str">
        <f>VLOOKUP(B259,CÓDIGOS!$A$1:$B$1000,2)</f>
        <v>Bolso de traslado p/aspirador</v>
      </c>
      <c r="H259" s="26"/>
      <c r="I259" s="104"/>
      <c r="J259" s="26">
        <v>1.35</v>
      </c>
      <c r="K259" s="191">
        <f>D259*$L$2*J259</f>
        <v>31553.550000000003</v>
      </c>
      <c r="L259" s="188">
        <f t="shared" si="14"/>
        <v>34708.905000000006</v>
      </c>
      <c r="M259" s="189">
        <f t="shared" si="15"/>
        <v>26294.625</v>
      </c>
    </row>
    <row r="260" spans="1:15" ht="13.5" customHeight="1" x14ac:dyDescent="0.25">
      <c r="A260" s="50"/>
      <c r="B260" s="246" t="s">
        <v>294</v>
      </c>
      <c r="C260" s="103" t="s">
        <v>284</v>
      </c>
      <c r="D260" s="105">
        <v>3</v>
      </c>
      <c r="E260" s="6"/>
      <c r="F260" s="102" t="s">
        <v>285</v>
      </c>
      <c r="G260" s="102" t="str">
        <f>VLOOKUP(B260,CÓDIGOS!$A$1:$B$1000,2)</f>
        <v>Soporte Valvula de Vacio Movi Vac(Reparacion)</v>
      </c>
      <c r="H260" s="26"/>
      <c r="I260" s="104"/>
      <c r="J260" s="26">
        <v>2</v>
      </c>
      <c r="K260" s="191">
        <f>D260*$L$2*J260</f>
        <v>8820</v>
      </c>
      <c r="L260" s="188">
        <f t="shared" si="14"/>
        <v>9702</v>
      </c>
      <c r="M260" s="189">
        <f t="shared" si="15"/>
        <v>7350</v>
      </c>
    </row>
    <row r="261" spans="1:15" ht="13.5" customHeight="1" x14ac:dyDescent="0.25">
      <c r="A261" s="50"/>
      <c r="B261" s="246" t="s">
        <v>150</v>
      </c>
      <c r="C261" s="103" t="s">
        <v>84</v>
      </c>
      <c r="D261" s="105">
        <v>27</v>
      </c>
      <c r="E261" s="6"/>
      <c r="F261" s="102" t="s">
        <v>134</v>
      </c>
      <c r="G261" s="102" t="str">
        <f>VLOOKUP(B261,CÓDIGOS!$A$1:$B$1000,2)</f>
        <v>Vacuómetro diámetro 52MM Fij. Frontal</v>
      </c>
      <c r="H261" s="26"/>
      <c r="I261" s="104"/>
      <c r="J261" s="26">
        <v>1.35</v>
      </c>
      <c r="K261" s="191">
        <f>D261*$L$2*J261</f>
        <v>53581.5</v>
      </c>
      <c r="L261" s="188">
        <f t="shared" si="14"/>
        <v>58939.65</v>
      </c>
      <c r="M261" s="189">
        <f t="shared" si="15"/>
        <v>44651.25</v>
      </c>
    </row>
    <row r="262" spans="1:15" ht="13.5" customHeight="1" x14ac:dyDescent="0.25">
      <c r="A262" s="50"/>
      <c r="B262" s="246" t="s">
        <v>281</v>
      </c>
      <c r="C262" s="103" t="s">
        <v>84</v>
      </c>
      <c r="D262" s="105">
        <v>2</v>
      </c>
      <c r="E262" s="6"/>
      <c r="F262" s="102" t="s">
        <v>280</v>
      </c>
      <c r="G262" s="102" t="str">
        <f>VLOOKUP(B262,CÓDIGOS!$A$1:$B$1000,2)</f>
        <v>Soporte interno batería-motor</v>
      </c>
      <c r="H262" s="26"/>
      <c r="I262" s="104"/>
      <c r="J262" s="26">
        <v>1.4</v>
      </c>
      <c r="K262" s="191">
        <f>D262*$L$2*J262</f>
        <v>4116</v>
      </c>
      <c r="L262" s="188">
        <f t="shared" si="14"/>
        <v>4527.6000000000004</v>
      </c>
      <c r="M262" s="189">
        <f t="shared" si="15"/>
        <v>3430</v>
      </c>
    </row>
    <row r="263" spans="1:15" ht="13.5" customHeight="1" x14ac:dyDescent="0.25">
      <c r="A263" s="50"/>
      <c r="B263" s="246" t="s">
        <v>143</v>
      </c>
      <c r="C263" s="103" t="s">
        <v>291</v>
      </c>
      <c r="D263" s="105">
        <v>1.5</v>
      </c>
      <c r="E263" s="6"/>
      <c r="F263" s="102" t="s">
        <v>292</v>
      </c>
      <c r="G263" s="102" t="str">
        <f>VLOOKUP(B263,CÓDIGOS!$A$1:$B$1000,2)</f>
        <v>Jack DC p/chasis</v>
      </c>
      <c r="H263" s="26"/>
      <c r="I263" s="26"/>
      <c r="J263" s="26">
        <v>1.3999999999999997</v>
      </c>
      <c r="K263" s="191">
        <f>D263*$L$2*J263</f>
        <v>3086.9999999999991</v>
      </c>
      <c r="L263" s="188">
        <f t="shared" si="14"/>
        <v>3395.6999999999994</v>
      </c>
      <c r="M263" s="189">
        <f t="shared" si="15"/>
        <v>2572.4999999999995</v>
      </c>
    </row>
    <row r="264" spans="1:15" ht="13.5" customHeight="1" x14ac:dyDescent="0.25">
      <c r="B264" s="248" t="s">
        <v>438</v>
      </c>
      <c r="C264" s="103" t="s">
        <v>282</v>
      </c>
      <c r="D264" s="105">
        <v>3.1</v>
      </c>
      <c r="F264" s="102" t="s">
        <v>283</v>
      </c>
      <c r="G264" s="102" t="str">
        <f>VLOOKUP(B264,CÓDIGOS!$A$1:$B$1000,2)</f>
        <v>Labio sello bomba de vacío</v>
      </c>
      <c r="H264" s="26"/>
      <c r="I264" s="104"/>
      <c r="J264" s="26">
        <v>1.4</v>
      </c>
      <c r="K264" s="191">
        <f>D264*$L$2*J264</f>
        <v>6379.7999999999993</v>
      </c>
      <c r="L264" s="188">
        <f t="shared" si="14"/>
        <v>7017.78</v>
      </c>
      <c r="M264" s="189">
        <f t="shared" si="15"/>
        <v>5316.4999999999991</v>
      </c>
    </row>
    <row r="265" spans="1:15" ht="13.5" customHeight="1" x14ac:dyDescent="0.25">
      <c r="B265" s="248" t="s">
        <v>439</v>
      </c>
      <c r="C265" s="103" t="s">
        <v>282</v>
      </c>
      <c r="D265" s="105">
        <v>1.5</v>
      </c>
      <c r="F265" s="102" t="s">
        <v>364</v>
      </c>
      <c r="G265" s="102" t="str">
        <f>VLOOKUP(B265,CÓDIGOS!$A$1:$B$1000,2)</f>
        <v>Mini compresor 12V controls company</v>
      </c>
      <c r="H265" s="26"/>
      <c r="I265" s="104"/>
      <c r="J265" s="26">
        <v>1.3999999999999997</v>
      </c>
      <c r="K265" s="191">
        <f>D265*$L$2*J265</f>
        <v>3086.9999999999991</v>
      </c>
      <c r="L265" s="188">
        <f t="shared" si="14"/>
        <v>3395.6999999999994</v>
      </c>
      <c r="M265" s="189">
        <f t="shared" si="15"/>
        <v>2572.4999999999995</v>
      </c>
    </row>
    <row r="266" spans="1:15" ht="13.5" customHeight="1" x14ac:dyDescent="0.25">
      <c r="A266" s="31"/>
      <c r="B266" s="31"/>
      <c r="C266" s="31"/>
      <c r="D266" s="31"/>
      <c r="F266" s="20" t="s">
        <v>86</v>
      </c>
      <c r="G266" s="102" t="e">
        <f>VLOOKUP(B266,CÓDIGOS!$A$1:$B$1000,2)</f>
        <v>#N/A</v>
      </c>
      <c r="H266" s="31"/>
      <c r="I266" s="31"/>
      <c r="J266" s="31"/>
      <c r="K266" s="31"/>
      <c r="L266" s="188">
        <f t="shared" si="14"/>
        <v>0</v>
      </c>
      <c r="M266" s="189">
        <f t="shared" si="15"/>
        <v>0</v>
      </c>
      <c r="N266" s="31"/>
      <c r="O266" s="31"/>
    </row>
    <row r="267" spans="1:15" ht="13.5" customHeight="1" x14ac:dyDescent="0.25">
      <c r="B267" s="248" t="s">
        <v>413</v>
      </c>
      <c r="C267" s="25" t="s">
        <v>84</v>
      </c>
      <c r="D267" s="27">
        <v>40</v>
      </c>
      <c r="F267" s="97" t="s">
        <v>87</v>
      </c>
      <c r="G267" s="102" t="str">
        <f>VLOOKUP(B267,CÓDIGOS!$A$1:$B$1000,2)</f>
        <v>CARCAZA SUPERIOR BASE MARBEL 320</v>
      </c>
      <c r="H267" s="26"/>
      <c r="I267" s="104"/>
      <c r="J267" s="26">
        <v>1.35</v>
      </c>
      <c r="K267" s="191">
        <f>D267*$L$2*J267</f>
        <v>79380</v>
      </c>
      <c r="L267" s="188">
        <f t="shared" si="14"/>
        <v>87318</v>
      </c>
      <c r="M267" s="189">
        <f t="shared" si="15"/>
        <v>66150</v>
      </c>
    </row>
    <row r="268" spans="1:15" ht="13.5" customHeight="1" x14ac:dyDescent="0.25">
      <c r="B268" s="248" t="s">
        <v>414</v>
      </c>
      <c r="C268" s="25" t="s">
        <v>84</v>
      </c>
      <c r="D268" s="27">
        <v>70</v>
      </c>
      <c r="F268" s="96" t="s">
        <v>89</v>
      </c>
      <c r="G268" s="102" t="str">
        <f>VLOOKUP(B268,CÓDIGOS!$A$1:$B$1000,2)</f>
        <v>CARCAZA INFERIOR BASE MARBEL 320</v>
      </c>
      <c r="H268" s="26"/>
      <c r="I268" s="104"/>
      <c r="J268" s="26">
        <v>1.35</v>
      </c>
      <c r="K268" s="191">
        <f>D268*$L$2*J268</f>
        <v>138915</v>
      </c>
      <c r="L268" s="188">
        <f t="shared" si="14"/>
        <v>152806.5</v>
      </c>
      <c r="M268" s="189">
        <f t="shared" si="15"/>
        <v>115762.5</v>
      </c>
    </row>
    <row r="269" spans="1:15" ht="13.5" customHeight="1" x14ac:dyDescent="0.25">
      <c r="B269" s="248" t="s">
        <v>440</v>
      </c>
      <c r="C269" s="25" t="s">
        <v>84</v>
      </c>
      <c r="D269" s="105">
        <v>1.8</v>
      </c>
      <c r="F269" s="95" t="s">
        <v>207</v>
      </c>
      <c r="G269" s="102" t="str">
        <f>VLOOKUP(B269,CÓDIGOS!$A$1:$B$1000,2)</f>
        <v>CARCAZA SUPERIOR BASE MARBEL GRANDE</v>
      </c>
      <c r="H269" s="26"/>
      <c r="I269" s="104"/>
      <c r="J269" s="26">
        <v>1.35</v>
      </c>
      <c r="K269" s="191">
        <f>D269*$L$2*J269</f>
        <v>3572.1000000000004</v>
      </c>
      <c r="L269" s="188">
        <f t="shared" si="14"/>
        <v>3929.3100000000009</v>
      </c>
      <c r="M269" s="189">
        <f t="shared" si="15"/>
        <v>2976.75</v>
      </c>
    </row>
    <row r="270" spans="1:15" ht="13.5" customHeight="1" x14ac:dyDescent="0.25">
      <c r="B270" s="248" t="s">
        <v>415</v>
      </c>
      <c r="C270" s="25" t="s">
        <v>84</v>
      </c>
      <c r="D270" s="27">
        <v>42</v>
      </c>
      <c r="F270" s="96" t="s">
        <v>90</v>
      </c>
      <c r="G270" s="102" t="str">
        <f>VLOOKUP(B270,CÓDIGOS!$A$1:$B$1000,2)</f>
        <v>GABINETE MOVI VAC A-550</v>
      </c>
      <c r="H270" s="26"/>
      <c r="I270" s="104"/>
      <c r="J270" s="26">
        <v>1.35</v>
      </c>
      <c r="K270" s="191">
        <f>D270*$L$2*J270</f>
        <v>83349</v>
      </c>
      <c r="L270" s="188">
        <f t="shared" si="14"/>
        <v>91683.900000000009</v>
      </c>
      <c r="M270" s="189">
        <f t="shared" si="15"/>
        <v>69457.5</v>
      </c>
    </row>
    <row r="271" spans="1:15" ht="13.5" customHeight="1" x14ac:dyDescent="0.25">
      <c r="B271" s="248" t="s">
        <v>416</v>
      </c>
      <c r="C271" s="103" t="s">
        <v>84</v>
      </c>
      <c r="D271" s="105">
        <v>10.8</v>
      </c>
      <c r="F271" s="98" t="s">
        <v>233</v>
      </c>
      <c r="G271" s="102" t="str">
        <f>VLOOKUP(B271,CÓDIGOS!$A$1:$B$1000,2)</f>
        <v>GRAMPA SOPORTE PARA RESPIRADOR</v>
      </c>
      <c r="H271" s="26"/>
      <c r="I271" s="104"/>
      <c r="J271" s="26">
        <v>1.35</v>
      </c>
      <c r="K271" s="191">
        <f>D271*$L$2*J271</f>
        <v>21432.600000000002</v>
      </c>
      <c r="L271" s="188">
        <f t="shared" si="14"/>
        <v>23575.860000000004</v>
      </c>
      <c r="M271" s="189">
        <f t="shared" si="15"/>
        <v>17860.500000000004</v>
      </c>
    </row>
    <row r="272" spans="1:15" ht="13.5" customHeight="1" x14ac:dyDescent="0.25">
      <c r="B272" s="248">
        <v>1208041</v>
      </c>
      <c r="C272" s="25" t="s">
        <v>11</v>
      </c>
      <c r="D272" s="27">
        <v>42</v>
      </c>
      <c r="F272" s="2" t="s">
        <v>26</v>
      </c>
      <c r="G272" s="102" t="str">
        <f>VLOOKUP(B272,CÓDIGOS!$A$1:$B$1000,2)</f>
        <v>Filtro genérico externo p/RESMED Stellar 150</v>
      </c>
      <c r="H272" s="26"/>
      <c r="I272" s="104"/>
      <c r="J272" s="26">
        <v>1.35</v>
      </c>
      <c r="K272" s="191">
        <f>D272*$L$2*J272</f>
        <v>83349</v>
      </c>
      <c r="L272" s="188">
        <f t="shared" si="14"/>
        <v>91683.900000000009</v>
      </c>
      <c r="M272" s="189">
        <f t="shared" si="15"/>
        <v>69457.5</v>
      </c>
    </row>
    <row r="273" spans="2:13" ht="13.5" customHeight="1" x14ac:dyDescent="0.25">
      <c r="B273" s="248">
        <v>1208028</v>
      </c>
      <c r="C273" s="25" t="s">
        <v>11</v>
      </c>
      <c r="D273" s="27">
        <v>4.08</v>
      </c>
      <c r="F273" s="2" t="s">
        <v>29</v>
      </c>
      <c r="G273" s="102" t="str">
        <f>VLOOKUP(B273,CÓDIGOS!$A$1:$B$1000,2)</f>
        <v>Filtro interno respirador ASTRAL 27939</v>
      </c>
      <c r="H273" s="26"/>
      <c r="I273" s="104"/>
      <c r="J273" s="26">
        <v>1.35</v>
      </c>
      <c r="K273" s="191">
        <f>D273*$L$2*J273</f>
        <v>8096.7600000000011</v>
      </c>
      <c r="L273" s="188">
        <f t="shared" si="14"/>
        <v>8906.4360000000015</v>
      </c>
      <c r="M273" s="189">
        <f t="shared" si="15"/>
        <v>6747.3</v>
      </c>
    </row>
    <row r="274" spans="2:13" ht="13.5" customHeight="1" x14ac:dyDescent="0.25">
      <c r="B274" s="248">
        <v>1208039</v>
      </c>
      <c r="C274" s="25" t="s">
        <v>11</v>
      </c>
      <c r="D274" s="27">
        <v>33</v>
      </c>
      <c r="F274" s="2" t="s">
        <v>26</v>
      </c>
      <c r="G274" s="102" t="str">
        <f>VLOOKUP(B274,CÓDIGOS!$A$1:$B$1000,2)</f>
        <v>Filtro externo p/CPAP DM26 YAMIND</v>
      </c>
      <c r="H274" s="26"/>
      <c r="I274" s="104"/>
      <c r="J274" s="26">
        <v>1.35</v>
      </c>
      <c r="K274" s="191">
        <f>D274*$L$2*J274</f>
        <v>65488.500000000007</v>
      </c>
      <c r="L274" s="188">
        <f t="shared" si="14"/>
        <v>72037.35000000002</v>
      </c>
      <c r="M274" s="189">
        <f t="shared" si="15"/>
        <v>54573.750000000007</v>
      </c>
    </row>
    <row r="275" spans="2:13" ht="13.5" customHeight="1" x14ac:dyDescent="0.25">
      <c r="B275" s="248">
        <v>1208040</v>
      </c>
      <c r="C275" s="25" t="s">
        <v>11</v>
      </c>
      <c r="D275" s="27">
        <v>38</v>
      </c>
      <c r="F275" s="2" t="s">
        <v>26</v>
      </c>
      <c r="G275" s="102" t="str">
        <f>VLOOKUP(B275,CÓDIGOS!$A$1:$B$1000,2)</f>
        <v>Filtro externo p/CPAP DM28 YAMIND</v>
      </c>
      <c r="H275" s="26"/>
      <c r="I275" s="104"/>
      <c r="J275" s="26">
        <v>1.35</v>
      </c>
      <c r="K275" s="191">
        <f>D275*$L$2*J275</f>
        <v>75411</v>
      </c>
      <c r="L275" s="188">
        <f t="shared" si="14"/>
        <v>82952.100000000006</v>
      </c>
      <c r="M275" s="189">
        <f t="shared" si="15"/>
        <v>62842.5</v>
      </c>
    </row>
    <row r="276" spans="2:13" ht="13.5" customHeight="1" x14ac:dyDescent="0.25">
      <c r="B276" s="248">
        <v>1208030</v>
      </c>
      <c r="C276" s="25" t="s">
        <v>9</v>
      </c>
      <c r="D276" s="27">
        <v>17.239999999999998</v>
      </c>
      <c r="F276" s="2" t="s">
        <v>31</v>
      </c>
      <c r="G276" s="102" t="str">
        <f>VLOOKUP(B276,CÓDIGOS!$A$1:$B$1000,2)</f>
        <v>Filtro TRACHEOLIFE II 353/19004</v>
      </c>
      <c r="H276" s="26"/>
      <c r="I276" s="104"/>
      <c r="J276" s="26">
        <v>1.35</v>
      </c>
      <c r="K276" s="191">
        <f>D276*$L$2*J276</f>
        <v>34212.78</v>
      </c>
      <c r="L276" s="188">
        <f t="shared" si="14"/>
        <v>37634.058000000005</v>
      </c>
      <c r="M276" s="189">
        <f t="shared" si="15"/>
        <v>28510.649999999998</v>
      </c>
    </row>
    <row r="277" spans="2:13" ht="13.5" customHeight="1" x14ac:dyDescent="0.25">
      <c r="B277" s="248">
        <v>1208026</v>
      </c>
      <c r="C277" s="25" t="s">
        <v>33</v>
      </c>
      <c r="D277" s="27">
        <v>13</v>
      </c>
      <c r="F277" s="2" t="s">
        <v>34</v>
      </c>
      <c r="G277" s="102" t="str">
        <f>VLOOKUP(B277,CÓDIGOS!$A$1:$B$1000,2)</f>
        <v>Filtro interno respirador ASTRAL 27939</v>
      </c>
      <c r="H277" s="26"/>
      <c r="I277" s="104"/>
      <c r="J277" s="26">
        <v>1.35</v>
      </c>
      <c r="K277" s="191">
        <f>D277*$L$2*J277</f>
        <v>25798.5</v>
      </c>
      <c r="L277" s="188">
        <f t="shared" ref="L277:L303" si="16">K277*1.1</f>
        <v>28378.350000000002</v>
      </c>
      <c r="M277" s="189">
        <f t="shared" ref="M277:M303" si="17">K277*5/6</f>
        <v>21498.75</v>
      </c>
    </row>
    <row r="278" spans="2:13" ht="13.5" customHeight="1" x14ac:dyDescent="0.25">
      <c r="B278" s="248">
        <v>1208018</v>
      </c>
      <c r="C278" s="25" t="s">
        <v>35</v>
      </c>
      <c r="D278" s="27">
        <v>5</v>
      </c>
      <c r="F278" s="2" t="s">
        <v>138</v>
      </c>
      <c r="G278" s="102" t="str">
        <f>VLOOKUP(B278,CÓDIGOS!$A$1:$B$1000,2)</f>
        <v>Filtro interno respirador ASTRAL 27939</v>
      </c>
      <c r="H278" s="26"/>
      <c r="I278" s="26"/>
      <c r="J278" s="26">
        <v>1.35</v>
      </c>
      <c r="K278" s="191">
        <f>D278*$L$2*J278</f>
        <v>9922.5</v>
      </c>
      <c r="L278" s="188">
        <f t="shared" si="16"/>
        <v>10914.75</v>
      </c>
      <c r="M278" s="189">
        <f t="shared" si="17"/>
        <v>8268.75</v>
      </c>
    </row>
    <row r="279" spans="2:13" ht="13.5" customHeight="1" x14ac:dyDescent="0.25">
      <c r="B279" s="248">
        <v>1208023</v>
      </c>
      <c r="C279" s="25" t="s">
        <v>35</v>
      </c>
      <c r="D279" s="27">
        <v>3</v>
      </c>
      <c r="F279" s="2" t="s">
        <v>37</v>
      </c>
      <c r="G279" s="102" t="str">
        <f>VLOOKUP(B279,CÓDIGOS!$A$1:$B$1000,2)</f>
        <v>Filtro interno respirador ASTRAL 27939</v>
      </c>
      <c r="H279" s="26"/>
      <c r="I279" s="104"/>
      <c r="J279" s="26">
        <v>1.3500000000000003</v>
      </c>
      <c r="K279" s="191">
        <f>D279*$L$2*J279</f>
        <v>5953.5000000000018</v>
      </c>
      <c r="L279" s="188">
        <f t="shared" si="16"/>
        <v>6548.8500000000022</v>
      </c>
      <c r="M279" s="189">
        <f t="shared" si="17"/>
        <v>4961.2500000000009</v>
      </c>
    </row>
    <row r="280" spans="2:13" ht="13.5" customHeight="1" x14ac:dyDescent="0.25">
      <c r="B280" s="248">
        <v>1208036</v>
      </c>
      <c r="C280" s="25" t="s">
        <v>35</v>
      </c>
      <c r="D280" s="27">
        <v>3</v>
      </c>
      <c r="F280" s="2" t="s">
        <v>39</v>
      </c>
      <c r="G280" s="102" t="str">
        <f>VLOOKUP(B280,CÓDIGOS!$A$1:$B$1000,2)</f>
        <v>Filtro genérico EVERFLO</v>
      </c>
      <c r="H280" s="26"/>
      <c r="I280" s="104"/>
      <c r="J280" s="26">
        <v>1.3500000000000003</v>
      </c>
      <c r="K280" s="191">
        <f>D280*$L$2*J280</f>
        <v>5953.5000000000018</v>
      </c>
      <c r="L280" s="188">
        <f t="shared" si="16"/>
        <v>6548.8500000000022</v>
      </c>
      <c r="M280" s="189">
        <f t="shared" si="17"/>
        <v>4961.2500000000009</v>
      </c>
    </row>
    <row r="281" spans="2:13" ht="13.5" customHeight="1" x14ac:dyDescent="0.25">
      <c r="B281" s="248">
        <v>1208002</v>
      </c>
      <c r="C281" s="25" t="s">
        <v>35</v>
      </c>
      <c r="D281" s="27">
        <v>1.7</v>
      </c>
      <c r="F281" s="2" t="s">
        <v>41</v>
      </c>
      <c r="G281" s="102" t="str">
        <f>VLOOKUP(B281,CÓDIGOS!$A$1:$B$1000,2)</f>
        <v>Filtro HME BESMED adulto 70313</v>
      </c>
      <c r="H281" s="26"/>
      <c r="I281" s="26"/>
      <c r="J281" s="26">
        <v>1.35</v>
      </c>
      <c r="K281" s="191">
        <f>D281*$L$2*J281</f>
        <v>3373.65</v>
      </c>
      <c r="L281" s="188">
        <f t="shared" si="16"/>
        <v>3711.0150000000003</v>
      </c>
      <c r="M281" s="189">
        <f t="shared" si="17"/>
        <v>2811.375</v>
      </c>
    </row>
    <row r="282" spans="2:13" ht="13.5" customHeight="1" x14ac:dyDescent="0.25">
      <c r="B282" s="248">
        <v>1208019</v>
      </c>
      <c r="C282" s="25" t="s">
        <v>35</v>
      </c>
      <c r="D282" s="27">
        <v>1.28</v>
      </c>
      <c r="F282" s="2" t="s">
        <v>43</v>
      </c>
      <c r="G282" s="102" t="str">
        <f>VLOOKUP(B282,CÓDIGOS!$A$1:$B$1000,2)</f>
        <v>Filtro interno respirador ASTRAL 27939</v>
      </c>
      <c r="H282" s="26"/>
      <c r="I282" s="104"/>
      <c r="J282" s="26">
        <v>1.35</v>
      </c>
      <c r="K282" s="191">
        <f>D282*$L$2*J282</f>
        <v>2540.1600000000003</v>
      </c>
      <c r="L282" s="188">
        <f t="shared" si="16"/>
        <v>2794.1760000000004</v>
      </c>
      <c r="M282" s="189">
        <f t="shared" si="17"/>
        <v>2116.8000000000002</v>
      </c>
    </row>
    <row r="283" spans="2:13" ht="13.5" customHeight="1" x14ac:dyDescent="0.25">
      <c r="B283" s="248" t="s">
        <v>418</v>
      </c>
      <c r="C283" s="25" t="s">
        <v>35</v>
      </c>
      <c r="D283" s="27">
        <v>2.2999999999999998</v>
      </c>
      <c r="F283" s="2" t="s">
        <v>46</v>
      </c>
      <c r="G283" s="102" t="str">
        <f>VLOOKUP(B283,CÓDIGOS!$A$1:$B$1000,2)</f>
        <v>Bateria 9V standard</v>
      </c>
      <c r="H283" s="26"/>
      <c r="I283" s="104"/>
      <c r="J283" s="26">
        <v>1.35</v>
      </c>
      <c r="K283" s="191">
        <f>D283*$L$2*J283</f>
        <v>4564.3499999999995</v>
      </c>
      <c r="L283" s="188">
        <f t="shared" si="16"/>
        <v>5020.7849999999999</v>
      </c>
      <c r="M283" s="189">
        <f t="shared" si="17"/>
        <v>3803.6249999999995</v>
      </c>
    </row>
    <row r="284" spans="2:13" ht="13.5" customHeight="1" x14ac:dyDescent="0.25">
      <c r="B284" s="248" t="s">
        <v>419</v>
      </c>
      <c r="C284" s="25" t="s">
        <v>9</v>
      </c>
      <c r="D284" s="27">
        <v>2.42</v>
      </c>
      <c r="F284" s="2" t="s">
        <v>46</v>
      </c>
      <c r="G284" s="102" t="str">
        <f>VLOOKUP(B284,CÓDIGOS!$A$1:$B$1000,2)</f>
        <v>Pila botón recargable LIR 2450 3.6 v</v>
      </c>
      <c r="H284" s="26"/>
      <c r="I284" s="104"/>
      <c r="J284" s="26">
        <v>1.35</v>
      </c>
      <c r="K284" s="191">
        <f>D284*$L$2*J284</f>
        <v>4802.4900000000007</v>
      </c>
      <c r="L284" s="188">
        <f t="shared" si="16"/>
        <v>5282.7390000000014</v>
      </c>
      <c r="M284" s="189">
        <f t="shared" si="17"/>
        <v>4002.0750000000007</v>
      </c>
    </row>
    <row r="285" spans="2:13" ht="13.5" customHeight="1" x14ac:dyDescent="0.25">
      <c r="B285" s="248">
        <v>1208038</v>
      </c>
      <c r="C285" s="25" t="s">
        <v>35</v>
      </c>
      <c r="D285" s="27">
        <v>1.8</v>
      </c>
      <c r="F285" s="2" t="s">
        <v>49</v>
      </c>
      <c r="G285" s="102" t="str">
        <f>VLOOKUP(B285,CÓDIGOS!$A$1:$B$1000,2)</f>
        <v>Filtro HME Hudson RCI HU1570</v>
      </c>
      <c r="H285" s="26"/>
      <c r="I285" s="104"/>
      <c r="J285" s="26">
        <v>1.35</v>
      </c>
      <c r="K285" s="191">
        <f>D285*$L$2*J285</f>
        <v>3572.1000000000004</v>
      </c>
      <c r="L285" s="188">
        <f t="shared" si="16"/>
        <v>3929.3100000000009</v>
      </c>
      <c r="M285" s="189">
        <f t="shared" si="17"/>
        <v>2976.75</v>
      </c>
    </row>
    <row r="286" spans="2:13" ht="13.5" customHeight="1" x14ac:dyDescent="0.25">
      <c r="B286" s="248" t="s">
        <v>420</v>
      </c>
      <c r="C286" s="25" t="s">
        <v>15</v>
      </c>
      <c r="D286" s="27">
        <v>10</v>
      </c>
      <c r="F286" s="2" t="s">
        <v>51</v>
      </c>
      <c r="G286" s="102" t="str">
        <f>VLOOKUP(B286,CÓDIGOS!$A$1:$B$1000,2)</f>
        <v>Reemplazo del kit de filtro de partículas gruesas</v>
      </c>
      <c r="H286" s="26"/>
      <c r="I286" s="104"/>
      <c r="J286" s="26">
        <v>1.35</v>
      </c>
      <c r="K286" s="191">
        <f>D286*$L$2*J286</f>
        <v>19845</v>
      </c>
      <c r="L286" s="188">
        <f t="shared" si="16"/>
        <v>21829.5</v>
      </c>
      <c r="M286" s="189">
        <f t="shared" si="17"/>
        <v>16537.5</v>
      </c>
    </row>
    <row r="287" spans="2:13" ht="13.5" customHeight="1" x14ac:dyDescent="0.25">
      <c r="B287" s="248">
        <v>1208014</v>
      </c>
      <c r="C287" s="25" t="s">
        <v>35</v>
      </c>
      <c r="D287" s="27">
        <v>4</v>
      </c>
      <c r="F287" s="2" t="s">
        <v>112</v>
      </c>
      <c r="G287" s="102" t="str">
        <f>VLOOKUP(B287,CÓDIGOS!$A$1:$B$1000,2)</f>
        <v>Filtro de aire externo JAY5Q / KSOC5</v>
      </c>
      <c r="H287" s="26"/>
      <c r="I287" s="26"/>
      <c r="J287" s="26">
        <v>1.35</v>
      </c>
      <c r="K287" s="191">
        <f>D287*$L$2*J287</f>
        <v>7938.0000000000009</v>
      </c>
      <c r="L287" s="188">
        <f t="shared" si="16"/>
        <v>8731.8000000000011</v>
      </c>
      <c r="M287" s="189">
        <f t="shared" si="17"/>
        <v>6615.0000000000009</v>
      </c>
    </row>
    <row r="288" spans="2:13" ht="13.5" customHeight="1" x14ac:dyDescent="0.25">
      <c r="B288" s="248">
        <v>1208037</v>
      </c>
      <c r="C288" s="25" t="s">
        <v>35</v>
      </c>
      <c r="D288" s="27">
        <v>1.5</v>
      </c>
      <c r="F288" s="2" t="s">
        <v>115</v>
      </c>
      <c r="G288" s="102" t="str">
        <f>VLOOKUP(B288,CÓDIGOS!$A$1:$B$1000,2)</f>
        <v>Filtro bact. humid. c/port LUERÂ HUAKUN</v>
      </c>
      <c r="H288" s="26"/>
      <c r="I288" s="104"/>
      <c r="J288" s="26">
        <v>1.3500000000000003</v>
      </c>
      <c r="K288" s="191">
        <f>D288*$L$2*J288</f>
        <v>2976.7500000000009</v>
      </c>
      <c r="L288" s="188">
        <f t="shared" si="16"/>
        <v>3274.4250000000011</v>
      </c>
      <c r="M288" s="189">
        <f t="shared" si="17"/>
        <v>2480.6250000000005</v>
      </c>
    </row>
    <row r="289" spans="2:13" ht="13.5" customHeight="1" x14ac:dyDescent="0.25">
      <c r="B289" s="248" t="s">
        <v>441</v>
      </c>
      <c r="C289" s="25" t="s">
        <v>35</v>
      </c>
      <c r="D289" s="27">
        <v>2</v>
      </c>
      <c r="F289" s="2" t="s">
        <v>115</v>
      </c>
      <c r="G289" s="102" t="str">
        <f>VLOOKUP(B289,CÓDIGOS!$A$1:$B$1000,2)</f>
        <v>Filtro Aspirador MoviVac Original</v>
      </c>
      <c r="H289" s="26"/>
      <c r="I289" s="104"/>
      <c r="J289" s="26">
        <v>1.35</v>
      </c>
      <c r="K289" s="191">
        <f>D289*$L$2*J289</f>
        <v>3969.0000000000005</v>
      </c>
      <c r="L289" s="188">
        <f t="shared" si="16"/>
        <v>4365.9000000000005</v>
      </c>
      <c r="M289" s="189">
        <f t="shared" si="17"/>
        <v>3307.5000000000005</v>
      </c>
    </row>
    <row r="290" spans="2:13" ht="13.5" customHeight="1" x14ac:dyDescent="0.25">
      <c r="D290" s="252"/>
      <c r="F290" s="1" t="s">
        <v>2285</v>
      </c>
      <c r="G290" s="102" t="e">
        <f>VLOOKUP(B290,CÓDIGOS!$A$1:$B$1000,2)</f>
        <v>#N/A</v>
      </c>
      <c r="H290" s="255"/>
      <c r="I290" s="255"/>
      <c r="J290" s="255"/>
      <c r="K290" s="256"/>
      <c r="L290" s="257"/>
      <c r="M290" s="258"/>
    </row>
    <row r="291" spans="2:13" ht="13.5" customHeight="1" x14ac:dyDescent="0.25">
      <c r="B291" s="210">
        <v>1502008</v>
      </c>
      <c r="D291" s="252"/>
      <c r="G291" s="102" t="str">
        <f>VLOOKUP(B291,CÓDIGOS!$A$1:$B$1000,2)</f>
        <v>Placa fuente PB560</v>
      </c>
      <c r="H291" s="255"/>
      <c r="I291" s="255"/>
      <c r="J291" s="255"/>
      <c r="K291" s="256"/>
      <c r="L291" s="257"/>
      <c r="M291" s="258"/>
    </row>
    <row r="292" spans="2:13" ht="13.5" customHeight="1" x14ac:dyDescent="0.25">
      <c r="B292" s="210">
        <v>1502007</v>
      </c>
      <c r="D292" s="252"/>
      <c r="G292" s="102" t="str">
        <f>VLOOKUP(B292,CÓDIGOS!$A$1:$B$1000,2)</f>
        <v>Placa CPU P/PB560 REF. 10108397</v>
      </c>
      <c r="H292" s="255"/>
      <c r="I292" s="255"/>
      <c r="J292" s="255"/>
      <c r="K292" s="256"/>
      <c r="L292" s="257"/>
      <c r="M292" s="258"/>
    </row>
    <row r="293" spans="2:13" ht="13.5" customHeight="1" x14ac:dyDescent="0.25">
      <c r="B293" s="210">
        <v>1502006</v>
      </c>
      <c r="F293" s="1" t="s">
        <v>668</v>
      </c>
      <c r="G293" s="102" t="str">
        <f>VLOOKUP(B293,CÓDIGOS!$A$1:$B$1000,2)</f>
        <v>Placa turbina DRIVER CARD PB560 REF.10108399</v>
      </c>
    </row>
    <row r="294" spans="2:13" ht="13.5" customHeight="1" x14ac:dyDescent="0.25">
      <c r="B294" s="210">
        <v>1501005</v>
      </c>
      <c r="F294" s="1" t="s">
        <v>662</v>
      </c>
      <c r="G294" s="102" t="str">
        <f>VLOOKUP(B294,CÓDIGOS!$A$1:$B$1000,2)</f>
        <v>Turbina P/PB560 REF. 10028768</v>
      </c>
    </row>
    <row r="295" spans="2:13" ht="13.5" customHeight="1" x14ac:dyDescent="0.25">
      <c r="B295" s="210"/>
    </row>
    <row r="296" spans="2:13" ht="13.5" customHeight="1" x14ac:dyDescent="0.25"/>
    <row r="297" spans="2:13" ht="13.5" customHeight="1" x14ac:dyDescent="0.25"/>
    <row r="298" spans="2:13" ht="13.5" customHeight="1" x14ac:dyDescent="0.25"/>
    <row r="299" spans="2:13" ht="13.5" customHeight="1" x14ac:dyDescent="0.25"/>
    <row r="300" spans="2:13" ht="13.5" customHeight="1" x14ac:dyDescent="0.25"/>
    <row r="301" spans="2:13" ht="13.5" customHeight="1" x14ac:dyDescent="0.25"/>
    <row r="302" spans="2:13" ht="13.5" customHeight="1" x14ac:dyDescent="0.25"/>
    <row r="303" spans="2:13" ht="13.5" customHeight="1" x14ac:dyDescent="0.25"/>
    <row r="304" spans="2:13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</sheetData>
  <mergeCells count="3">
    <mergeCell ref="K2:K3"/>
    <mergeCell ref="L2:L3"/>
    <mergeCell ref="M2:M3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33"/>
  <sheetViews>
    <sheetView zoomScaleNormal="100" workbookViewId="0">
      <pane ySplit="6" topLeftCell="A92" activePane="bottomLeft" state="frozen"/>
      <selection activeCell="H9" sqref="H9"/>
      <selection pane="bottomLeft" activeCell="F73" sqref="F73"/>
    </sheetView>
  </sheetViews>
  <sheetFormatPr baseColWidth="10" defaultRowHeight="15" x14ac:dyDescent="0.25"/>
  <cols>
    <col min="1" max="1" width="9.5703125" style="51" customWidth="1"/>
    <col min="2" max="2" width="9.5703125" style="248" customWidth="1"/>
    <col min="3" max="3" width="14.28515625" style="1" bestFit="1" customWidth="1"/>
    <col min="4" max="4" width="10.5703125" style="52" bestFit="1" customWidth="1"/>
    <col min="5" max="5" width="10.5703125" style="52" hidden="1" customWidth="1"/>
    <col min="6" max="6" width="46.28515625" style="1" customWidth="1"/>
    <col min="7" max="7" width="12.85546875" style="53" customWidth="1"/>
    <col min="8" max="8" width="12.7109375" style="53" customWidth="1"/>
    <col min="9" max="9" width="5.85546875" style="53" bestFit="1" customWidth="1"/>
    <col min="10" max="10" width="13.85546875" style="200" bestFit="1" customWidth="1"/>
    <col min="11" max="12" width="13.85546875" style="6" bestFit="1" customWidth="1"/>
    <col min="13" max="13" width="10.28515625" style="6" bestFit="1" customWidth="1"/>
    <col min="14" max="14" width="9.42578125" style="6" bestFit="1" customWidth="1"/>
    <col min="15" max="16" width="11.42578125" style="54"/>
    <col min="260" max="260" width="9.5703125" customWidth="1"/>
    <col min="261" max="261" width="9.85546875" customWidth="1"/>
    <col min="262" max="262" width="7.140625" customWidth="1"/>
    <col min="263" max="263" width="46.28515625" customWidth="1"/>
    <col min="264" max="264" width="12.85546875" customWidth="1"/>
    <col min="265" max="265" width="12.7109375" customWidth="1"/>
    <col min="266" max="266" width="9.7109375" customWidth="1"/>
    <col min="267" max="267" width="7.42578125" customWidth="1"/>
    <col min="268" max="268" width="7.28515625" customWidth="1"/>
    <col min="269" max="269" width="7.42578125" customWidth="1"/>
    <col min="270" max="270" width="8" customWidth="1"/>
    <col min="516" max="516" width="9.5703125" customWidth="1"/>
    <col min="517" max="517" width="9.85546875" customWidth="1"/>
    <col min="518" max="518" width="7.140625" customWidth="1"/>
    <col min="519" max="519" width="46.28515625" customWidth="1"/>
    <col min="520" max="520" width="12.85546875" customWidth="1"/>
    <col min="521" max="521" width="12.7109375" customWidth="1"/>
    <col min="522" max="522" width="9.7109375" customWidth="1"/>
    <col min="523" max="523" width="7.42578125" customWidth="1"/>
    <col min="524" max="524" width="7.28515625" customWidth="1"/>
    <col min="525" max="525" width="7.42578125" customWidth="1"/>
    <col min="526" max="526" width="8" customWidth="1"/>
    <col min="772" max="772" width="9.5703125" customWidth="1"/>
    <col min="773" max="773" width="9.85546875" customWidth="1"/>
    <col min="774" max="774" width="7.140625" customWidth="1"/>
    <col min="775" max="775" width="46.28515625" customWidth="1"/>
    <col min="776" max="776" width="12.85546875" customWidth="1"/>
    <col min="777" max="777" width="12.7109375" customWidth="1"/>
    <col min="778" max="778" width="9.7109375" customWidth="1"/>
    <col min="779" max="779" width="7.42578125" customWidth="1"/>
    <col min="780" max="780" width="7.28515625" customWidth="1"/>
    <col min="781" max="781" width="7.42578125" customWidth="1"/>
    <col min="782" max="782" width="8" customWidth="1"/>
    <col min="1028" max="1028" width="9.5703125" customWidth="1"/>
    <col min="1029" max="1029" width="9.85546875" customWidth="1"/>
    <col min="1030" max="1030" width="7.140625" customWidth="1"/>
    <col min="1031" max="1031" width="46.28515625" customWidth="1"/>
    <col min="1032" max="1032" width="12.85546875" customWidth="1"/>
    <col min="1033" max="1033" width="12.7109375" customWidth="1"/>
    <col min="1034" max="1034" width="9.7109375" customWidth="1"/>
    <col min="1035" max="1035" width="7.42578125" customWidth="1"/>
    <col min="1036" max="1036" width="7.28515625" customWidth="1"/>
    <col min="1037" max="1037" width="7.42578125" customWidth="1"/>
    <col min="1038" max="1038" width="8" customWidth="1"/>
    <col min="1284" max="1284" width="9.5703125" customWidth="1"/>
    <col min="1285" max="1285" width="9.85546875" customWidth="1"/>
    <col min="1286" max="1286" width="7.140625" customWidth="1"/>
    <col min="1287" max="1287" width="46.28515625" customWidth="1"/>
    <col min="1288" max="1288" width="12.85546875" customWidth="1"/>
    <col min="1289" max="1289" width="12.7109375" customWidth="1"/>
    <col min="1290" max="1290" width="9.7109375" customWidth="1"/>
    <col min="1291" max="1291" width="7.42578125" customWidth="1"/>
    <col min="1292" max="1292" width="7.28515625" customWidth="1"/>
    <col min="1293" max="1293" width="7.42578125" customWidth="1"/>
    <col min="1294" max="1294" width="8" customWidth="1"/>
    <col min="1540" max="1540" width="9.5703125" customWidth="1"/>
    <col min="1541" max="1541" width="9.85546875" customWidth="1"/>
    <col min="1542" max="1542" width="7.140625" customWidth="1"/>
    <col min="1543" max="1543" width="46.28515625" customWidth="1"/>
    <col min="1544" max="1544" width="12.85546875" customWidth="1"/>
    <col min="1545" max="1545" width="12.7109375" customWidth="1"/>
    <col min="1546" max="1546" width="9.7109375" customWidth="1"/>
    <col min="1547" max="1547" width="7.42578125" customWidth="1"/>
    <col min="1548" max="1548" width="7.28515625" customWidth="1"/>
    <col min="1549" max="1549" width="7.42578125" customWidth="1"/>
    <col min="1550" max="1550" width="8" customWidth="1"/>
    <col min="1796" max="1796" width="9.5703125" customWidth="1"/>
    <col min="1797" max="1797" width="9.85546875" customWidth="1"/>
    <col min="1798" max="1798" width="7.140625" customWidth="1"/>
    <col min="1799" max="1799" width="46.28515625" customWidth="1"/>
    <col min="1800" max="1800" width="12.85546875" customWidth="1"/>
    <col min="1801" max="1801" width="12.7109375" customWidth="1"/>
    <col min="1802" max="1802" width="9.7109375" customWidth="1"/>
    <col min="1803" max="1803" width="7.42578125" customWidth="1"/>
    <col min="1804" max="1804" width="7.28515625" customWidth="1"/>
    <col min="1805" max="1805" width="7.42578125" customWidth="1"/>
    <col min="1806" max="1806" width="8" customWidth="1"/>
    <col min="2052" max="2052" width="9.5703125" customWidth="1"/>
    <col min="2053" max="2053" width="9.85546875" customWidth="1"/>
    <col min="2054" max="2054" width="7.140625" customWidth="1"/>
    <col min="2055" max="2055" width="46.28515625" customWidth="1"/>
    <col min="2056" max="2056" width="12.85546875" customWidth="1"/>
    <col min="2057" max="2057" width="12.7109375" customWidth="1"/>
    <col min="2058" max="2058" width="9.7109375" customWidth="1"/>
    <col min="2059" max="2059" width="7.42578125" customWidth="1"/>
    <col min="2060" max="2060" width="7.28515625" customWidth="1"/>
    <col min="2061" max="2061" width="7.42578125" customWidth="1"/>
    <col min="2062" max="2062" width="8" customWidth="1"/>
    <col min="2308" max="2308" width="9.5703125" customWidth="1"/>
    <col min="2309" max="2309" width="9.85546875" customWidth="1"/>
    <col min="2310" max="2310" width="7.140625" customWidth="1"/>
    <col min="2311" max="2311" width="46.28515625" customWidth="1"/>
    <col min="2312" max="2312" width="12.85546875" customWidth="1"/>
    <col min="2313" max="2313" width="12.7109375" customWidth="1"/>
    <col min="2314" max="2314" width="9.7109375" customWidth="1"/>
    <col min="2315" max="2315" width="7.42578125" customWidth="1"/>
    <col min="2316" max="2316" width="7.28515625" customWidth="1"/>
    <col min="2317" max="2317" width="7.42578125" customWidth="1"/>
    <col min="2318" max="2318" width="8" customWidth="1"/>
    <col min="2564" max="2564" width="9.5703125" customWidth="1"/>
    <col min="2565" max="2565" width="9.85546875" customWidth="1"/>
    <col min="2566" max="2566" width="7.140625" customWidth="1"/>
    <col min="2567" max="2567" width="46.28515625" customWidth="1"/>
    <col min="2568" max="2568" width="12.85546875" customWidth="1"/>
    <col min="2569" max="2569" width="12.7109375" customWidth="1"/>
    <col min="2570" max="2570" width="9.7109375" customWidth="1"/>
    <col min="2571" max="2571" width="7.42578125" customWidth="1"/>
    <col min="2572" max="2572" width="7.28515625" customWidth="1"/>
    <col min="2573" max="2573" width="7.42578125" customWidth="1"/>
    <col min="2574" max="2574" width="8" customWidth="1"/>
    <col min="2820" max="2820" width="9.5703125" customWidth="1"/>
    <col min="2821" max="2821" width="9.85546875" customWidth="1"/>
    <col min="2822" max="2822" width="7.140625" customWidth="1"/>
    <col min="2823" max="2823" width="46.28515625" customWidth="1"/>
    <col min="2824" max="2824" width="12.85546875" customWidth="1"/>
    <col min="2825" max="2825" width="12.7109375" customWidth="1"/>
    <col min="2826" max="2826" width="9.7109375" customWidth="1"/>
    <col min="2827" max="2827" width="7.42578125" customWidth="1"/>
    <col min="2828" max="2828" width="7.28515625" customWidth="1"/>
    <col min="2829" max="2829" width="7.42578125" customWidth="1"/>
    <col min="2830" max="2830" width="8" customWidth="1"/>
    <col min="3076" max="3076" width="9.5703125" customWidth="1"/>
    <col min="3077" max="3077" width="9.85546875" customWidth="1"/>
    <col min="3078" max="3078" width="7.140625" customWidth="1"/>
    <col min="3079" max="3079" width="46.28515625" customWidth="1"/>
    <col min="3080" max="3080" width="12.85546875" customWidth="1"/>
    <col min="3081" max="3081" width="12.7109375" customWidth="1"/>
    <col min="3082" max="3082" width="9.7109375" customWidth="1"/>
    <col min="3083" max="3083" width="7.42578125" customWidth="1"/>
    <col min="3084" max="3084" width="7.28515625" customWidth="1"/>
    <col min="3085" max="3085" width="7.42578125" customWidth="1"/>
    <col min="3086" max="3086" width="8" customWidth="1"/>
    <col min="3332" max="3332" width="9.5703125" customWidth="1"/>
    <col min="3333" max="3333" width="9.85546875" customWidth="1"/>
    <col min="3334" max="3334" width="7.140625" customWidth="1"/>
    <col min="3335" max="3335" width="46.28515625" customWidth="1"/>
    <col min="3336" max="3336" width="12.85546875" customWidth="1"/>
    <col min="3337" max="3337" width="12.7109375" customWidth="1"/>
    <col min="3338" max="3338" width="9.7109375" customWidth="1"/>
    <col min="3339" max="3339" width="7.42578125" customWidth="1"/>
    <col min="3340" max="3340" width="7.28515625" customWidth="1"/>
    <col min="3341" max="3341" width="7.42578125" customWidth="1"/>
    <col min="3342" max="3342" width="8" customWidth="1"/>
    <col min="3588" max="3588" width="9.5703125" customWidth="1"/>
    <col min="3589" max="3589" width="9.85546875" customWidth="1"/>
    <col min="3590" max="3590" width="7.140625" customWidth="1"/>
    <col min="3591" max="3591" width="46.28515625" customWidth="1"/>
    <col min="3592" max="3592" width="12.85546875" customWidth="1"/>
    <col min="3593" max="3593" width="12.7109375" customWidth="1"/>
    <col min="3594" max="3594" width="9.7109375" customWidth="1"/>
    <col min="3595" max="3595" width="7.42578125" customWidth="1"/>
    <col min="3596" max="3596" width="7.28515625" customWidth="1"/>
    <col min="3597" max="3597" width="7.42578125" customWidth="1"/>
    <col min="3598" max="3598" width="8" customWidth="1"/>
    <col min="3844" max="3844" width="9.5703125" customWidth="1"/>
    <col min="3845" max="3845" width="9.85546875" customWidth="1"/>
    <col min="3846" max="3846" width="7.140625" customWidth="1"/>
    <col min="3847" max="3847" width="46.28515625" customWidth="1"/>
    <col min="3848" max="3848" width="12.85546875" customWidth="1"/>
    <col min="3849" max="3849" width="12.7109375" customWidth="1"/>
    <col min="3850" max="3850" width="9.7109375" customWidth="1"/>
    <col min="3851" max="3851" width="7.42578125" customWidth="1"/>
    <col min="3852" max="3852" width="7.28515625" customWidth="1"/>
    <col min="3853" max="3853" width="7.42578125" customWidth="1"/>
    <col min="3854" max="3854" width="8" customWidth="1"/>
    <col min="4100" max="4100" width="9.5703125" customWidth="1"/>
    <col min="4101" max="4101" width="9.85546875" customWidth="1"/>
    <col min="4102" max="4102" width="7.140625" customWidth="1"/>
    <col min="4103" max="4103" width="46.28515625" customWidth="1"/>
    <col min="4104" max="4104" width="12.85546875" customWidth="1"/>
    <col min="4105" max="4105" width="12.7109375" customWidth="1"/>
    <col min="4106" max="4106" width="9.7109375" customWidth="1"/>
    <col min="4107" max="4107" width="7.42578125" customWidth="1"/>
    <col min="4108" max="4108" width="7.28515625" customWidth="1"/>
    <col min="4109" max="4109" width="7.42578125" customWidth="1"/>
    <col min="4110" max="4110" width="8" customWidth="1"/>
    <col min="4356" max="4356" width="9.5703125" customWidth="1"/>
    <col min="4357" max="4357" width="9.85546875" customWidth="1"/>
    <col min="4358" max="4358" width="7.140625" customWidth="1"/>
    <col min="4359" max="4359" width="46.28515625" customWidth="1"/>
    <col min="4360" max="4360" width="12.85546875" customWidth="1"/>
    <col min="4361" max="4361" width="12.7109375" customWidth="1"/>
    <col min="4362" max="4362" width="9.7109375" customWidth="1"/>
    <col min="4363" max="4363" width="7.42578125" customWidth="1"/>
    <col min="4364" max="4364" width="7.28515625" customWidth="1"/>
    <col min="4365" max="4365" width="7.42578125" customWidth="1"/>
    <col min="4366" max="4366" width="8" customWidth="1"/>
    <col min="4612" max="4612" width="9.5703125" customWidth="1"/>
    <col min="4613" max="4613" width="9.85546875" customWidth="1"/>
    <col min="4614" max="4614" width="7.140625" customWidth="1"/>
    <col min="4615" max="4615" width="46.28515625" customWidth="1"/>
    <col min="4616" max="4616" width="12.85546875" customWidth="1"/>
    <col min="4617" max="4617" width="12.7109375" customWidth="1"/>
    <col min="4618" max="4618" width="9.7109375" customWidth="1"/>
    <col min="4619" max="4619" width="7.42578125" customWidth="1"/>
    <col min="4620" max="4620" width="7.28515625" customWidth="1"/>
    <col min="4621" max="4621" width="7.42578125" customWidth="1"/>
    <col min="4622" max="4622" width="8" customWidth="1"/>
    <col min="4868" max="4868" width="9.5703125" customWidth="1"/>
    <col min="4869" max="4869" width="9.85546875" customWidth="1"/>
    <col min="4870" max="4870" width="7.140625" customWidth="1"/>
    <col min="4871" max="4871" width="46.28515625" customWidth="1"/>
    <col min="4872" max="4872" width="12.85546875" customWidth="1"/>
    <col min="4873" max="4873" width="12.7109375" customWidth="1"/>
    <col min="4874" max="4874" width="9.7109375" customWidth="1"/>
    <col min="4875" max="4875" width="7.42578125" customWidth="1"/>
    <col min="4876" max="4876" width="7.28515625" customWidth="1"/>
    <col min="4877" max="4877" width="7.42578125" customWidth="1"/>
    <col min="4878" max="4878" width="8" customWidth="1"/>
    <col min="5124" max="5124" width="9.5703125" customWidth="1"/>
    <col min="5125" max="5125" width="9.85546875" customWidth="1"/>
    <col min="5126" max="5126" width="7.140625" customWidth="1"/>
    <col min="5127" max="5127" width="46.28515625" customWidth="1"/>
    <col min="5128" max="5128" width="12.85546875" customWidth="1"/>
    <col min="5129" max="5129" width="12.7109375" customWidth="1"/>
    <col min="5130" max="5130" width="9.7109375" customWidth="1"/>
    <col min="5131" max="5131" width="7.42578125" customWidth="1"/>
    <col min="5132" max="5132" width="7.28515625" customWidth="1"/>
    <col min="5133" max="5133" width="7.42578125" customWidth="1"/>
    <col min="5134" max="5134" width="8" customWidth="1"/>
    <col min="5380" max="5380" width="9.5703125" customWidth="1"/>
    <col min="5381" max="5381" width="9.85546875" customWidth="1"/>
    <col min="5382" max="5382" width="7.140625" customWidth="1"/>
    <col min="5383" max="5383" width="46.28515625" customWidth="1"/>
    <col min="5384" max="5384" width="12.85546875" customWidth="1"/>
    <col min="5385" max="5385" width="12.7109375" customWidth="1"/>
    <col min="5386" max="5386" width="9.7109375" customWidth="1"/>
    <col min="5387" max="5387" width="7.42578125" customWidth="1"/>
    <col min="5388" max="5388" width="7.28515625" customWidth="1"/>
    <col min="5389" max="5389" width="7.42578125" customWidth="1"/>
    <col min="5390" max="5390" width="8" customWidth="1"/>
    <col min="5636" max="5636" width="9.5703125" customWidth="1"/>
    <col min="5637" max="5637" width="9.85546875" customWidth="1"/>
    <col min="5638" max="5638" width="7.140625" customWidth="1"/>
    <col min="5639" max="5639" width="46.28515625" customWidth="1"/>
    <col min="5640" max="5640" width="12.85546875" customWidth="1"/>
    <col min="5641" max="5641" width="12.7109375" customWidth="1"/>
    <col min="5642" max="5642" width="9.7109375" customWidth="1"/>
    <col min="5643" max="5643" width="7.42578125" customWidth="1"/>
    <col min="5644" max="5644" width="7.28515625" customWidth="1"/>
    <col min="5645" max="5645" width="7.42578125" customWidth="1"/>
    <col min="5646" max="5646" width="8" customWidth="1"/>
    <col min="5892" max="5892" width="9.5703125" customWidth="1"/>
    <col min="5893" max="5893" width="9.85546875" customWidth="1"/>
    <col min="5894" max="5894" width="7.140625" customWidth="1"/>
    <col min="5895" max="5895" width="46.28515625" customWidth="1"/>
    <col min="5896" max="5896" width="12.85546875" customWidth="1"/>
    <col min="5897" max="5897" width="12.7109375" customWidth="1"/>
    <col min="5898" max="5898" width="9.7109375" customWidth="1"/>
    <col min="5899" max="5899" width="7.42578125" customWidth="1"/>
    <col min="5900" max="5900" width="7.28515625" customWidth="1"/>
    <col min="5901" max="5901" width="7.42578125" customWidth="1"/>
    <col min="5902" max="5902" width="8" customWidth="1"/>
    <col min="6148" max="6148" width="9.5703125" customWidth="1"/>
    <col min="6149" max="6149" width="9.85546875" customWidth="1"/>
    <col min="6150" max="6150" width="7.140625" customWidth="1"/>
    <col min="6151" max="6151" width="46.28515625" customWidth="1"/>
    <col min="6152" max="6152" width="12.85546875" customWidth="1"/>
    <col min="6153" max="6153" width="12.7109375" customWidth="1"/>
    <col min="6154" max="6154" width="9.7109375" customWidth="1"/>
    <col min="6155" max="6155" width="7.42578125" customWidth="1"/>
    <col min="6156" max="6156" width="7.28515625" customWidth="1"/>
    <col min="6157" max="6157" width="7.42578125" customWidth="1"/>
    <col min="6158" max="6158" width="8" customWidth="1"/>
    <col min="6404" max="6404" width="9.5703125" customWidth="1"/>
    <col min="6405" max="6405" width="9.85546875" customWidth="1"/>
    <col min="6406" max="6406" width="7.140625" customWidth="1"/>
    <col min="6407" max="6407" width="46.28515625" customWidth="1"/>
    <col min="6408" max="6408" width="12.85546875" customWidth="1"/>
    <col min="6409" max="6409" width="12.7109375" customWidth="1"/>
    <col min="6410" max="6410" width="9.7109375" customWidth="1"/>
    <col min="6411" max="6411" width="7.42578125" customWidth="1"/>
    <col min="6412" max="6412" width="7.28515625" customWidth="1"/>
    <col min="6413" max="6413" width="7.42578125" customWidth="1"/>
    <col min="6414" max="6414" width="8" customWidth="1"/>
    <col min="6660" max="6660" width="9.5703125" customWidth="1"/>
    <col min="6661" max="6661" width="9.85546875" customWidth="1"/>
    <col min="6662" max="6662" width="7.140625" customWidth="1"/>
    <col min="6663" max="6663" width="46.28515625" customWidth="1"/>
    <col min="6664" max="6664" width="12.85546875" customWidth="1"/>
    <col min="6665" max="6665" width="12.7109375" customWidth="1"/>
    <col min="6666" max="6666" width="9.7109375" customWidth="1"/>
    <col min="6667" max="6667" width="7.42578125" customWidth="1"/>
    <col min="6668" max="6668" width="7.28515625" customWidth="1"/>
    <col min="6669" max="6669" width="7.42578125" customWidth="1"/>
    <col min="6670" max="6670" width="8" customWidth="1"/>
    <col min="6916" max="6916" width="9.5703125" customWidth="1"/>
    <col min="6917" max="6917" width="9.85546875" customWidth="1"/>
    <col min="6918" max="6918" width="7.140625" customWidth="1"/>
    <col min="6919" max="6919" width="46.28515625" customWidth="1"/>
    <col min="6920" max="6920" width="12.85546875" customWidth="1"/>
    <col min="6921" max="6921" width="12.7109375" customWidth="1"/>
    <col min="6922" max="6922" width="9.7109375" customWidth="1"/>
    <col min="6923" max="6923" width="7.42578125" customWidth="1"/>
    <col min="6924" max="6924" width="7.28515625" customWidth="1"/>
    <col min="6925" max="6925" width="7.42578125" customWidth="1"/>
    <col min="6926" max="6926" width="8" customWidth="1"/>
    <col min="7172" max="7172" width="9.5703125" customWidth="1"/>
    <col min="7173" max="7173" width="9.85546875" customWidth="1"/>
    <col min="7174" max="7174" width="7.140625" customWidth="1"/>
    <col min="7175" max="7175" width="46.28515625" customWidth="1"/>
    <col min="7176" max="7176" width="12.85546875" customWidth="1"/>
    <col min="7177" max="7177" width="12.7109375" customWidth="1"/>
    <col min="7178" max="7178" width="9.7109375" customWidth="1"/>
    <col min="7179" max="7179" width="7.42578125" customWidth="1"/>
    <col min="7180" max="7180" width="7.28515625" customWidth="1"/>
    <col min="7181" max="7181" width="7.42578125" customWidth="1"/>
    <col min="7182" max="7182" width="8" customWidth="1"/>
    <col min="7428" max="7428" width="9.5703125" customWidth="1"/>
    <col min="7429" max="7429" width="9.85546875" customWidth="1"/>
    <col min="7430" max="7430" width="7.140625" customWidth="1"/>
    <col min="7431" max="7431" width="46.28515625" customWidth="1"/>
    <col min="7432" max="7432" width="12.85546875" customWidth="1"/>
    <col min="7433" max="7433" width="12.7109375" customWidth="1"/>
    <col min="7434" max="7434" width="9.7109375" customWidth="1"/>
    <col min="7435" max="7435" width="7.42578125" customWidth="1"/>
    <col min="7436" max="7436" width="7.28515625" customWidth="1"/>
    <col min="7437" max="7437" width="7.42578125" customWidth="1"/>
    <col min="7438" max="7438" width="8" customWidth="1"/>
    <col min="7684" max="7684" width="9.5703125" customWidth="1"/>
    <col min="7685" max="7685" width="9.85546875" customWidth="1"/>
    <col min="7686" max="7686" width="7.140625" customWidth="1"/>
    <col min="7687" max="7687" width="46.28515625" customWidth="1"/>
    <col min="7688" max="7688" width="12.85546875" customWidth="1"/>
    <col min="7689" max="7689" width="12.7109375" customWidth="1"/>
    <col min="7690" max="7690" width="9.7109375" customWidth="1"/>
    <col min="7691" max="7691" width="7.42578125" customWidth="1"/>
    <col min="7692" max="7692" width="7.28515625" customWidth="1"/>
    <col min="7693" max="7693" width="7.42578125" customWidth="1"/>
    <col min="7694" max="7694" width="8" customWidth="1"/>
    <col min="7940" max="7940" width="9.5703125" customWidth="1"/>
    <col min="7941" max="7941" width="9.85546875" customWidth="1"/>
    <col min="7942" max="7942" width="7.140625" customWidth="1"/>
    <col min="7943" max="7943" width="46.28515625" customWidth="1"/>
    <col min="7944" max="7944" width="12.85546875" customWidth="1"/>
    <col min="7945" max="7945" width="12.7109375" customWidth="1"/>
    <col min="7946" max="7946" width="9.7109375" customWidth="1"/>
    <col min="7947" max="7947" width="7.42578125" customWidth="1"/>
    <col min="7948" max="7948" width="7.28515625" customWidth="1"/>
    <col min="7949" max="7949" width="7.42578125" customWidth="1"/>
    <col min="7950" max="7950" width="8" customWidth="1"/>
    <col min="8196" max="8196" width="9.5703125" customWidth="1"/>
    <col min="8197" max="8197" width="9.85546875" customWidth="1"/>
    <col min="8198" max="8198" width="7.140625" customWidth="1"/>
    <col min="8199" max="8199" width="46.28515625" customWidth="1"/>
    <col min="8200" max="8200" width="12.85546875" customWidth="1"/>
    <col min="8201" max="8201" width="12.7109375" customWidth="1"/>
    <col min="8202" max="8202" width="9.7109375" customWidth="1"/>
    <col min="8203" max="8203" width="7.42578125" customWidth="1"/>
    <col min="8204" max="8204" width="7.28515625" customWidth="1"/>
    <col min="8205" max="8205" width="7.42578125" customWidth="1"/>
    <col min="8206" max="8206" width="8" customWidth="1"/>
    <col min="8452" max="8452" width="9.5703125" customWidth="1"/>
    <col min="8453" max="8453" width="9.85546875" customWidth="1"/>
    <col min="8454" max="8454" width="7.140625" customWidth="1"/>
    <col min="8455" max="8455" width="46.28515625" customWidth="1"/>
    <col min="8456" max="8456" width="12.85546875" customWidth="1"/>
    <col min="8457" max="8457" width="12.7109375" customWidth="1"/>
    <col min="8458" max="8458" width="9.7109375" customWidth="1"/>
    <col min="8459" max="8459" width="7.42578125" customWidth="1"/>
    <col min="8460" max="8460" width="7.28515625" customWidth="1"/>
    <col min="8461" max="8461" width="7.42578125" customWidth="1"/>
    <col min="8462" max="8462" width="8" customWidth="1"/>
    <col min="8708" max="8708" width="9.5703125" customWidth="1"/>
    <col min="8709" max="8709" width="9.85546875" customWidth="1"/>
    <col min="8710" max="8710" width="7.140625" customWidth="1"/>
    <col min="8711" max="8711" width="46.28515625" customWidth="1"/>
    <col min="8712" max="8712" width="12.85546875" customWidth="1"/>
    <col min="8713" max="8713" width="12.7109375" customWidth="1"/>
    <col min="8714" max="8714" width="9.7109375" customWidth="1"/>
    <col min="8715" max="8715" width="7.42578125" customWidth="1"/>
    <col min="8716" max="8716" width="7.28515625" customWidth="1"/>
    <col min="8717" max="8717" width="7.42578125" customWidth="1"/>
    <col min="8718" max="8718" width="8" customWidth="1"/>
    <col min="8964" max="8964" width="9.5703125" customWidth="1"/>
    <col min="8965" max="8965" width="9.85546875" customWidth="1"/>
    <col min="8966" max="8966" width="7.140625" customWidth="1"/>
    <col min="8967" max="8967" width="46.28515625" customWidth="1"/>
    <col min="8968" max="8968" width="12.85546875" customWidth="1"/>
    <col min="8969" max="8969" width="12.7109375" customWidth="1"/>
    <col min="8970" max="8970" width="9.7109375" customWidth="1"/>
    <col min="8971" max="8971" width="7.42578125" customWidth="1"/>
    <col min="8972" max="8972" width="7.28515625" customWidth="1"/>
    <col min="8973" max="8973" width="7.42578125" customWidth="1"/>
    <col min="8974" max="8974" width="8" customWidth="1"/>
    <col min="9220" max="9220" width="9.5703125" customWidth="1"/>
    <col min="9221" max="9221" width="9.85546875" customWidth="1"/>
    <col min="9222" max="9222" width="7.140625" customWidth="1"/>
    <col min="9223" max="9223" width="46.28515625" customWidth="1"/>
    <col min="9224" max="9224" width="12.85546875" customWidth="1"/>
    <col min="9225" max="9225" width="12.7109375" customWidth="1"/>
    <col min="9226" max="9226" width="9.7109375" customWidth="1"/>
    <col min="9227" max="9227" width="7.42578125" customWidth="1"/>
    <col min="9228" max="9228" width="7.28515625" customWidth="1"/>
    <col min="9229" max="9229" width="7.42578125" customWidth="1"/>
    <col min="9230" max="9230" width="8" customWidth="1"/>
    <col min="9476" max="9476" width="9.5703125" customWidth="1"/>
    <col min="9477" max="9477" width="9.85546875" customWidth="1"/>
    <col min="9478" max="9478" width="7.140625" customWidth="1"/>
    <col min="9479" max="9479" width="46.28515625" customWidth="1"/>
    <col min="9480" max="9480" width="12.85546875" customWidth="1"/>
    <col min="9481" max="9481" width="12.7109375" customWidth="1"/>
    <col min="9482" max="9482" width="9.7109375" customWidth="1"/>
    <col min="9483" max="9483" width="7.42578125" customWidth="1"/>
    <col min="9484" max="9484" width="7.28515625" customWidth="1"/>
    <col min="9485" max="9485" width="7.42578125" customWidth="1"/>
    <col min="9486" max="9486" width="8" customWidth="1"/>
    <col min="9732" max="9732" width="9.5703125" customWidth="1"/>
    <col min="9733" max="9733" width="9.85546875" customWidth="1"/>
    <col min="9734" max="9734" width="7.140625" customWidth="1"/>
    <col min="9735" max="9735" width="46.28515625" customWidth="1"/>
    <col min="9736" max="9736" width="12.85546875" customWidth="1"/>
    <col min="9737" max="9737" width="12.7109375" customWidth="1"/>
    <col min="9738" max="9738" width="9.7109375" customWidth="1"/>
    <col min="9739" max="9739" width="7.42578125" customWidth="1"/>
    <col min="9740" max="9740" width="7.28515625" customWidth="1"/>
    <col min="9741" max="9741" width="7.42578125" customWidth="1"/>
    <col min="9742" max="9742" width="8" customWidth="1"/>
    <col min="9988" max="9988" width="9.5703125" customWidth="1"/>
    <col min="9989" max="9989" width="9.85546875" customWidth="1"/>
    <col min="9990" max="9990" width="7.140625" customWidth="1"/>
    <col min="9991" max="9991" width="46.28515625" customWidth="1"/>
    <col min="9992" max="9992" width="12.85546875" customWidth="1"/>
    <col min="9993" max="9993" width="12.7109375" customWidth="1"/>
    <col min="9994" max="9994" width="9.7109375" customWidth="1"/>
    <col min="9995" max="9995" width="7.42578125" customWidth="1"/>
    <col min="9996" max="9996" width="7.28515625" customWidth="1"/>
    <col min="9997" max="9997" width="7.42578125" customWidth="1"/>
    <col min="9998" max="9998" width="8" customWidth="1"/>
    <col min="10244" max="10244" width="9.5703125" customWidth="1"/>
    <col min="10245" max="10245" width="9.85546875" customWidth="1"/>
    <col min="10246" max="10246" width="7.140625" customWidth="1"/>
    <col min="10247" max="10247" width="46.28515625" customWidth="1"/>
    <col min="10248" max="10248" width="12.85546875" customWidth="1"/>
    <col min="10249" max="10249" width="12.7109375" customWidth="1"/>
    <col min="10250" max="10250" width="9.7109375" customWidth="1"/>
    <col min="10251" max="10251" width="7.42578125" customWidth="1"/>
    <col min="10252" max="10252" width="7.28515625" customWidth="1"/>
    <col min="10253" max="10253" width="7.42578125" customWidth="1"/>
    <col min="10254" max="10254" width="8" customWidth="1"/>
    <col min="10500" max="10500" width="9.5703125" customWidth="1"/>
    <col min="10501" max="10501" width="9.85546875" customWidth="1"/>
    <col min="10502" max="10502" width="7.140625" customWidth="1"/>
    <col min="10503" max="10503" width="46.28515625" customWidth="1"/>
    <col min="10504" max="10504" width="12.85546875" customWidth="1"/>
    <col min="10505" max="10505" width="12.7109375" customWidth="1"/>
    <col min="10506" max="10506" width="9.7109375" customWidth="1"/>
    <col min="10507" max="10507" width="7.42578125" customWidth="1"/>
    <col min="10508" max="10508" width="7.28515625" customWidth="1"/>
    <col min="10509" max="10509" width="7.42578125" customWidth="1"/>
    <col min="10510" max="10510" width="8" customWidth="1"/>
    <col min="10756" max="10756" width="9.5703125" customWidth="1"/>
    <col min="10757" max="10757" width="9.85546875" customWidth="1"/>
    <col min="10758" max="10758" width="7.140625" customWidth="1"/>
    <col min="10759" max="10759" width="46.28515625" customWidth="1"/>
    <col min="10760" max="10760" width="12.85546875" customWidth="1"/>
    <col min="10761" max="10761" width="12.7109375" customWidth="1"/>
    <col min="10762" max="10762" width="9.7109375" customWidth="1"/>
    <col min="10763" max="10763" width="7.42578125" customWidth="1"/>
    <col min="10764" max="10764" width="7.28515625" customWidth="1"/>
    <col min="10765" max="10765" width="7.42578125" customWidth="1"/>
    <col min="10766" max="10766" width="8" customWidth="1"/>
    <col min="11012" max="11012" width="9.5703125" customWidth="1"/>
    <col min="11013" max="11013" width="9.85546875" customWidth="1"/>
    <col min="11014" max="11014" width="7.140625" customWidth="1"/>
    <col min="11015" max="11015" width="46.28515625" customWidth="1"/>
    <col min="11016" max="11016" width="12.85546875" customWidth="1"/>
    <col min="11017" max="11017" width="12.7109375" customWidth="1"/>
    <col min="11018" max="11018" width="9.7109375" customWidth="1"/>
    <col min="11019" max="11019" width="7.42578125" customWidth="1"/>
    <col min="11020" max="11020" width="7.28515625" customWidth="1"/>
    <col min="11021" max="11021" width="7.42578125" customWidth="1"/>
    <col min="11022" max="11022" width="8" customWidth="1"/>
    <col min="11268" max="11268" width="9.5703125" customWidth="1"/>
    <col min="11269" max="11269" width="9.85546875" customWidth="1"/>
    <col min="11270" max="11270" width="7.140625" customWidth="1"/>
    <col min="11271" max="11271" width="46.28515625" customWidth="1"/>
    <col min="11272" max="11272" width="12.85546875" customWidth="1"/>
    <col min="11273" max="11273" width="12.7109375" customWidth="1"/>
    <col min="11274" max="11274" width="9.7109375" customWidth="1"/>
    <col min="11275" max="11275" width="7.42578125" customWidth="1"/>
    <col min="11276" max="11276" width="7.28515625" customWidth="1"/>
    <col min="11277" max="11277" width="7.42578125" customWidth="1"/>
    <col min="11278" max="11278" width="8" customWidth="1"/>
    <col min="11524" max="11524" width="9.5703125" customWidth="1"/>
    <col min="11525" max="11525" width="9.85546875" customWidth="1"/>
    <col min="11526" max="11526" width="7.140625" customWidth="1"/>
    <col min="11527" max="11527" width="46.28515625" customWidth="1"/>
    <col min="11528" max="11528" width="12.85546875" customWidth="1"/>
    <col min="11529" max="11529" width="12.7109375" customWidth="1"/>
    <col min="11530" max="11530" width="9.7109375" customWidth="1"/>
    <col min="11531" max="11531" width="7.42578125" customWidth="1"/>
    <col min="11532" max="11532" width="7.28515625" customWidth="1"/>
    <col min="11533" max="11533" width="7.42578125" customWidth="1"/>
    <col min="11534" max="11534" width="8" customWidth="1"/>
    <col min="11780" max="11780" width="9.5703125" customWidth="1"/>
    <col min="11781" max="11781" width="9.85546875" customWidth="1"/>
    <col min="11782" max="11782" width="7.140625" customWidth="1"/>
    <col min="11783" max="11783" width="46.28515625" customWidth="1"/>
    <col min="11784" max="11784" width="12.85546875" customWidth="1"/>
    <col min="11785" max="11785" width="12.7109375" customWidth="1"/>
    <col min="11786" max="11786" width="9.7109375" customWidth="1"/>
    <col min="11787" max="11787" width="7.42578125" customWidth="1"/>
    <col min="11788" max="11788" width="7.28515625" customWidth="1"/>
    <col min="11789" max="11789" width="7.42578125" customWidth="1"/>
    <col min="11790" max="11790" width="8" customWidth="1"/>
    <col min="12036" max="12036" width="9.5703125" customWidth="1"/>
    <col min="12037" max="12037" width="9.85546875" customWidth="1"/>
    <col min="12038" max="12038" width="7.140625" customWidth="1"/>
    <col min="12039" max="12039" width="46.28515625" customWidth="1"/>
    <col min="12040" max="12040" width="12.85546875" customWidth="1"/>
    <col min="12041" max="12041" width="12.7109375" customWidth="1"/>
    <col min="12042" max="12042" width="9.7109375" customWidth="1"/>
    <col min="12043" max="12043" width="7.42578125" customWidth="1"/>
    <col min="12044" max="12044" width="7.28515625" customWidth="1"/>
    <col min="12045" max="12045" width="7.42578125" customWidth="1"/>
    <col min="12046" max="12046" width="8" customWidth="1"/>
    <col min="12292" max="12292" width="9.5703125" customWidth="1"/>
    <col min="12293" max="12293" width="9.85546875" customWidth="1"/>
    <col min="12294" max="12294" width="7.140625" customWidth="1"/>
    <col min="12295" max="12295" width="46.28515625" customWidth="1"/>
    <col min="12296" max="12296" width="12.85546875" customWidth="1"/>
    <col min="12297" max="12297" width="12.7109375" customWidth="1"/>
    <col min="12298" max="12298" width="9.7109375" customWidth="1"/>
    <col min="12299" max="12299" width="7.42578125" customWidth="1"/>
    <col min="12300" max="12300" width="7.28515625" customWidth="1"/>
    <col min="12301" max="12301" width="7.42578125" customWidth="1"/>
    <col min="12302" max="12302" width="8" customWidth="1"/>
    <col min="12548" max="12548" width="9.5703125" customWidth="1"/>
    <col min="12549" max="12549" width="9.85546875" customWidth="1"/>
    <col min="12550" max="12550" width="7.140625" customWidth="1"/>
    <col min="12551" max="12551" width="46.28515625" customWidth="1"/>
    <col min="12552" max="12552" width="12.85546875" customWidth="1"/>
    <col min="12553" max="12553" width="12.7109375" customWidth="1"/>
    <col min="12554" max="12554" width="9.7109375" customWidth="1"/>
    <col min="12555" max="12555" width="7.42578125" customWidth="1"/>
    <col min="12556" max="12556" width="7.28515625" customWidth="1"/>
    <col min="12557" max="12557" width="7.42578125" customWidth="1"/>
    <col min="12558" max="12558" width="8" customWidth="1"/>
    <col min="12804" max="12804" width="9.5703125" customWidth="1"/>
    <col min="12805" max="12805" width="9.85546875" customWidth="1"/>
    <col min="12806" max="12806" width="7.140625" customWidth="1"/>
    <col min="12807" max="12807" width="46.28515625" customWidth="1"/>
    <col min="12808" max="12808" width="12.85546875" customWidth="1"/>
    <col min="12809" max="12809" width="12.7109375" customWidth="1"/>
    <col min="12810" max="12810" width="9.7109375" customWidth="1"/>
    <col min="12811" max="12811" width="7.42578125" customWidth="1"/>
    <col min="12812" max="12812" width="7.28515625" customWidth="1"/>
    <col min="12813" max="12813" width="7.42578125" customWidth="1"/>
    <col min="12814" max="12814" width="8" customWidth="1"/>
    <col min="13060" max="13060" width="9.5703125" customWidth="1"/>
    <col min="13061" max="13061" width="9.85546875" customWidth="1"/>
    <col min="13062" max="13062" width="7.140625" customWidth="1"/>
    <col min="13063" max="13063" width="46.28515625" customWidth="1"/>
    <col min="13064" max="13064" width="12.85546875" customWidth="1"/>
    <col min="13065" max="13065" width="12.7109375" customWidth="1"/>
    <col min="13066" max="13066" width="9.7109375" customWidth="1"/>
    <col min="13067" max="13067" width="7.42578125" customWidth="1"/>
    <col min="13068" max="13068" width="7.28515625" customWidth="1"/>
    <col min="13069" max="13069" width="7.42578125" customWidth="1"/>
    <col min="13070" max="13070" width="8" customWidth="1"/>
    <col min="13316" max="13316" width="9.5703125" customWidth="1"/>
    <col min="13317" max="13317" width="9.85546875" customWidth="1"/>
    <col min="13318" max="13318" width="7.140625" customWidth="1"/>
    <col min="13319" max="13319" width="46.28515625" customWidth="1"/>
    <col min="13320" max="13320" width="12.85546875" customWidth="1"/>
    <col min="13321" max="13321" width="12.7109375" customWidth="1"/>
    <col min="13322" max="13322" width="9.7109375" customWidth="1"/>
    <col min="13323" max="13323" width="7.42578125" customWidth="1"/>
    <col min="13324" max="13324" width="7.28515625" customWidth="1"/>
    <col min="13325" max="13325" width="7.42578125" customWidth="1"/>
    <col min="13326" max="13326" width="8" customWidth="1"/>
    <col min="13572" max="13572" width="9.5703125" customWidth="1"/>
    <col min="13573" max="13573" width="9.85546875" customWidth="1"/>
    <col min="13574" max="13574" width="7.140625" customWidth="1"/>
    <col min="13575" max="13575" width="46.28515625" customWidth="1"/>
    <col min="13576" max="13576" width="12.85546875" customWidth="1"/>
    <col min="13577" max="13577" width="12.7109375" customWidth="1"/>
    <col min="13578" max="13578" width="9.7109375" customWidth="1"/>
    <col min="13579" max="13579" width="7.42578125" customWidth="1"/>
    <col min="13580" max="13580" width="7.28515625" customWidth="1"/>
    <col min="13581" max="13581" width="7.42578125" customWidth="1"/>
    <col min="13582" max="13582" width="8" customWidth="1"/>
    <col min="13828" max="13828" width="9.5703125" customWidth="1"/>
    <col min="13829" max="13829" width="9.85546875" customWidth="1"/>
    <col min="13830" max="13830" width="7.140625" customWidth="1"/>
    <col min="13831" max="13831" width="46.28515625" customWidth="1"/>
    <col min="13832" max="13832" width="12.85546875" customWidth="1"/>
    <col min="13833" max="13833" width="12.7109375" customWidth="1"/>
    <col min="13834" max="13834" width="9.7109375" customWidth="1"/>
    <col min="13835" max="13835" width="7.42578125" customWidth="1"/>
    <col min="13836" max="13836" width="7.28515625" customWidth="1"/>
    <col min="13837" max="13837" width="7.42578125" customWidth="1"/>
    <col min="13838" max="13838" width="8" customWidth="1"/>
    <col min="14084" max="14084" width="9.5703125" customWidth="1"/>
    <col min="14085" max="14085" width="9.85546875" customWidth="1"/>
    <col min="14086" max="14086" width="7.140625" customWidth="1"/>
    <col min="14087" max="14087" width="46.28515625" customWidth="1"/>
    <col min="14088" max="14088" width="12.85546875" customWidth="1"/>
    <col min="14089" max="14089" width="12.7109375" customWidth="1"/>
    <col min="14090" max="14090" width="9.7109375" customWidth="1"/>
    <col min="14091" max="14091" width="7.42578125" customWidth="1"/>
    <col min="14092" max="14092" width="7.28515625" customWidth="1"/>
    <col min="14093" max="14093" width="7.42578125" customWidth="1"/>
    <col min="14094" max="14094" width="8" customWidth="1"/>
    <col min="14340" max="14340" width="9.5703125" customWidth="1"/>
    <col min="14341" max="14341" width="9.85546875" customWidth="1"/>
    <col min="14342" max="14342" width="7.140625" customWidth="1"/>
    <col min="14343" max="14343" width="46.28515625" customWidth="1"/>
    <col min="14344" max="14344" width="12.85546875" customWidth="1"/>
    <col min="14345" max="14345" width="12.7109375" customWidth="1"/>
    <col min="14346" max="14346" width="9.7109375" customWidth="1"/>
    <col min="14347" max="14347" width="7.42578125" customWidth="1"/>
    <col min="14348" max="14348" width="7.28515625" customWidth="1"/>
    <col min="14349" max="14349" width="7.42578125" customWidth="1"/>
    <col min="14350" max="14350" width="8" customWidth="1"/>
    <col min="14596" max="14596" width="9.5703125" customWidth="1"/>
    <col min="14597" max="14597" width="9.85546875" customWidth="1"/>
    <col min="14598" max="14598" width="7.140625" customWidth="1"/>
    <col min="14599" max="14599" width="46.28515625" customWidth="1"/>
    <col min="14600" max="14600" width="12.85546875" customWidth="1"/>
    <col min="14601" max="14601" width="12.7109375" customWidth="1"/>
    <col min="14602" max="14602" width="9.7109375" customWidth="1"/>
    <col min="14603" max="14603" width="7.42578125" customWidth="1"/>
    <col min="14604" max="14604" width="7.28515625" customWidth="1"/>
    <col min="14605" max="14605" width="7.42578125" customWidth="1"/>
    <col min="14606" max="14606" width="8" customWidth="1"/>
    <col min="14852" max="14852" width="9.5703125" customWidth="1"/>
    <col min="14853" max="14853" width="9.85546875" customWidth="1"/>
    <col min="14854" max="14854" width="7.140625" customWidth="1"/>
    <col min="14855" max="14855" width="46.28515625" customWidth="1"/>
    <col min="14856" max="14856" width="12.85546875" customWidth="1"/>
    <col min="14857" max="14857" width="12.7109375" customWidth="1"/>
    <col min="14858" max="14858" width="9.7109375" customWidth="1"/>
    <col min="14859" max="14859" width="7.42578125" customWidth="1"/>
    <col min="14860" max="14860" width="7.28515625" customWidth="1"/>
    <col min="14861" max="14861" width="7.42578125" customWidth="1"/>
    <col min="14862" max="14862" width="8" customWidth="1"/>
    <col min="15108" max="15108" width="9.5703125" customWidth="1"/>
    <col min="15109" max="15109" width="9.85546875" customWidth="1"/>
    <col min="15110" max="15110" width="7.140625" customWidth="1"/>
    <col min="15111" max="15111" width="46.28515625" customWidth="1"/>
    <col min="15112" max="15112" width="12.85546875" customWidth="1"/>
    <col min="15113" max="15113" width="12.7109375" customWidth="1"/>
    <col min="15114" max="15114" width="9.7109375" customWidth="1"/>
    <col min="15115" max="15115" width="7.42578125" customWidth="1"/>
    <col min="15116" max="15116" width="7.28515625" customWidth="1"/>
    <col min="15117" max="15117" width="7.42578125" customWidth="1"/>
    <col min="15118" max="15118" width="8" customWidth="1"/>
    <col min="15364" max="15364" width="9.5703125" customWidth="1"/>
    <col min="15365" max="15365" width="9.85546875" customWidth="1"/>
    <col min="15366" max="15366" width="7.140625" customWidth="1"/>
    <col min="15367" max="15367" width="46.28515625" customWidth="1"/>
    <col min="15368" max="15368" width="12.85546875" customWidth="1"/>
    <col min="15369" max="15369" width="12.7109375" customWidth="1"/>
    <col min="15370" max="15370" width="9.7109375" customWidth="1"/>
    <col min="15371" max="15371" width="7.42578125" customWidth="1"/>
    <col min="15372" max="15372" width="7.28515625" customWidth="1"/>
    <col min="15373" max="15373" width="7.42578125" customWidth="1"/>
    <col min="15374" max="15374" width="8" customWidth="1"/>
    <col min="15620" max="15620" width="9.5703125" customWidth="1"/>
    <col min="15621" max="15621" width="9.85546875" customWidth="1"/>
    <col min="15622" max="15622" width="7.140625" customWidth="1"/>
    <col min="15623" max="15623" width="46.28515625" customWidth="1"/>
    <col min="15624" max="15624" width="12.85546875" customWidth="1"/>
    <col min="15625" max="15625" width="12.7109375" customWidth="1"/>
    <col min="15626" max="15626" width="9.7109375" customWidth="1"/>
    <col min="15627" max="15627" width="7.42578125" customWidth="1"/>
    <col min="15628" max="15628" width="7.28515625" customWidth="1"/>
    <col min="15629" max="15629" width="7.42578125" customWidth="1"/>
    <col min="15630" max="15630" width="8" customWidth="1"/>
    <col min="15876" max="15876" width="9.5703125" customWidth="1"/>
    <col min="15877" max="15877" width="9.85546875" customWidth="1"/>
    <col min="15878" max="15878" width="7.140625" customWidth="1"/>
    <col min="15879" max="15879" width="46.28515625" customWidth="1"/>
    <col min="15880" max="15880" width="12.85546875" customWidth="1"/>
    <col min="15881" max="15881" width="12.7109375" customWidth="1"/>
    <col min="15882" max="15882" width="9.7109375" customWidth="1"/>
    <col min="15883" max="15883" width="7.42578125" customWidth="1"/>
    <col min="15884" max="15884" width="7.28515625" customWidth="1"/>
    <col min="15885" max="15885" width="7.42578125" customWidth="1"/>
    <col min="15886" max="15886" width="8" customWidth="1"/>
    <col min="16132" max="16132" width="9.5703125" customWidth="1"/>
    <col min="16133" max="16133" width="9.85546875" customWidth="1"/>
    <col min="16134" max="16134" width="7.140625" customWidth="1"/>
    <col min="16135" max="16135" width="46.28515625" customWidth="1"/>
    <col min="16136" max="16136" width="12.85546875" customWidth="1"/>
    <col min="16137" max="16137" width="12.7109375" customWidth="1"/>
    <col min="16138" max="16138" width="9.7109375" customWidth="1"/>
    <col min="16139" max="16139" width="7.42578125" customWidth="1"/>
    <col min="16140" max="16140" width="7.28515625" customWidth="1"/>
    <col min="16141" max="16141" width="7.42578125" customWidth="1"/>
    <col min="16142" max="16142" width="8" customWidth="1"/>
  </cols>
  <sheetData>
    <row r="1" spans="1:14" ht="9" customHeight="1" x14ac:dyDescent="0.25">
      <c r="A1" s="7"/>
      <c r="B1" s="203"/>
      <c r="C1" s="8"/>
      <c r="D1" s="9"/>
      <c r="E1" s="9"/>
      <c r="F1" s="8"/>
      <c r="G1" s="10"/>
      <c r="H1" s="10"/>
      <c r="I1" s="10"/>
      <c r="J1" s="10"/>
      <c r="K1" s="10"/>
      <c r="L1" s="10"/>
      <c r="M1" s="8"/>
      <c r="N1" s="8"/>
    </row>
    <row r="2" spans="1:14" ht="9" customHeight="1" x14ac:dyDescent="0.25">
      <c r="A2" s="7"/>
      <c r="B2" s="203"/>
      <c r="C2" s="8"/>
      <c r="D2" s="9"/>
      <c r="E2" s="9"/>
      <c r="F2" s="8"/>
      <c r="G2" s="11"/>
      <c r="H2" s="10"/>
      <c r="I2" s="10"/>
      <c r="J2" s="250" t="s">
        <v>135</v>
      </c>
      <c r="K2" s="250">
        <v>1470</v>
      </c>
      <c r="L2" s="249" t="s">
        <v>321</v>
      </c>
      <c r="M2" s="201" t="s">
        <v>324</v>
      </c>
      <c r="N2" s="201">
        <v>0.7</v>
      </c>
    </row>
    <row r="3" spans="1:14" ht="9" customHeight="1" x14ac:dyDescent="0.25">
      <c r="A3" s="7"/>
      <c r="B3" s="203"/>
      <c r="C3" s="8"/>
      <c r="D3" s="9"/>
      <c r="E3" s="9"/>
      <c r="F3" s="8"/>
      <c r="G3" s="10"/>
      <c r="H3" s="11"/>
      <c r="I3" s="11"/>
      <c r="J3" s="251"/>
      <c r="K3" s="251"/>
      <c r="L3" s="249"/>
      <c r="M3" s="201" t="s">
        <v>323</v>
      </c>
      <c r="N3" s="201">
        <v>0.6</v>
      </c>
    </row>
    <row r="4" spans="1:14" ht="9" customHeight="1" thickBot="1" x14ac:dyDescent="0.3">
      <c r="A4" s="7"/>
      <c r="B4" s="203"/>
      <c r="C4" s="8"/>
      <c r="D4" s="9"/>
      <c r="E4" s="9"/>
      <c r="F4" s="14" t="s">
        <v>20</v>
      </c>
      <c r="G4" s="11"/>
      <c r="H4" s="10"/>
      <c r="I4" s="10"/>
      <c r="J4" s="10"/>
      <c r="K4" s="180"/>
      <c r="L4" s="202"/>
      <c r="M4" s="201" t="s">
        <v>322</v>
      </c>
      <c r="N4" s="201">
        <v>0.5</v>
      </c>
    </row>
    <row r="5" spans="1:14" ht="12.75" customHeight="1" thickBot="1" x14ac:dyDescent="0.3">
      <c r="A5" s="12"/>
      <c r="B5" s="204"/>
      <c r="C5" s="13"/>
      <c r="D5" s="9"/>
      <c r="E5" s="9"/>
      <c r="F5" s="18" t="s">
        <v>0</v>
      </c>
      <c r="G5" s="15"/>
      <c r="H5" s="15"/>
      <c r="I5" s="15"/>
      <c r="J5" s="181" t="s">
        <v>310</v>
      </c>
      <c r="K5" s="182" t="s">
        <v>312</v>
      </c>
      <c r="L5" s="183" t="s">
        <v>328</v>
      </c>
      <c r="M5" s="16" t="s">
        <v>21</v>
      </c>
      <c r="N5" s="17" t="s">
        <v>1</v>
      </c>
    </row>
    <row r="6" spans="1:14" ht="26.25" customHeight="1" thickTop="1" thickBot="1" x14ac:dyDescent="0.3">
      <c r="A6" s="160" t="s">
        <v>2</v>
      </c>
      <c r="B6" s="205" t="s">
        <v>367</v>
      </c>
      <c r="C6" s="161" t="s">
        <v>3</v>
      </c>
      <c r="D6" s="162" t="s">
        <v>4</v>
      </c>
      <c r="E6" s="162" t="s">
        <v>366</v>
      </c>
      <c r="F6" s="163" t="s">
        <v>22</v>
      </c>
      <c r="G6" s="163" t="s">
        <v>133</v>
      </c>
      <c r="H6" s="163" t="s">
        <v>368</v>
      </c>
      <c r="I6" s="163" t="s">
        <v>295</v>
      </c>
      <c r="J6" s="184" t="s">
        <v>5</v>
      </c>
      <c r="K6" s="184" t="s">
        <v>5</v>
      </c>
      <c r="L6" s="184" t="s">
        <v>5</v>
      </c>
      <c r="M6" s="164" t="s">
        <v>5</v>
      </c>
      <c r="N6" s="165" t="s">
        <v>5</v>
      </c>
    </row>
    <row r="7" spans="1:14" ht="15.75" thickBot="1" x14ac:dyDescent="0.3">
      <c r="A7" s="166"/>
      <c r="B7" s="206"/>
      <c r="C7" s="167"/>
      <c r="D7" s="168"/>
      <c r="E7" s="168"/>
      <c r="F7" s="169" t="s">
        <v>100</v>
      </c>
      <c r="G7" s="170"/>
      <c r="H7" s="170"/>
      <c r="I7" s="170"/>
      <c r="J7" s="185"/>
      <c r="K7" s="171"/>
      <c r="L7" s="171"/>
      <c r="M7" s="171"/>
      <c r="N7" s="172"/>
    </row>
    <row r="8" spans="1:14" ht="13.5" customHeight="1" x14ac:dyDescent="0.25">
      <c r="A8" s="117"/>
      <c r="B8" s="207"/>
      <c r="C8" s="118"/>
      <c r="D8" s="119"/>
      <c r="E8" s="119"/>
      <c r="F8" s="115" t="s">
        <v>2278</v>
      </c>
      <c r="G8" s="120"/>
      <c r="H8" s="120"/>
      <c r="I8" s="120"/>
      <c r="J8" s="186"/>
      <c r="K8" s="121"/>
      <c r="L8" s="121"/>
      <c r="M8" s="121"/>
      <c r="N8" s="121"/>
    </row>
    <row r="9" spans="1:14" ht="13.5" customHeight="1" x14ac:dyDescent="0.25">
      <c r="A9" s="23">
        <v>42682</v>
      </c>
      <c r="B9" s="208" t="s">
        <v>369</v>
      </c>
      <c r="C9" s="24" t="s">
        <v>17</v>
      </c>
      <c r="D9" s="27">
        <v>50</v>
      </c>
      <c r="E9" s="105">
        <f t="shared" ref="E9:E67" si="0">D9*$K$2</f>
        <v>73500</v>
      </c>
      <c r="F9" s="2" t="s">
        <v>101</v>
      </c>
      <c r="G9" s="26"/>
      <c r="H9" s="26"/>
      <c r="I9" s="104">
        <v>1</v>
      </c>
      <c r="J9" s="187">
        <f>D9*$K$2*I9</f>
        <v>73500</v>
      </c>
      <c r="K9" s="188">
        <f>J9*1.1</f>
        <v>80850</v>
      </c>
      <c r="L9" s="189">
        <f>J9*5/6</f>
        <v>61250</v>
      </c>
      <c r="M9" s="3"/>
      <c r="N9" s="4"/>
    </row>
    <row r="10" spans="1:14" ht="13.5" customHeight="1" x14ac:dyDescent="0.25">
      <c r="A10" s="23">
        <v>42682</v>
      </c>
      <c r="B10" s="208" t="s">
        <v>370</v>
      </c>
      <c r="C10" s="24" t="s">
        <v>17</v>
      </c>
      <c r="D10" s="27">
        <v>50</v>
      </c>
      <c r="E10" s="105">
        <f t="shared" si="0"/>
        <v>73500</v>
      </c>
      <c r="F10" s="2" t="s">
        <v>102</v>
      </c>
      <c r="G10" s="26"/>
      <c r="H10" s="26"/>
      <c r="I10" s="104">
        <v>1</v>
      </c>
      <c r="J10" s="187">
        <f>D10*$K$2*I10</f>
        <v>73500</v>
      </c>
      <c r="K10" s="188">
        <f t="shared" ref="K10:K67" si="1">J10*1.1</f>
        <v>80850</v>
      </c>
      <c r="L10" s="189">
        <f t="shared" ref="L10:L67" si="2">J10*5/6</f>
        <v>61250</v>
      </c>
      <c r="M10" s="3"/>
      <c r="N10" s="4"/>
    </row>
    <row r="11" spans="1:14" ht="13.5" customHeight="1" x14ac:dyDescent="0.25">
      <c r="A11" s="117"/>
      <c r="B11" s="207"/>
      <c r="C11" s="118"/>
      <c r="D11" s="119">
        <f>J11/1.5</f>
        <v>333.33333333333331</v>
      </c>
      <c r="E11" s="105">
        <f t="shared" si="0"/>
        <v>490000</v>
      </c>
      <c r="F11" s="115" t="s">
        <v>2279</v>
      </c>
      <c r="G11" s="120"/>
      <c r="H11" s="120"/>
      <c r="I11" s="120"/>
      <c r="J11" s="134">
        <v>500</v>
      </c>
      <c r="K11" s="188">
        <f t="shared" si="1"/>
        <v>550</v>
      </c>
      <c r="L11" s="189">
        <f t="shared" si="2"/>
        <v>416.66666666666669</v>
      </c>
      <c r="M11" s="121"/>
      <c r="N11" s="121"/>
    </row>
    <row r="12" spans="1:14" ht="13.5" customHeight="1" x14ac:dyDescent="0.25">
      <c r="A12" s="23">
        <v>42682</v>
      </c>
      <c r="B12" s="208">
        <v>1501004</v>
      </c>
      <c r="C12" s="24" t="s">
        <v>17</v>
      </c>
      <c r="D12" s="27">
        <f>D11*N3</f>
        <v>199.99999999999997</v>
      </c>
      <c r="E12" s="105">
        <f t="shared" si="0"/>
        <v>293999.99999999994</v>
      </c>
      <c r="F12" s="2" t="s">
        <v>106</v>
      </c>
      <c r="G12" s="26"/>
      <c r="H12" s="26"/>
      <c r="I12" s="138">
        <v>1.5</v>
      </c>
      <c r="J12" s="187">
        <f t="shared" ref="J12:J18" si="3">D12*$K$2*I12</f>
        <v>440999.99999999988</v>
      </c>
      <c r="K12" s="188">
        <f t="shared" si="1"/>
        <v>485099.99999999988</v>
      </c>
      <c r="L12" s="189">
        <f t="shared" si="2"/>
        <v>367499.99999999994</v>
      </c>
      <c r="M12" s="3"/>
      <c r="N12" s="4"/>
    </row>
    <row r="13" spans="1:14" ht="13.5" customHeight="1" x14ac:dyDescent="0.25">
      <c r="A13" s="23">
        <v>42682</v>
      </c>
      <c r="B13" s="208">
        <v>1501003</v>
      </c>
      <c r="C13" s="24" t="s">
        <v>17</v>
      </c>
      <c r="D13" s="27">
        <f>D11*N3</f>
        <v>199.99999999999997</v>
      </c>
      <c r="E13" s="105">
        <f t="shared" si="0"/>
        <v>293999.99999999994</v>
      </c>
      <c r="F13" s="2" t="s">
        <v>111</v>
      </c>
      <c r="G13" s="26"/>
      <c r="H13" s="26"/>
      <c r="I13" s="138">
        <v>1.5</v>
      </c>
      <c r="J13" s="187">
        <f t="shared" si="3"/>
        <v>440999.99999999988</v>
      </c>
      <c r="K13" s="188">
        <f t="shared" si="1"/>
        <v>485099.99999999988</v>
      </c>
      <c r="L13" s="189">
        <f t="shared" si="2"/>
        <v>367499.99999999994</v>
      </c>
      <c r="M13" s="3"/>
      <c r="N13" s="4"/>
    </row>
    <row r="14" spans="1:14" ht="13.5" customHeight="1" x14ac:dyDescent="0.25">
      <c r="A14" s="23">
        <v>42682</v>
      </c>
      <c r="B14" s="208">
        <v>1501001</v>
      </c>
      <c r="C14" s="24" t="s">
        <v>17</v>
      </c>
      <c r="D14" s="27">
        <f>D11*N3</f>
        <v>199.99999999999997</v>
      </c>
      <c r="E14" s="105">
        <f t="shared" si="0"/>
        <v>293999.99999999994</v>
      </c>
      <c r="F14" s="2" t="s">
        <v>108</v>
      </c>
      <c r="G14" s="26"/>
      <c r="H14" s="26"/>
      <c r="I14" s="138">
        <v>1.5</v>
      </c>
      <c r="J14" s="187">
        <f t="shared" si="3"/>
        <v>440999.99999999988</v>
      </c>
      <c r="K14" s="188">
        <f t="shared" si="1"/>
        <v>485099.99999999988</v>
      </c>
      <c r="L14" s="189">
        <f t="shared" si="2"/>
        <v>367499.99999999994</v>
      </c>
      <c r="M14" s="3"/>
      <c r="N14" s="4"/>
    </row>
    <row r="15" spans="1:14" ht="13.5" customHeight="1" x14ac:dyDescent="0.25">
      <c r="A15" s="23">
        <v>42682</v>
      </c>
      <c r="B15" s="208" t="s">
        <v>371</v>
      </c>
      <c r="C15" s="24" t="s">
        <v>17</v>
      </c>
      <c r="D15" s="27">
        <f>D11*N4</f>
        <v>166.66666666666666</v>
      </c>
      <c r="E15" s="105">
        <f t="shared" si="0"/>
        <v>245000</v>
      </c>
      <c r="F15" s="2" t="s">
        <v>105</v>
      </c>
      <c r="G15" s="26"/>
      <c r="H15" s="26"/>
      <c r="I15" s="138">
        <v>1.5</v>
      </c>
      <c r="J15" s="187">
        <f t="shared" si="3"/>
        <v>367500</v>
      </c>
      <c r="K15" s="188">
        <f t="shared" si="1"/>
        <v>404250.00000000006</v>
      </c>
      <c r="L15" s="189">
        <f t="shared" si="2"/>
        <v>306250</v>
      </c>
      <c r="M15" s="3"/>
      <c r="N15" s="4"/>
    </row>
    <row r="16" spans="1:14" ht="13.5" customHeight="1" x14ac:dyDescent="0.25">
      <c r="A16" s="23">
        <v>42682</v>
      </c>
      <c r="B16" s="208" t="s">
        <v>388</v>
      </c>
      <c r="C16" s="24" t="s">
        <v>17</v>
      </c>
      <c r="D16" s="27">
        <f>D11*N4</f>
        <v>166.66666666666666</v>
      </c>
      <c r="E16" s="105">
        <f t="shared" si="0"/>
        <v>245000</v>
      </c>
      <c r="F16" s="2" t="s">
        <v>107</v>
      </c>
      <c r="G16" s="26"/>
      <c r="H16" s="26"/>
      <c r="I16" s="138">
        <v>1.5</v>
      </c>
      <c r="J16" s="187">
        <f t="shared" si="3"/>
        <v>367500</v>
      </c>
      <c r="K16" s="188">
        <f t="shared" si="1"/>
        <v>404250.00000000006</v>
      </c>
      <c r="L16" s="189">
        <f t="shared" si="2"/>
        <v>306250</v>
      </c>
      <c r="M16" s="3"/>
      <c r="N16" s="4"/>
    </row>
    <row r="17" spans="1:16" ht="13.5" customHeight="1" x14ac:dyDescent="0.25">
      <c r="A17" s="23">
        <v>42682</v>
      </c>
      <c r="B17" s="208" t="s">
        <v>386</v>
      </c>
      <c r="C17" s="24" t="s">
        <v>17</v>
      </c>
      <c r="D17" s="27">
        <f>D11*N4</f>
        <v>166.66666666666666</v>
      </c>
      <c r="E17" s="105">
        <f t="shared" si="0"/>
        <v>245000</v>
      </c>
      <c r="F17" s="2" t="s">
        <v>110</v>
      </c>
      <c r="G17" s="26"/>
      <c r="H17" s="26"/>
      <c r="I17" s="138">
        <v>1.5</v>
      </c>
      <c r="J17" s="187">
        <f t="shared" si="3"/>
        <v>367500</v>
      </c>
      <c r="K17" s="188">
        <f t="shared" si="1"/>
        <v>404250.00000000006</v>
      </c>
      <c r="L17" s="189">
        <f t="shared" si="2"/>
        <v>306250</v>
      </c>
      <c r="M17" s="3"/>
      <c r="N17" s="4"/>
    </row>
    <row r="18" spans="1:16" s="128" customFormat="1" ht="13.5" customHeight="1" x14ac:dyDescent="0.25">
      <c r="A18" s="68"/>
      <c r="B18" s="208"/>
      <c r="C18" s="69"/>
      <c r="D18" s="105">
        <f>D11*N2</f>
        <v>233.33333333333331</v>
      </c>
      <c r="E18" s="105">
        <f t="shared" si="0"/>
        <v>343000</v>
      </c>
      <c r="F18" s="102" t="s">
        <v>308</v>
      </c>
      <c r="G18" s="104"/>
      <c r="H18" s="104"/>
      <c r="I18" s="138">
        <v>1.5</v>
      </c>
      <c r="J18" s="187">
        <f t="shared" si="3"/>
        <v>514500</v>
      </c>
      <c r="K18" s="188">
        <f t="shared" si="1"/>
        <v>565950</v>
      </c>
      <c r="L18" s="189">
        <f t="shared" si="2"/>
        <v>428750</v>
      </c>
      <c r="M18" s="65"/>
      <c r="N18" s="66"/>
      <c r="O18" s="54"/>
      <c r="P18" s="54"/>
    </row>
    <row r="19" spans="1:16" ht="13.5" customHeight="1" x14ac:dyDescent="0.25">
      <c r="A19" s="117"/>
      <c r="B19" s="207"/>
      <c r="C19" s="118"/>
      <c r="D19" s="119">
        <f>J19/1.5</f>
        <v>100</v>
      </c>
      <c r="E19" s="105">
        <f t="shared" si="0"/>
        <v>147000</v>
      </c>
      <c r="F19" s="115" t="s">
        <v>2280</v>
      </c>
      <c r="G19" s="120"/>
      <c r="H19" s="120"/>
      <c r="I19" s="138">
        <v>1.5</v>
      </c>
      <c r="J19" s="134">
        <v>150</v>
      </c>
      <c r="K19" s="188">
        <f t="shared" si="1"/>
        <v>165</v>
      </c>
      <c r="L19" s="189">
        <f t="shared" si="2"/>
        <v>125</v>
      </c>
      <c r="M19" s="121"/>
      <c r="N19" s="121"/>
    </row>
    <row r="20" spans="1:16" ht="13.5" customHeight="1" x14ac:dyDescent="0.25">
      <c r="A20" s="23">
        <v>42682</v>
      </c>
      <c r="B20" s="208">
        <v>1501002</v>
      </c>
      <c r="C20" s="24" t="s">
        <v>17</v>
      </c>
      <c r="D20" s="27">
        <v>50</v>
      </c>
      <c r="E20" s="105">
        <f t="shared" si="0"/>
        <v>73500</v>
      </c>
      <c r="F20" s="2" t="s">
        <v>104</v>
      </c>
      <c r="G20" s="26"/>
      <c r="H20" s="26"/>
      <c r="I20" s="138">
        <v>1.5</v>
      </c>
      <c r="J20" s="187">
        <f>D20*$K$2*I20</f>
        <v>110250</v>
      </c>
      <c r="K20" s="188">
        <f t="shared" si="1"/>
        <v>121275.00000000001</v>
      </c>
      <c r="L20" s="189">
        <f t="shared" si="2"/>
        <v>91875</v>
      </c>
      <c r="M20" s="3"/>
      <c r="N20" s="4"/>
    </row>
    <row r="21" spans="1:16" ht="13.5" customHeight="1" x14ac:dyDescent="0.25">
      <c r="A21" s="23">
        <v>42682</v>
      </c>
      <c r="B21" s="208">
        <v>1502009</v>
      </c>
      <c r="C21" s="24" t="s">
        <v>17</v>
      </c>
      <c r="D21" s="27">
        <v>80</v>
      </c>
      <c r="E21" s="105">
        <f t="shared" si="0"/>
        <v>117600</v>
      </c>
      <c r="F21" s="2" t="s">
        <v>103</v>
      </c>
      <c r="G21" s="26"/>
      <c r="H21" s="26"/>
      <c r="I21" s="138">
        <v>1.5</v>
      </c>
      <c r="J21" s="187">
        <f>D21*$K$2*I21</f>
        <v>176400</v>
      </c>
      <c r="K21" s="188">
        <f t="shared" si="1"/>
        <v>194040.00000000003</v>
      </c>
      <c r="L21" s="189">
        <f t="shared" si="2"/>
        <v>147000</v>
      </c>
      <c r="M21" s="3"/>
      <c r="N21" s="4"/>
    </row>
    <row r="22" spans="1:16" x14ac:dyDescent="0.25">
      <c r="A22" s="110"/>
      <c r="B22" s="209"/>
      <c r="C22" s="111"/>
      <c r="D22" s="112"/>
      <c r="E22" s="105">
        <f t="shared" si="0"/>
        <v>0</v>
      </c>
      <c r="F22" s="113" t="s">
        <v>302</v>
      </c>
      <c r="G22" s="109"/>
      <c r="H22" s="109"/>
      <c r="I22" s="138">
        <v>1.5</v>
      </c>
      <c r="J22" s="190"/>
      <c r="K22" s="188">
        <f t="shared" si="1"/>
        <v>0</v>
      </c>
      <c r="L22" s="189">
        <f t="shared" si="2"/>
        <v>0</v>
      </c>
      <c r="M22" s="114"/>
      <c r="N22" s="114"/>
    </row>
    <row r="23" spans="1:16" ht="13.5" customHeight="1" x14ac:dyDescent="0.25">
      <c r="A23" s="117"/>
      <c r="B23" s="207">
        <v>1103001</v>
      </c>
      <c r="C23" s="118"/>
      <c r="D23" s="119">
        <f>J23/1.5</f>
        <v>166.66666666666666</v>
      </c>
      <c r="E23" s="105">
        <f t="shared" si="0"/>
        <v>245000</v>
      </c>
      <c r="F23" s="115" t="s">
        <v>303</v>
      </c>
      <c r="G23" s="120"/>
      <c r="H23" s="120"/>
      <c r="I23" s="138">
        <v>1.5</v>
      </c>
      <c r="J23" s="134">
        <v>250</v>
      </c>
      <c r="K23" s="188">
        <f t="shared" si="1"/>
        <v>275</v>
      </c>
      <c r="L23" s="189">
        <f t="shared" si="2"/>
        <v>208.33333333333334</v>
      </c>
      <c r="M23" s="121"/>
      <c r="N23" s="121"/>
    </row>
    <row r="24" spans="1:16" ht="13.5" customHeight="1" x14ac:dyDescent="0.25">
      <c r="A24" s="84">
        <v>44992</v>
      </c>
      <c r="B24" s="210" t="s">
        <v>421</v>
      </c>
      <c r="C24" s="69" t="s">
        <v>17</v>
      </c>
      <c r="D24" s="105">
        <f>D23*N3</f>
        <v>99.999999999999986</v>
      </c>
      <c r="E24" s="105">
        <f t="shared" si="0"/>
        <v>146999.99999999997</v>
      </c>
      <c r="F24" s="63" t="s">
        <v>307</v>
      </c>
      <c r="G24" s="64"/>
      <c r="H24" s="64"/>
      <c r="I24" s="138">
        <v>1.5</v>
      </c>
      <c r="J24" s="187">
        <f>D24*$K$2*I24</f>
        <v>220499.99999999994</v>
      </c>
      <c r="K24" s="188">
        <f t="shared" si="1"/>
        <v>242549.99999999994</v>
      </c>
      <c r="L24" s="189">
        <f t="shared" si="2"/>
        <v>183749.99999999997</v>
      </c>
      <c r="M24" s="65"/>
      <c r="N24" s="66"/>
    </row>
    <row r="25" spans="1:16" ht="13.5" customHeight="1" x14ac:dyDescent="0.25">
      <c r="A25" s="84">
        <v>44992</v>
      </c>
      <c r="B25" s="210">
        <v>1502006</v>
      </c>
      <c r="C25" s="69" t="s">
        <v>17</v>
      </c>
      <c r="D25" s="105">
        <f>D23*N4</f>
        <v>83.333333333333329</v>
      </c>
      <c r="E25" s="105">
        <f t="shared" si="0"/>
        <v>122500</v>
      </c>
      <c r="F25" s="63" t="s">
        <v>197</v>
      </c>
      <c r="G25" s="64"/>
      <c r="H25" s="64"/>
      <c r="I25" s="138">
        <v>1.5</v>
      </c>
      <c r="J25" s="187">
        <f>D25*$K$2*I25</f>
        <v>183750</v>
      </c>
      <c r="K25" s="188">
        <f t="shared" si="1"/>
        <v>202125.00000000003</v>
      </c>
      <c r="L25" s="189">
        <f t="shared" si="2"/>
        <v>153125</v>
      </c>
      <c r="M25" s="65"/>
      <c r="N25" s="66"/>
    </row>
    <row r="26" spans="1:16" ht="13.5" customHeight="1" x14ac:dyDescent="0.25">
      <c r="A26" s="84"/>
      <c r="B26" s="210"/>
      <c r="C26" s="69"/>
      <c r="D26" s="105">
        <f>D23*$N$2</f>
        <v>116.66666666666666</v>
      </c>
      <c r="E26" s="105">
        <f t="shared" si="0"/>
        <v>171500</v>
      </c>
      <c r="F26" s="102" t="s">
        <v>308</v>
      </c>
      <c r="G26" s="104"/>
      <c r="H26" s="104"/>
      <c r="I26" s="138">
        <v>1.5</v>
      </c>
      <c r="J26" s="187">
        <f>D26*$K$2*I26</f>
        <v>257250</v>
      </c>
      <c r="K26" s="188">
        <f t="shared" si="1"/>
        <v>282975</v>
      </c>
      <c r="L26" s="189">
        <f t="shared" si="2"/>
        <v>214375</v>
      </c>
      <c r="M26" s="65"/>
      <c r="N26" s="66"/>
    </row>
    <row r="27" spans="1:16" ht="13.5" customHeight="1" x14ac:dyDescent="0.25">
      <c r="A27" s="117"/>
      <c r="B27" s="207">
        <v>1105001</v>
      </c>
      <c r="C27" s="118"/>
      <c r="D27" s="119">
        <f>J27/1.5</f>
        <v>200</v>
      </c>
      <c r="E27" s="105">
        <f t="shared" si="0"/>
        <v>294000</v>
      </c>
      <c r="F27" s="115" t="s">
        <v>304</v>
      </c>
      <c r="G27" s="120"/>
      <c r="H27" s="120"/>
      <c r="I27" s="138">
        <v>1.5</v>
      </c>
      <c r="J27" s="134">
        <v>300</v>
      </c>
      <c r="K27" s="188">
        <f t="shared" si="1"/>
        <v>330</v>
      </c>
      <c r="L27" s="189">
        <f t="shared" si="2"/>
        <v>250</v>
      </c>
      <c r="M27" s="121"/>
      <c r="N27" s="121"/>
    </row>
    <row r="28" spans="1:16" ht="13.5" customHeight="1" x14ac:dyDescent="0.25">
      <c r="A28" s="84">
        <v>44992</v>
      </c>
      <c r="B28" s="210" t="s">
        <v>422</v>
      </c>
      <c r="C28" s="69" t="s">
        <v>17</v>
      </c>
      <c r="D28" s="62">
        <f>D27*N3</f>
        <v>120</v>
      </c>
      <c r="E28" s="105">
        <f t="shared" si="0"/>
        <v>176400</v>
      </c>
      <c r="F28" s="63" t="s">
        <v>309</v>
      </c>
      <c r="G28" s="64"/>
      <c r="H28" s="64"/>
      <c r="I28" s="138">
        <v>1.5</v>
      </c>
      <c r="J28" s="187">
        <f>D28*$K$2*I28</f>
        <v>264600</v>
      </c>
      <c r="K28" s="188">
        <f t="shared" si="1"/>
        <v>291060</v>
      </c>
      <c r="L28" s="189">
        <f t="shared" si="2"/>
        <v>220500</v>
      </c>
      <c r="M28" s="65"/>
      <c r="N28" s="66"/>
    </row>
    <row r="29" spans="1:16" ht="13.5" customHeight="1" x14ac:dyDescent="0.25">
      <c r="A29" s="84">
        <v>44992</v>
      </c>
      <c r="B29" s="210">
        <v>1502001</v>
      </c>
      <c r="C29" s="69" t="s">
        <v>17</v>
      </c>
      <c r="D29" s="105">
        <f>D27*N4</f>
        <v>100</v>
      </c>
      <c r="E29" s="105">
        <f t="shared" si="0"/>
        <v>147000</v>
      </c>
      <c r="F29" s="102" t="s">
        <v>198</v>
      </c>
      <c r="G29" s="104"/>
      <c r="H29" s="104"/>
      <c r="I29" s="138">
        <v>1.5</v>
      </c>
      <c r="J29" s="187">
        <f>D29*$K$2*I29</f>
        <v>220500</v>
      </c>
      <c r="K29" s="188">
        <f t="shared" si="1"/>
        <v>242550.00000000003</v>
      </c>
      <c r="L29" s="189">
        <f t="shared" si="2"/>
        <v>183750</v>
      </c>
      <c r="M29" s="65"/>
      <c r="N29" s="66"/>
    </row>
    <row r="30" spans="1:16" ht="13.5" customHeight="1" x14ac:dyDescent="0.25">
      <c r="A30" s="84">
        <v>44992</v>
      </c>
      <c r="B30" s="210"/>
      <c r="C30" s="69" t="s">
        <v>17</v>
      </c>
      <c r="D30" s="105">
        <f>D27*N2</f>
        <v>140</v>
      </c>
      <c r="E30" s="105">
        <f t="shared" si="0"/>
        <v>205800</v>
      </c>
      <c r="F30" s="102" t="s">
        <v>308</v>
      </c>
      <c r="G30" s="104"/>
      <c r="H30" s="104"/>
      <c r="I30" s="138">
        <v>1.5</v>
      </c>
      <c r="J30" s="187">
        <f>D30*$K$2*I30</f>
        <v>308700</v>
      </c>
      <c r="K30" s="188">
        <f t="shared" si="1"/>
        <v>339570</v>
      </c>
      <c r="L30" s="189">
        <f t="shared" si="2"/>
        <v>257250</v>
      </c>
      <c r="M30" s="65"/>
      <c r="N30" s="66"/>
    </row>
    <row r="31" spans="1:16" ht="13.5" customHeight="1" x14ac:dyDescent="0.25">
      <c r="A31" s="117"/>
      <c r="B31" s="207">
        <v>1104002</v>
      </c>
      <c r="C31" s="118"/>
      <c r="D31" s="119">
        <f>J31/1.5</f>
        <v>566.66666666666663</v>
      </c>
      <c r="E31" s="105">
        <f t="shared" si="0"/>
        <v>833000</v>
      </c>
      <c r="F31" s="115" t="s">
        <v>314</v>
      </c>
      <c r="G31" s="120"/>
      <c r="H31" s="120"/>
      <c r="I31" s="138">
        <v>1.5</v>
      </c>
      <c r="J31" s="134">
        <v>850</v>
      </c>
      <c r="K31" s="188">
        <f t="shared" si="1"/>
        <v>935.00000000000011</v>
      </c>
      <c r="L31" s="189">
        <f t="shared" si="2"/>
        <v>708.33333333333337</v>
      </c>
      <c r="M31" s="121"/>
      <c r="N31" s="121"/>
    </row>
    <row r="32" spans="1:16" ht="13.5" customHeight="1" x14ac:dyDescent="0.25">
      <c r="A32" s="84">
        <v>44992</v>
      </c>
      <c r="B32" s="210">
        <v>1501005</v>
      </c>
      <c r="C32" s="69" t="s">
        <v>17</v>
      </c>
      <c r="D32" s="105">
        <f>D31*N3</f>
        <v>339.99999999999994</v>
      </c>
      <c r="E32" s="105">
        <f t="shared" si="0"/>
        <v>499799.99999999994</v>
      </c>
      <c r="F32" s="63" t="s">
        <v>201</v>
      </c>
      <c r="G32" s="64"/>
      <c r="H32" s="64"/>
      <c r="I32" s="138">
        <v>1.5</v>
      </c>
      <c r="J32" s="187">
        <f>D32*$K$2*I32</f>
        <v>749699.99999999988</v>
      </c>
      <c r="K32" s="188">
        <f t="shared" si="1"/>
        <v>824669.99999999988</v>
      </c>
      <c r="L32" s="189">
        <f t="shared" si="2"/>
        <v>624749.99999999988</v>
      </c>
      <c r="M32" s="65"/>
      <c r="N32" s="66"/>
    </row>
    <row r="33" spans="1:16" ht="13.5" customHeight="1" x14ac:dyDescent="0.25">
      <c r="A33" s="84">
        <v>44992</v>
      </c>
      <c r="B33" s="210" t="s">
        <v>423</v>
      </c>
      <c r="C33" s="69" t="s">
        <v>17</v>
      </c>
      <c r="D33" s="105">
        <f>D31*N4</f>
        <v>283.33333333333331</v>
      </c>
      <c r="E33" s="105">
        <f t="shared" si="0"/>
        <v>416500</v>
      </c>
      <c r="F33" s="63" t="s">
        <v>199</v>
      </c>
      <c r="G33" s="64"/>
      <c r="H33" s="64"/>
      <c r="I33" s="138">
        <v>1.5</v>
      </c>
      <c r="J33" s="187">
        <f>D33*$K$2*I33</f>
        <v>624750</v>
      </c>
      <c r="K33" s="188">
        <f t="shared" si="1"/>
        <v>687225</v>
      </c>
      <c r="L33" s="189">
        <f t="shared" si="2"/>
        <v>520625</v>
      </c>
      <c r="M33" s="65"/>
      <c r="N33" s="66"/>
    </row>
    <row r="34" spans="1:16" ht="13.5" customHeight="1" x14ac:dyDescent="0.25">
      <c r="A34" s="84">
        <v>44992</v>
      </c>
      <c r="B34" s="210"/>
      <c r="C34" s="69" t="s">
        <v>17</v>
      </c>
      <c r="D34" s="105">
        <f>D31*N2</f>
        <v>396.66666666666663</v>
      </c>
      <c r="E34" s="105">
        <f t="shared" si="0"/>
        <v>583100</v>
      </c>
      <c r="F34" s="63" t="s">
        <v>308</v>
      </c>
      <c r="G34" s="64"/>
      <c r="H34" s="64"/>
      <c r="I34" s="138">
        <v>1.5</v>
      </c>
      <c r="J34" s="187">
        <f>D34*$K$2*I34</f>
        <v>874650</v>
      </c>
      <c r="K34" s="188">
        <f t="shared" si="1"/>
        <v>962115.00000000012</v>
      </c>
      <c r="L34" s="189">
        <f t="shared" si="2"/>
        <v>728875</v>
      </c>
      <c r="M34" s="65"/>
      <c r="N34" s="66"/>
    </row>
    <row r="35" spans="1:16" ht="13.5" customHeight="1" x14ac:dyDescent="0.25">
      <c r="A35" s="133"/>
      <c r="B35" s="211">
        <v>1104003</v>
      </c>
      <c r="C35" s="133"/>
      <c r="D35" s="119">
        <f>J35/1.5</f>
        <v>633.33333333333337</v>
      </c>
      <c r="E35" s="105">
        <f t="shared" si="0"/>
        <v>931000</v>
      </c>
      <c r="F35" s="115" t="s">
        <v>320</v>
      </c>
      <c r="G35" s="133"/>
      <c r="H35" s="133"/>
      <c r="I35" s="138">
        <v>1.5</v>
      </c>
      <c r="J35" s="134">
        <v>950</v>
      </c>
      <c r="K35" s="188">
        <f t="shared" si="1"/>
        <v>1045</v>
      </c>
      <c r="L35" s="189">
        <f t="shared" si="2"/>
        <v>791.66666666666663</v>
      </c>
      <c r="M35" s="133"/>
      <c r="N35" s="133"/>
    </row>
    <row r="36" spans="1:16" s="128" customFormat="1" ht="13.5" customHeight="1" x14ac:dyDescent="0.25">
      <c r="A36" s="84"/>
      <c r="B36" s="210" t="s">
        <v>374</v>
      </c>
      <c r="C36" s="69"/>
      <c r="D36" s="105">
        <f>D35*N3</f>
        <v>380</v>
      </c>
      <c r="E36" s="105">
        <f t="shared" si="0"/>
        <v>558600</v>
      </c>
      <c r="F36" s="102" t="s">
        <v>201</v>
      </c>
      <c r="G36" s="104"/>
      <c r="H36" s="104"/>
      <c r="I36" s="138">
        <v>1.5</v>
      </c>
      <c r="J36" s="191">
        <f>D32*$K$2*I32</f>
        <v>749699.99999999988</v>
      </c>
      <c r="K36" s="188">
        <f t="shared" si="1"/>
        <v>824669.99999999988</v>
      </c>
      <c r="L36" s="189">
        <f t="shared" si="2"/>
        <v>624749.99999999988</v>
      </c>
      <c r="M36" s="65"/>
      <c r="N36" s="66"/>
      <c r="O36" s="54"/>
      <c r="P36" s="54"/>
    </row>
    <row r="37" spans="1:16" s="128" customFormat="1" ht="13.5" customHeight="1" x14ac:dyDescent="0.25">
      <c r="A37" s="84"/>
      <c r="B37" s="210" t="s">
        <v>424</v>
      </c>
      <c r="C37" s="69"/>
      <c r="D37" s="105">
        <f>D35*N4</f>
        <v>316.66666666666669</v>
      </c>
      <c r="E37" s="105">
        <f t="shared" si="0"/>
        <v>465500</v>
      </c>
      <c r="F37" s="102" t="s">
        <v>325</v>
      </c>
      <c r="G37" s="104"/>
      <c r="H37" s="104"/>
      <c r="I37" s="138">
        <v>1.5</v>
      </c>
      <c r="J37" s="191">
        <f>D33*$K$2*I33</f>
        <v>624750</v>
      </c>
      <c r="K37" s="188">
        <f t="shared" si="1"/>
        <v>687225</v>
      </c>
      <c r="L37" s="189">
        <f t="shared" si="2"/>
        <v>520625</v>
      </c>
      <c r="M37" s="65"/>
      <c r="N37" s="66"/>
      <c r="O37" s="54"/>
      <c r="P37" s="54"/>
    </row>
    <row r="38" spans="1:16" s="128" customFormat="1" ht="13.5" customHeight="1" x14ac:dyDescent="0.25">
      <c r="A38" s="84"/>
      <c r="B38" s="210"/>
      <c r="C38" s="69"/>
      <c r="D38" s="105">
        <f>D35*N2</f>
        <v>443.33333333333331</v>
      </c>
      <c r="E38" s="105">
        <f t="shared" si="0"/>
        <v>651700</v>
      </c>
      <c r="F38" s="102" t="s">
        <v>308</v>
      </c>
      <c r="G38" s="104"/>
      <c r="H38" s="104"/>
      <c r="I38" s="138">
        <v>1.5</v>
      </c>
      <c r="J38" s="191">
        <f>D34*$K$2*I34</f>
        <v>874650</v>
      </c>
      <c r="K38" s="188">
        <f t="shared" si="1"/>
        <v>962115.00000000012</v>
      </c>
      <c r="L38" s="189">
        <f t="shared" si="2"/>
        <v>728875</v>
      </c>
      <c r="M38" s="65"/>
      <c r="N38" s="66"/>
      <c r="O38" s="54"/>
      <c r="P38" s="54"/>
    </row>
    <row r="39" spans="1:16" s="128" customFormat="1" ht="13.5" customHeight="1" x14ac:dyDescent="0.25">
      <c r="A39" s="84">
        <v>44992</v>
      </c>
      <c r="B39" s="210" t="s">
        <v>425</v>
      </c>
      <c r="C39" s="69" t="s">
        <v>17</v>
      </c>
      <c r="D39" s="105"/>
      <c r="E39" s="105">
        <f t="shared" si="0"/>
        <v>0</v>
      </c>
      <c r="F39" s="102" t="s">
        <v>200</v>
      </c>
      <c r="G39" s="104"/>
      <c r="H39" s="104"/>
      <c r="I39" s="138">
        <v>1.5</v>
      </c>
      <c r="J39" s="191"/>
      <c r="K39" s="188">
        <f t="shared" si="1"/>
        <v>0</v>
      </c>
      <c r="L39" s="189">
        <f t="shared" si="2"/>
        <v>0</v>
      </c>
      <c r="M39" s="65"/>
      <c r="N39" s="66"/>
      <c r="O39" s="54"/>
      <c r="P39" s="54"/>
    </row>
    <row r="40" spans="1:16" ht="13.5" customHeight="1" x14ac:dyDescent="0.25">
      <c r="A40" s="84">
        <v>44992</v>
      </c>
      <c r="B40" s="210" t="s">
        <v>426</v>
      </c>
      <c r="C40" s="69" t="s">
        <v>17</v>
      </c>
      <c r="D40" s="62"/>
      <c r="E40" s="105">
        <f t="shared" si="0"/>
        <v>0</v>
      </c>
      <c r="F40" s="63" t="s">
        <v>315</v>
      </c>
      <c r="G40" s="64"/>
      <c r="H40" s="64"/>
      <c r="I40" s="138">
        <v>1.5</v>
      </c>
      <c r="J40" s="187">
        <f>D40*$K$2*I40</f>
        <v>0</v>
      </c>
      <c r="K40" s="188">
        <f t="shared" si="1"/>
        <v>0</v>
      </c>
      <c r="L40" s="189">
        <f t="shared" si="2"/>
        <v>0</v>
      </c>
      <c r="M40" s="65"/>
      <c r="N40" s="66"/>
    </row>
    <row r="41" spans="1:16" ht="13.5" customHeight="1" x14ac:dyDescent="0.25">
      <c r="A41" s="110"/>
      <c r="B41" s="209"/>
      <c r="C41" s="111"/>
      <c r="D41" s="112"/>
      <c r="E41" s="105">
        <f t="shared" si="0"/>
        <v>0</v>
      </c>
      <c r="F41" s="113" t="s">
        <v>311</v>
      </c>
      <c r="G41" s="109"/>
      <c r="H41" s="109"/>
      <c r="I41" s="138">
        <v>1.5</v>
      </c>
      <c r="J41" s="190"/>
      <c r="K41" s="188">
        <f t="shared" si="1"/>
        <v>0</v>
      </c>
      <c r="L41" s="189">
        <f t="shared" si="2"/>
        <v>0</v>
      </c>
      <c r="M41" s="114"/>
      <c r="N41" s="114"/>
    </row>
    <row r="42" spans="1:16" s="128" customFormat="1" ht="13.5" customHeight="1" x14ac:dyDescent="0.25">
      <c r="A42" s="135"/>
      <c r="B42" s="212"/>
      <c r="C42" s="123"/>
      <c r="D42" s="119">
        <f>J42/1.5</f>
        <v>166.66666666666666</v>
      </c>
      <c r="E42" s="105">
        <f t="shared" si="0"/>
        <v>245000</v>
      </c>
      <c r="F42" s="126" t="s">
        <v>2281</v>
      </c>
      <c r="G42" s="124"/>
      <c r="H42" s="124"/>
      <c r="I42" s="138">
        <v>1.5</v>
      </c>
      <c r="J42" s="134">
        <v>250</v>
      </c>
      <c r="K42" s="188">
        <f t="shared" si="1"/>
        <v>275</v>
      </c>
      <c r="L42" s="189">
        <f t="shared" si="2"/>
        <v>208.33333333333334</v>
      </c>
      <c r="M42" s="125"/>
      <c r="N42" s="125"/>
      <c r="O42" s="54"/>
      <c r="P42" s="54"/>
    </row>
    <row r="43" spans="1:16" s="128" customFormat="1" ht="13.5" customHeight="1" x14ac:dyDescent="0.25">
      <c r="A43" s="84"/>
      <c r="B43" s="210">
        <v>1502003</v>
      </c>
      <c r="C43" s="69"/>
      <c r="D43" s="105">
        <f>D42*$N$4</f>
        <v>83.333333333333329</v>
      </c>
      <c r="E43" s="105">
        <f t="shared" si="0"/>
        <v>122500</v>
      </c>
      <c r="F43" s="102" t="s">
        <v>318</v>
      </c>
      <c r="G43" s="104"/>
      <c r="H43" s="104"/>
      <c r="I43" s="138">
        <v>1.5</v>
      </c>
      <c r="J43" s="191">
        <f>D43*$K$2*I43</f>
        <v>183750</v>
      </c>
      <c r="K43" s="188">
        <f t="shared" si="1"/>
        <v>202125.00000000003</v>
      </c>
      <c r="L43" s="189">
        <f t="shared" si="2"/>
        <v>153125</v>
      </c>
      <c r="M43" s="65"/>
      <c r="N43" s="66"/>
      <c r="O43" s="54"/>
      <c r="P43" s="54"/>
    </row>
    <row r="44" spans="1:16" s="128" customFormat="1" ht="13.5" customHeight="1" x14ac:dyDescent="0.25">
      <c r="A44" s="84"/>
      <c r="B44" s="210">
        <v>1103002</v>
      </c>
      <c r="C44" s="69"/>
      <c r="D44" s="105">
        <f>D42*$N$3</f>
        <v>99.999999999999986</v>
      </c>
      <c r="E44" s="105">
        <f t="shared" si="0"/>
        <v>146999.99999999997</v>
      </c>
      <c r="F44" s="102" t="s">
        <v>319</v>
      </c>
      <c r="G44" s="104"/>
      <c r="H44" s="104"/>
      <c r="I44" s="138">
        <v>1.5</v>
      </c>
      <c r="J44" s="191">
        <f>D44*$K$2*I44</f>
        <v>220499.99999999994</v>
      </c>
      <c r="K44" s="188">
        <f t="shared" si="1"/>
        <v>242549.99999999994</v>
      </c>
      <c r="L44" s="189">
        <f t="shared" si="2"/>
        <v>183749.99999999997</v>
      </c>
      <c r="M44" s="65"/>
      <c r="N44" s="66"/>
      <c r="O44" s="54"/>
      <c r="P44" s="54"/>
    </row>
    <row r="45" spans="1:16" s="101" customFormat="1" ht="13.5" customHeight="1" x14ac:dyDescent="0.25">
      <c r="A45" s="122"/>
      <c r="B45" s="213"/>
      <c r="C45" s="122"/>
      <c r="D45" s="119">
        <f>J45/1.5</f>
        <v>253.33333333333334</v>
      </c>
      <c r="E45" s="105">
        <f t="shared" si="0"/>
        <v>372400</v>
      </c>
      <c r="F45" s="126" t="s">
        <v>2282</v>
      </c>
      <c r="G45" s="122"/>
      <c r="H45" s="122"/>
      <c r="I45" s="138">
        <v>1.5</v>
      </c>
      <c r="J45" s="134">
        <v>380</v>
      </c>
      <c r="K45" s="188">
        <f t="shared" si="1"/>
        <v>418.00000000000006</v>
      </c>
      <c r="L45" s="189">
        <f t="shared" si="2"/>
        <v>316.66666666666669</v>
      </c>
      <c r="M45" s="122"/>
      <c r="N45" s="122"/>
      <c r="O45" s="54"/>
      <c r="P45" s="54"/>
    </row>
    <row r="46" spans="1:16" s="101" customFormat="1" ht="13.5" customHeight="1" x14ac:dyDescent="0.25">
      <c r="A46" s="84">
        <v>44992</v>
      </c>
      <c r="B46" s="210">
        <v>1502002</v>
      </c>
      <c r="C46" s="69" t="s">
        <v>17</v>
      </c>
      <c r="D46" s="105">
        <f>D45*N4</f>
        <v>126.66666666666667</v>
      </c>
      <c r="E46" s="105">
        <f t="shared" si="0"/>
        <v>186200</v>
      </c>
      <c r="F46" s="102" t="s">
        <v>313</v>
      </c>
      <c r="G46" s="104"/>
      <c r="H46" s="104"/>
      <c r="I46" s="138">
        <v>1.5</v>
      </c>
      <c r="J46" s="187">
        <f>D46*$K$2*I46</f>
        <v>279300</v>
      </c>
      <c r="K46" s="188">
        <f t="shared" si="1"/>
        <v>307230</v>
      </c>
      <c r="L46" s="189">
        <f t="shared" si="2"/>
        <v>232750</v>
      </c>
      <c r="M46" s="65"/>
      <c r="N46" s="66"/>
      <c r="O46" s="54"/>
      <c r="P46" s="54"/>
    </row>
    <row r="47" spans="1:16" s="128" customFormat="1" ht="13.5" customHeight="1" x14ac:dyDescent="0.25">
      <c r="A47" s="84"/>
      <c r="B47" s="210">
        <v>1106002</v>
      </c>
      <c r="C47" s="69"/>
      <c r="D47" s="105">
        <f>D45*N3</f>
        <v>152</v>
      </c>
      <c r="E47" s="105">
        <f t="shared" si="0"/>
        <v>223440</v>
      </c>
      <c r="F47" s="102" t="s">
        <v>348</v>
      </c>
      <c r="G47" s="104"/>
      <c r="H47" s="104"/>
      <c r="I47" s="138">
        <v>1.5</v>
      </c>
      <c r="J47" s="187">
        <f>D47*$K$2*I47</f>
        <v>335160</v>
      </c>
      <c r="K47" s="188">
        <f t="shared" si="1"/>
        <v>368676.00000000006</v>
      </c>
      <c r="L47" s="189">
        <f t="shared" si="2"/>
        <v>279300</v>
      </c>
      <c r="M47" s="65"/>
      <c r="N47" s="66"/>
      <c r="O47" s="54"/>
      <c r="P47" s="54"/>
    </row>
    <row r="48" spans="1:16" s="128" customFormat="1" ht="13.5" customHeight="1" x14ac:dyDescent="0.25">
      <c r="A48" s="84"/>
      <c r="B48" s="210"/>
      <c r="C48" s="69"/>
      <c r="D48" s="105"/>
      <c r="E48" s="105">
        <f t="shared" si="0"/>
        <v>0</v>
      </c>
      <c r="F48" s="102"/>
      <c r="G48" s="104"/>
      <c r="H48" s="104"/>
      <c r="I48" s="138">
        <v>1.5</v>
      </c>
      <c r="J48" s="191"/>
      <c r="K48" s="188">
        <f t="shared" si="1"/>
        <v>0</v>
      </c>
      <c r="L48" s="189">
        <f t="shared" si="2"/>
        <v>0</v>
      </c>
      <c r="M48" s="65"/>
      <c r="N48" s="66"/>
      <c r="O48" s="54"/>
      <c r="P48" s="54"/>
    </row>
    <row r="49" spans="1:16" s="128" customFormat="1" ht="13.5" customHeight="1" x14ac:dyDescent="0.25">
      <c r="A49" s="122"/>
      <c r="B49" s="214">
        <v>1105002</v>
      </c>
      <c r="C49" s="123"/>
      <c r="D49" s="119">
        <f>J49/1.5</f>
        <v>426.66666666666669</v>
      </c>
      <c r="E49" s="105">
        <f t="shared" si="0"/>
        <v>627200</v>
      </c>
      <c r="F49" s="116" t="s">
        <v>316</v>
      </c>
      <c r="G49" s="124"/>
      <c r="H49" s="124"/>
      <c r="I49" s="138">
        <v>1.5</v>
      </c>
      <c r="J49" s="134">
        <v>640</v>
      </c>
      <c r="K49" s="188">
        <f t="shared" si="1"/>
        <v>704</v>
      </c>
      <c r="L49" s="189">
        <f t="shared" si="2"/>
        <v>533.33333333333337</v>
      </c>
      <c r="M49" s="125"/>
      <c r="N49" s="125"/>
      <c r="O49" s="54"/>
      <c r="P49" s="54"/>
    </row>
    <row r="50" spans="1:16" s="128" customFormat="1" ht="13.5" customHeight="1" x14ac:dyDescent="0.25">
      <c r="A50" s="84">
        <v>44992</v>
      </c>
      <c r="B50" s="210">
        <v>1502007</v>
      </c>
      <c r="C50" s="69" t="s">
        <v>17</v>
      </c>
      <c r="D50" s="105">
        <f>D49*$N$4</f>
        <v>213.33333333333334</v>
      </c>
      <c r="E50" s="105">
        <f t="shared" si="0"/>
        <v>313600</v>
      </c>
      <c r="F50" s="102" t="s">
        <v>317</v>
      </c>
      <c r="G50" s="104"/>
      <c r="H50" s="104"/>
      <c r="I50" s="138">
        <v>1.5</v>
      </c>
      <c r="J50" s="187">
        <f>D50*$K$2*I50</f>
        <v>470400</v>
      </c>
      <c r="K50" s="188">
        <f t="shared" si="1"/>
        <v>517440.00000000006</v>
      </c>
      <c r="L50" s="189">
        <f t="shared" si="2"/>
        <v>392000</v>
      </c>
      <c r="M50" s="65"/>
      <c r="N50" s="66"/>
      <c r="O50" s="54"/>
      <c r="P50" s="54"/>
    </row>
    <row r="51" spans="1:16" s="128" customFormat="1" ht="13.5" customHeight="1" x14ac:dyDescent="0.25">
      <c r="A51" s="84">
        <v>44992</v>
      </c>
      <c r="B51" s="210">
        <v>1104004</v>
      </c>
      <c r="C51" s="69" t="s">
        <v>17</v>
      </c>
      <c r="D51" s="105">
        <f>D49*$N$3</f>
        <v>256</v>
      </c>
      <c r="E51" s="105">
        <f t="shared" si="0"/>
        <v>376320</v>
      </c>
      <c r="F51" s="102" t="s">
        <v>309</v>
      </c>
      <c r="G51" s="104"/>
      <c r="H51" s="104"/>
      <c r="I51" s="138">
        <v>1.5</v>
      </c>
      <c r="J51" s="187">
        <f>D51*$K$2*I51</f>
        <v>564480</v>
      </c>
      <c r="K51" s="188">
        <f t="shared" si="1"/>
        <v>620928</v>
      </c>
      <c r="L51" s="189">
        <f t="shared" si="2"/>
        <v>470400</v>
      </c>
      <c r="M51" s="65"/>
      <c r="N51" s="66"/>
      <c r="O51" s="54"/>
      <c r="P51" s="54"/>
    </row>
    <row r="52" spans="1:16" s="128" customFormat="1" ht="13.5" customHeight="1" x14ac:dyDescent="0.25">
      <c r="A52" s="122"/>
      <c r="B52" s="214">
        <v>1106003</v>
      </c>
      <c r="C52" s="123"/>
      <c r="D52" s="119">
        <f>J52/1.5</f>
        <v>480</v>
      </c>
      <c r="E52" s="105">
        <f t="shared" si="0"/>
        <v>705600</v>
      </c>
      <c r="F52" s="116" t="s">
        <v>350</v>
      </c>
      <c r="G52" s="124"/>
      <c r="H52" s="124"/>
      <c r="I52" s="138">
        <v>1.5</v>
      </c>
      <c r="J52" s="134">
        <v>720</v>
      </c>
      <c r="K52" s="188">
        <f t="shared" si="1"/>
        <v>792.00000000000011</v>
      </c>
      <c r="L52" s="189">
        <f t="shared" si="2"/>
        <v>600</v>
      </c>
      <c r="M52" s="125"/>
      <c r="N52" s="125"/>
      <c r="O52" s="54"/>
      <c r="P52" s="54"/>
    </row>
    <row r="53" spans="1:16" s="128" customFormat="1" ht="13.5" customHeight="1" x14ac:dyDescent="0.25">
      <c r="A53" s="84">
        <v>44992</v>
      </c>
      <c r="B53" s="210" t="s">
        <v>427</v>
      </c>
      <c r="C53" s="69" t="s">
        <v>17</v>
      </c>
      <c r="D53" s="105">
        <f>D52*$N$4</f>
        <v>240</v>
      </c>
      <c r="E53" s="105">
        <f t="shared" si="0"/>
        <v>352800</v>
      </c>
      <c r="F53" s="102" t="s">
        <v>317</v>
      </c>
      <c r="G53" s="104"/>
      <c r="H53" s="104"/>
      <c r="I53" s="138">
        <v>1.5</v>
      </c>
      <c r="J53" s="187">
        <f>D53*$K$2*I53</f>
        <v>529200</v>
      </c>
      <c r="K53" s="188">
        <f t="shared" si="1"/>
        <v>582120</v>
      </c>
      <c r="L53" s="189">
        <f t="shared" si="2"/>
        <v>441000</v>
      </c>
      <c r="M53" s="65"/>
      <c r="N53" s="66"/>
      <c r="O53" s="54"/>
      <c r="P53" s="54"/>
    </row>
    <row r="54" spans="1:16" s="128" customFormat="1" ht="13.5" customHeight="1" x14ac:dyDescent="0.25">
      <c r="A54" s="84">
        <v>44992</v>
      </c>
      <c r="B54" s="210">
        <v>1105003</v>
      </c>
      <c r="C54" s="69" t="s">
        <v>17</v>
      </c>
      <c r="D54" s="105">
        <f>D52*$N$3</f>
        <v>288</v>
      </c>
      <c r="E54" s="105">
        <f t="shared" si="0"/>
        <v>423360</v>
      </c>
      <c r="F54" s="102" t="s">
        <v>309</v>
      </c>
      <c r="G54" s="104"/>
      <c r="H54" s="104"/>
      <c r="I54" s="138">
        <v>1.5</v>
      </c>
      <c r="J54" s="187">
        <f>D54*$K$2*I54</f>
        <v>635040</v>
      </c>
      <c r="K54" s="188">
        <f t="shared" si="1"/>
        <v>698544</v>
      </c>
      <c r="L54" s="189">
        <f t="shared" si="2"/>
        <v>529200</v>
      </c>
      <c r="M54" s="65"/>
      <c r="N54" s="66"/>
      <c r="O54" s="54"/>
      <c r="P54" s="54"/>
    </row>
    <row r="55" spans="1:16" ht="13.5" customHeight="1" x14ac:dyDescent="0.25">
      <c r="A55" s="129"/>
      <c r="B55" s="215">
        <v>1104005</v>
      </c>
      <c r="C55" s="130"/>
      <c r="D55" s="119">
        <f>J55/1.5</f>
        <v>666.66666666666663</v>
      </c>
      <c r="E55" s="105">
        <f t="shared" si="0"/>
        <v>980000</v>
      </c>
      <c r="F55" s="116" t="s">
        <v>351</v>
      </c>
      <c r="G55" s="132"/>
      <c r="H55" s="132"/>
      <c r="I55" s="138">
        <v>1.5</v>
      </c>
      <c r="J55" s="134">
        <v>1000</v>
      </c>
      <c r="K55" s="188">
        <f t="shared" si="1"/>
        <v>1100</v>
      </c>
      <c r="L55" s="189">
        <f t="shared" si="2"/>
        <v>833.33333333333337</v>
      </c>
      <c r="M55" s="131"/>
      <c r="N55" s="131"/>
    </row>
    <row r="56" spans="1:16" s="101" customFormat="1" ht="13.5" customHeight="1" x14ac:dyDescent="0.25">
      <c r="A56" s="84">
        <v>44992</v>
      </c>
      <c r="B56" s="210">
        <v>1502004</v>
      </c>
      <c r="C56" s="69" t="s">
        <v>17</v>
      </c>
      <c r="D56" s="105">
        <f>D55*$N$4</f>
        <v>333.33333333333331</v>
      </c>
      <c r="E56" s="105">
        <f t="shared" si="0"/>
        <v>490000</v>
      </c>
      <c r="F56" s="102" t="s">
        <v>352</v>
      </c>
      <c r="G56" s="104"/>
      <c r="H56" s="104"/>
      <c r="I56" s="138">
        <v>1.5</v>
      </c>
      <c r="J56" s="187">
        <f>D56*$K$2*I56</f>
        <v>735000</v>
      </c>
      <c r="K56" s="188">
        <f t="shared" si="1"/>
        <v>808500.00000000012</v>
      </c>
      <c r="L56" s="189">
        <f t="shared" si="2"/>
        <v>612500</v>
      </c>
      <c r="M56" s="65"/>
      <c r="N56" s="66"/>
      <c r="O56" s="54"/>
      <c r="P56" s="54"/>
    </row>
    <row r="57" spans="1:16" ht="13.5" customHeight="1" x14ac:dyDescent="0.25">
      <c r="A57" s="84">
        <v>44992</v>
      </c>
      <c r="B57" s="210">
        <v>1104006</v>
      </c>
      <c r="C57" s="69" t="s">
        <v>17</v>
      </c>
      <c r="D57" s="105">
        <f>D55*$N$3</f>
        <v>399.99999999999994</v>
      </c>
      <c r="E57" s="105">
        <f t="shared" si="0"/>
        <v>587999.99999999988</v>
      </c>
      <c r="F57" s="102" t="s">
        <v>309</v>
      </c>
      <c r="G57" s="104"/>
      <c r="H57" s="104"/>
      <c r="I57" s="138">
        <v>1.5</v>
      </c>
      <c r="J57" s="187">
        <f>D57*$K$2*I57</f>
        <v>881999.99999999977</v>
      </c>
      <c r="K57" s="188">
        <f t="shared" si="1"/>
        <v>970199.99999999977</v>
      </c>
      <c r="L57" s="189">
        <f t="shared" si="2"/>
        <v>734999.99999999988</v>
      </c>
      <c r="M57" s="65"/>
      <c r="N57" s="66"/>
    </row>
    <row r="58" spans="1:16" ht="13.5" customHeight="1" x14ac:dyDescent="0.25">
      <c r="A58" s="117"/>
      <c r="B58" s="207"/>
      <c r="C58" s="118"/>
      <c r="D58" s="119"/>
      <c r="E58" s="105">
        <f t="shared" si="0"/>
        <v>0</v>
      </c>
      <c r="F58" s="115" t="s">
        <v>349</v>
      </c>
      <c r="G58" s="120"/>
      <c r="H58" s="120"/>
      <c r="I58" s="138">
        <v>1.5</v>
      </c>
      <c r="J58" s="186"/>
      <c r="K58" s="188">
        <f t="shared" si="1"/>
        <v>0</v>
      </c>
      <c r="L58" s="189">
        <f t="shared" si="2"/>
        <v>0</v>
      </c>
      <c r="M58" s="121"/>
      <c r="N58" s="121"/>
    </row>
    <row r="59" spans="1:16" ht="13.5" customHeight="1" x14ac:dyDescent="0.25">
      <c r="A59" s="122"/>
      <c r="B59" s="213"/>
      <c r="C59" s="122"/>
      <c r="D59" s="119">
        <f>J59/1.5</f>
        <v>333.33333333333331</v>
      </c>
      <c r="E59" s="105">
        <f t="shared" si="0"/>
        <v>490000</v>
      </c>
      <c r="F59" s="126" t="s">
        <v>2283</v>
      </c>
      <c r="G59" s="122"/>
      <c r="H59" s="122"/>
      <c r="I59" s="138">
        <v>1.5</v>
      </c>
      <c r="J59" s="134">
        <v>500</v>
      </c>
      <c r="K59" s="188">
        <f t="shared" si="1"/>
        <v>550</v>
      </c>
      <c r="L59" s="189">
        <f t="shared" si="2"/>
        <v>416.66666666666669</v>
      </c>
      <c r="M59" s="122"/>
      <c r="N59" s="122"/>
    </row>
    <row r="60" spans="1:16" ht="13.5" customHeight="1" x14ac:dyDescent="0.25">
      <c r="A60" s="84">
        <v>44992</v>
      </c>
      <c r="B60" s="210">
        <v>1502005</v>
      </c>
      <c r="C60" s="69" t="s">
        <v>17</v>
      </c>
      <c r="D60" s="105">
        <f>D59*N4</f>
        <v>166.66666666666666</v>
      </c>
      <c r="E60" s="105">
        <f t="shared" si="0"/>
        <v>245000</v>
      </c>
      <c r="F60" s="102" t="s">
        <v>313</v>
      </c>
      <c r="G60" s="104"/>
      <c r="H60" s="104"/>
      <c r="I60" s="138">
        <v>1.5</v>
      </c>
      <c r="J60" s="187">
        <f>D60*$K$2*I60</f>
        <v>367500</v>
      </c>
      <c r="K60" s="188">
        <f t="shared" si="1"/>
        <v>404250.00000000006</v>
      </c>
      <c r="L60" s="189">
        <f t="shared" si="2"/>
        <v>306250</v>
      </c>
      <c r="M60" s="65"/>
      <c r="N60" s="66"/>
    </row>
    <row r="61" spans="1:16" ht="13.5" customHeight="1" x14ac:dyDescent="0.25">
      <c r="A61" s="84"/>
      <c r="B61" s="210">
        <v>1104011</v>
      </c>
      <c r="C61" s="69"/>
      <c r="D61" s="105">
        <f>D59*N3</f>
        <v>199.99999999999997</v>
      </c>
      <c r="E61" s="105">
        <f t="shared" si="0"/>
        <v>293999.99999999994</v>
      </c>
      <c r="F61" s="102" t="s">
        <v>348</v>
      </c>
      <c r="G61" s="104"/>
      <c r="H61" s="104"/>
      <c r="I61" s="138">
        <v>1.5</v>
      </c>
      <c r="J61" s="187">
        <f>D61*$K$2*I61</f>
        <v>440999.99999999988</v>
      </c>
      <c r="K61" s="188">
        <f t="shared" si="1"/>
        <v>485099.99999999988</v>
      </c>
      <c r="L61" s="189">
        <f t="shared" si="2"/>
        <v>367499.99999999994</v>
      </c>
      <c r="M61" s="65"/>
      <c r="N61" s="66"/>
    </row>
    <row r="62" spans="1:16" ht="13.5" customHeight="1" x14ac:dyDescent="0.25">
      <c r="A62" s="122"/>
      <c r="B62" s="213">
        <v>1103003</v>
      </c>
      <c r="C62" s="122"/>
      <c r="D62" s="119">
        <f>J62/1.5</f>
        <v>733.33333333333337</v>
      </c>
      <c r="E62" s="105">
        <f t="shared" si="0"/>
        <v>1078000</v>
      </c>
      <c r="F62" s="126" t="s">
        <v>305</v>
      </c>
      <c r="G62" s="122"/>
      <c r="H62" s="122"/>
      <c r="I62" s="138">
        <v>1.5</v>
      </c>
      <c r="J62" s="127">
        <v>1100</v>
      </c>
      <c r="K62" s="188">
        <f t="shared" si="1"/>
        <v>1210</v>
      </c>
      <c r="L62" s="189">
        <f t="shared" si="2"/>
        <v>916.66666666666663</v>
      </c>
      <c r="M62" s="122"/>
      <c r="N62" s="122"/>
    </row>
    <row r="63" spans="1:16" ht="13.5" customHeight="1" x14ac:dyDescent="0.25">
      <c r="A63" s="84">
        <v>44992</v>
      </c>
      <c r="B63" s="210" t="s">
        <v>428</v>
      </c>
      <c r="C63" s="69" t="s">
        <v>17</v>
      </c>
      <c r="D63" s="139">
        <f>D62*N4</f>
        <v>366.66666666666669</v>
      </c>
      <c r="E63" s="105">
        <f t="shared" si="0"/>
        <v>539000</v>
      </c>
      <c r="F63" s="102" t="s">
        <v>313</v>
      </c>
      <c r="G63" s="104"/>
      <c r="H63" s="104"/>
      <c r="I63" s="138">
        <v>1.5</v>
      </c>
      <c r="J63" s="187">
        <f>D63*$K$2*I63</f>
        <v>808500</v>
      </c>
      <c r="K63" s="188">
        <f t="shared" si="1"/>
        <v>889350.00000000012</v>
      </c>
      <c r="L63" s="189">
        <f t="shared" si="2"/>
        <v>673750</v>
      </c>
      <c r="M63" s="65"/>
      <c r="N63" s="66"/>
    </row>
    <row r="64" spans="1:16" ht="13.5" customHeight="1" x14ac:dyDescent="0.25">
      <c r="A64" s="84"/>
      <c r="B64" s="210">
        <v>1106001</v>
      </c>
      <c r="C64" s="69"/>
      <c r="D64" s="105">
        <f>D63*N3</f>
        <v>220</v>
      </c>
      <c r="E64" s="105">
        <f t="shared" si="0"/>
        <v>323400</v>
      </c>
      <c r="F64" s="102" t="s">
        <v>348</v>
      </c>
      <c r="G64" s="104"/>
      <c r="H64" s="104"/>
      <c r="I64" s="138">
        <v>1.5</v>
      </c>
      <c r="J64" s="187">
        <f>D64*$K$2*I64</f>
        <v>485100</v>
      </c>
      <c r="K64" s="188">
        <f t="shared" si="1"/>
        <v>533610</v>
      </c>
      <c r="L64" s="189">
        <f t="shared" si="2"/>
        <v>404250</v>
      </c>
      <c r="M64" s="65"/>
      <c r="N64" s="66"/>
    </row>
    <row r="65" spans="1:14" ht="13.5" customHeight="1" x14ac:dyDescent="0.25">
      <c r="A65" s="135"/>
      <c r="B65" s="212"/>
      <c r="C65" s="123"/>
      <c r="D65" s="134"/>
      <c r="E65" s="105">
        <f t="shared" si="0"/>
        <v>0</v>
      </c>
      <c r="F65" s="126" t="s">
        <v>301</v>
      </c>
      <c r="G65" s="124"/>
      <c r="H65" s="124"/>
      <c r="I65" s="138">
        <v>1.5</v>
      </c>
      <c r="J65" s="134">
        <v>420</v>
      </c>
      <c r="K65" s="188">
        <f t="shared" si="1"/>
        <v>462.00000000000006</v>
      </c>
      <c r="L65" s="189">
        <f t="shared" si="2"/>
        <v>350</v>
      </c>
      <c r="M65" s="125"/>
      <c r="N65" s="125"/>
    </row>
    <row r="66" spans="1:14" ht="13.5" customHeight="1" x14ac:dyDescent="0.25">
      <c r="A66" s="84"/>
      <c r="B66" s="210">
        <v>1502008</v>
      </c>
      <c r="C66" s="69"/>
      <c r="D66" s="105">
        <f>D65*N27</f>
        <v>0</v>
      </c>
      <c r="E66" s="105">
        <f t="shared" si="0"/>
        <v>0</v>
      </c>
      <c r="F66" s="102" t="s">
        <v>318</v>
      </c>
      <c r="G66" s="104"/>
      <c r="H66" s="104"/>
      <c r="I66" s="138">
        <v>1.5</v>
      </c>
      <c r="J66" s="187">
        <f>D66*$K$2*I66</f>
        <v>0</v>
      </c>
      <c r="K66" s="188">
        <f t="shared" si="1"/>
        <v>0</v>
      </c>
      <c r="L66" s="189">
        <f t="shared" si="2"/>
        <v>0</v>
      </c>
      <c r="M66" s="65"/>
      <c r="N66" s="66"/>
    </row>
    <row r="67" spans="1:14" ht="13.5" customHeight="1" x14ac:dyDescent="0.25">
      <c r="A67" s="84"/>
      <c r="B67" s="210">
        <v>1103004</v>
      </c>
      <c r="C67" s="69"/>
      <c r="D67" s="105">
        <f>D65*N26</f>
        <v>0</v>
      </c>
      <c r="E67" s="105">
        <f t="shared" si="0"/>
        <v>0</v>
      </c>
      <c r="F67" s="102" t="s">
        <v>319</v>
      </c>
      <c r="G67" s="104"/>
      <c r="H67" s="104"/>
      <c r="I67" s="138">
        <v>1.5</v>
      </c>
      <c r="J67" s="187">
        <f>D67*$K$2*I67</f>
        <v>0</v>
      </c>
      <c r="K67" s="188">
        <f t="shared" si="1"/>
        <v>0</v>
      </c>
      <c r="L67" s="189">
        <f t="shared" si="2"/>
        <v>0</v>
      </c>
      <c r="M67" s="65"/>
      <c r="N67" s="66"/>
    </row>
    <row r="68" spans="1:14" ht="13.5" customHeight="1" x14ac:dyDescent="0.25">
      <c r="A68" s="110"/>
      <c r="B68" s="209">
        <v>1208048</v>
      </c>
      <c r="C68" s="111"/>
      <c r="D68" s="112"/>
      <c r="E68" s="105">
        <f t="shared" ref="E68:E129" si="4">D68*$K$2</f>
        <v>0</v>
      </c>
      <c r="F68" s="113" t="s">
        <v>306</v>
      </c>
      <c r="G68" s="109"/>
      <c r="H68" s="109"/>
      <c r="I68" s="109"/>
      <c r="J68" s="190"/>
      <c r="K68" s="188">
        <f t="shared" ref="K68:K130" si="5">J68*1.1</f>
        <v>0</v>
      </c>
      <c r="L68" s="189">
        <f t="shared" ref="L68:L130" si="6">J68*5/6</f>
        <v>0</v>
      </c>
      <c r="M68" s="114"/>
      <c r="N68" s="114"/>
    </row>
    <row r="69" spans="1:14" ht="13.5" customHeight="1" x14ac:dyDescent="0.25">
      <c r="A69" s="84">
        <v>44992</v>
      </c>
      <c r="B69" s="210">
        <v>1104021</v>
      </c>
      <c r="C69" s="69" t="s">
        <v>17</v>
      </c>
      <c r="D69" s="62">
        <v>7</v>
      </c>
      <c r="E69" s="105">
        <f t="shared" si="4"/>
        <v>10290</v>
      </c>
      <c r="F69" s="63" t="s">
        <v>203</v>
      </c>
      <c r="G69" s="64"/>
      <c r="H69" s="64"/>
      <c r="I69" s="104">
        <v>3.5</v>
      </c>
      <c r="J69" s="187">
        <f t="shared" ref="J69:J85" si="7">D69*$K$2*I69</f>
        <v>36015</v>
      </c>
      <c r="K69" s="188">
        <f t="shared" si="5"/>
        <v>39616.5</v>
      </c>
      <c r="L69" s="189">
        <f t="shared" si="6"/>
        <v>30012.5</v>
      </c>
      <c r="M69" s="65"/>
      <c r="N69" s="66"/>
    </row>
    <row r="70" spans="1:14" ht="13.5" customHeight="1" x14ac:dyDescent="0.25">
      <c r="A70" s="23">
        <v>42682</v>
      </c>
      <c r="B70" s="208">
        <v>1104022</v>
      </c>
      <c r="C70" s="24" t="s">
        <v>17</v>
      </c>
      <c r="D70" s="27">
        <v>10</v>
      </c>
      <c r="E70" s="105">
        <f t="shared" si="4"/>
        <v>14700</v>
      </c>
      <c r="F70" s="2" t="s">
        <v>109</v>
      </c>
      <c r="G70" s="26"/>
      <c r="H70" s="26"/>
      <c r="I70" s="104">
        <v>3.5</v>
      </c>
      <c r="J70" s="187">
        <f t="shared" si="7"/>
        <v>51450</v>
      </c>
      <c r="K70" s="188">
        <f t="shared" si="5"/>
        <v>56595.000000000007</v>
      </c>
      <c r="L70" s="189">
        <f t="shared" si="6"/>
        <v>42875</v>
      </c>
      <c r="M70" s="3"/>
      <c r="N70" s="4"/>
    </row>
    <row r="71" spans="1:14" ht="13.5" customHeight="1" x14ac:dyDescent="0.25">
      <c r="A71" s="84">
        <v>44992</v>
      </c>
      <c r="B71" s="210">
        <v>1213016</v>
      </c>
      <c r="C71" s="69" t="s">
        <v>17</v>
      </c>
      <c r="D71" s="62">
        <v>30</v>
      </c>
      <c r="E71" s="105">
        <f t="shared" si="4"/>
        <v>44100</v>
      </c>
      <c r="F71" s="63" t="s">
        <v>202</v>
      </c>
      <c r="G71" s="64"/>
      <c r="H71" s="64"/>
      <c r="I71" s="104">
        <v>3.5</v>
      </c>
      <c r="J71" s="187">
        <f t="shared" si="7"/>
        <v>154350</v>
      </c>
      <c r="K71" s="188">
        <f t="shared" si="5"/>
        <v>169785</v>
      </c>
      <c r="L71" s="189">
        <f t="shared" si="6"/>
        <v>128625</v>
      </c>
      <c r="M71" s="65"/>
      <c r="N71" s="66"/>
    </row>
    <row r="72" spans="1:14" ht="13.5" customHeight="1" x14ac:dyDescent="0.25">
      <c r="A72" s="83"/>
      <c r="B72" s="216" t="s">
        <v>372</v>
      </c>
      <c r="C72" s="24" t="s">
        <v>156</v>
      </c>
      <c r="D72" s="62">
        <v>52</v>
      </c>
      <c r="E72" s="105">
        <f t="shared" si="4"/>
        <v>76440</v>
      </c>
      <c r="F72" s="63" t="s">
        <v>155</v>
      </c>
      <c r="G72" s="64"/>
      <c r="H72" s="64"/>
      <c r="I72" s="104">
        <v>1.3</v>
      </c>
      <c r="J72" s="187">
        <f t="shared" si="7"/>
        <v>99372</v>
      </c>
      <c r="K72" s="188">
        <f t="shared" si="5"/>
        <v>109309.20000000001</v>
      </c>
      <c r="L72" s="189">
        <f t="shared" si="6"/>
        <v>82810</v>
      </c>
      <c r="M72" s="65"/>
      <c r="N72" s="66"/>
    </row>
    <row r="73" spans="1:14" ht="13.5" customHeight="1" x14ac:dyDescent="0.25">
      <c r="A73" s="83"/>
      <c r="B73" s="216" t="s">
        <v>373</v>
      </c>
      <c r="C73" s="24" t="s">
        <v>156</v>
      </c>
      <c r="D73" s="62">
        <v>20</v>
      </c>
      <c r="E73" s="105">
        <f t="shared" si="4"/>
        <v>29400</v>
      </c>
      <c r="F73" s="63" t="s">
        <v>354</v>
      </c>
      <c r="G73" s="64"/>
      <c r="H73" s="64"/>
      <c r="I73" s="104">
        <v>3.5</v>
      </c>
      <c r="J73" s="187">
        <f t="shared" si="7"/>
        <v>102900</v>
      </c>
      <c r="K73" s="188">
        <f t="shared" si="5"/>
        <v>113190.00000000001</v>
      </c>
      <c r="L73" s="189">
        <f t="shared" si="6"/>
        <v>85750</v>
      </c>
      <c r="M73" s="65"/>
      <c r="N73" s="66"/>
    </row>
    <row r="74" spans="1:14" ht="13.5" customHeight="1" x14ac:dyDescent="0.25">
      <c r="A74" s="83"/>
      <c r="B74" s="216" t="s">
        <v>380</v>
      </c>
      <c r="C74" s="24" t="s">
        <v>156</v>
      </c>
      <c r="D74" s="105">
        <v>30</v>
      </c>
      <c r="E74" s="105">
        <f t="shared" si="4"/>
        <v>44100</v>
      </c>
      <c r="F74" s="102" t="s">
        <v>353</v>
      </c>
      <c r="G74" s="104"/>
      <c r="H74" s="104"/>
      <c r="I74" s="104">
        <v>1.5</v>
      </c>
      <c r="J74" s="187">
        <f t="shared" si="7"/>
        <v>66150</v>
      </c>
      <c r="K74" s="188">
        <f t="shared" si="5"/>
        <v>72765</v>
      </c>
      <c r="L74" s="189">
        <f t="shared" si="6"/>
        <v>55125</v>
      </c>
      <c r="M74" s="65"/>
      <c r="N74" s="66"/>
    </row>
    <row r="75" spans="1:14" ht="13.5" customHeight="1" x14ac:dyDescent="0.25">
      <c r="A75" s="68"/>
      <c r="B75" s="208">
        <v>1104001</v>
      </c>
      <c r="C75" s="69" t="s">
        <v>17</v>
      </c>
      <c r="D75" s="62">
        <v>4</v>
      </c>
      <c r="E75" s="105">
        <f t="shared" si="4"/>
        <v>5880</v>
      </c>
      <c r="F75" s="63" t="s">
        <v>151</v>
      </c>
      <c r="G75" s="64"/>
      <c r="H75" s="64"/>
      <c r="I75" s="104">
        <v>3.5</v>
      </c>
      <c r="J75" s="187">
        <f t="shared" si="7"/>
        <v>20580</v>
      </c>
      <c r="K75" s="188">
        <f t="shared" si="5"/>
        <v>22638.000000000004</v>
      </c>
      <c r="L75" s="189">
        <f t="shared" si="6"/>
        <v>17150</v>
      </c>
      <c r="M75" s="65"/>
      <c r="N75" s="66"/>
    </row>
    <row r="76" spans="1:14" ht="13.5" customHeight="1" x14ac:dyDescent="0.25">
      <c r="A76" s="59">
        <v>42957</v>
      </c>
      <c r="B76" s="217">
        <v>1208010</v>
      </c>
      <c r="C76" s="24" t="s">
        <v>17</v>
      </c>
      <c r="D76" s="27">
        <v>1</v>
      </c>
      <c r="E76" s="105">
        <f t="shared" si="4"/>
        <v>1470</v>
      </c>
      <c r="F76" s="2" t="s">
        <v>132</v>
      </c>
      <c r="G76" s="26"/>
      <c r="H76" s="26"/>
      <c r="I76" s="104">
        <v>3.5</v>
      </c>
      <c r="J76" s="187">
        <f t="shared" si="7"/>
        <v>5145</v>
      </c>
      <c r="K76" s="188">
        <f t="shared" si="5"/>
        <v>5659.5000000000009</v>
      </c>
      <c r="L76" s="189">
        <f t="shared" si="6"/>
        <v>4287.5</v>
      </c>
      <c r="M76" s="3"/>
      <c r="N76" s="4"/>
    </row>
    <row r="77" spans="1:14" ht="13.5" customHeight="1" x14ac:dyDescent="0.25">
      <c r="A77" s="84">
        <v>44992</v>
      </c>
      <c r="B77" s="210">
        <v>1208047</v>
      </c>
      <c r="C77" s="69" t="s">
        <v>17</v>
      </c>
      <c r="D77" s="62">
        <v>1</v>
      </c>
      <c r="E77" s="105">
        <f t="shared" si="4"/>
        <v>1470</v>
      </c>
      <c r="F77" s="63" t="s">
        <v>190</v>
      </c>
      <c r="G77" s="64"/>
      <c r="H77" s="64"/>
      <c r="I77" s="104">
        <v>3.5</v>
      </c>
      <c r="J77" s="187">
        <f t="shared" si="7"/>
        <v>5145</v>
      </c>
      <c r="K77" s="188">
        <f t="shared" si="5"/>
        <v>5659.5000000000009</v>
      </c>
      <c r="L77" s="189">
        <f t="shared" si="6"/>
        <v>4287.5</v>
      </c>
      <c r="M77" s="65"/>
      <c r="N77" s="66"/>
    </row>
    <row r="78" spans="1:14" ht="13.5" customHeight="1" x14ac:dyDescent="0.25">
      <c r="A78" s="84">
        <v>44992</v>
      </c>
      <c r="B78" s="210">
        <v>1208049</v>
      </c>
      <c r="C78" s="69" t="s">
        <v>17</v>
      </c>
      <c r="D78" s="62">
        <v>1</v>
      </c>
      <c r="E78" s="105">
        <f t="shared" si="4"/>
        <v>1470</v>
      </c>
      <c r="F78" s="63" t="s">
        <v>191</v>
      </c>
      <c r="G78" s="64"/>
      <c r="H78" s="64"/>
      <c r="I78" s="104">
        <v>3.5</v>
      </c>
      <c r="J78" s="187">
        <f t="shared" si="7"/>
        <v>5145</v>
      </c>
      <c r="K78" s="188">
        <f t="shared" si="5"/>
        <v>5659.5000000000009</v>
      </c>
      <c r="L78" s="189">
        <f t="shared" si="6"/>
        <v>4287.5</v>
      </c>
      <c r="M78" s="65"/>
      <c r="N78" s="66"/>
    </row>
    <row r="79" spans="1:14" ht="13.5" customHeight="1" x14ac:dyDescent="0.25">
      <c r="A79" s="84">
        <v>44992</v>
      </c>
      <c r="B79" s="210">
        <v>1104012</v>
      </c>
      <c r="C79" s="69" t="s">
        <v>17</v>
      </c>
      <c r="D79" s="62">
        <v>20</v>
      </c>
      <c r="E79" s="105">
        <f t="shared" si="4"/>
        <v>29400</v>
      </c>
      <c r="F79" s="63" t="s">
        <v>192</v>
      </c>
      <c r="G79" s="64"/>
      <c r="H79" s="64"/>
      <c r="I79" s="104">
        <v>1.5</v>
      </c>
      <c r="J79" s="187">
        <f t="shared" si="7"/>
        <v>44100</v>
      </c>
      <c r="K79" s="188">
        <f t="shared" si="5"/>
        <v>48510.000000000007</v>
      </c>
      <c r="L79" s="189">
        <f t="shared" si="6"/>
        <v>36750</v>
      </c>
      <c r="M79" s="65"/>
      <c r="N79" s="66"/>
    </row>
    <row r="80" spans="1:14" ht="13.5" customHeight="1" x14ac:dyDescent="0.25">
      <c r="A80" s="84">
        <v>44992</v>
      </c>
      <c r="B80" s="210">
        <v>1219005</v>
      </c>
      <c r="C80" s="69" t="s">
        <v>17</v>
      </c>
      <c r="D80" s="62">
        <v>30</v>
      </c>
      <c r="E80" s="105">
        <f t="shared" si="4"/>
        <v>44100</v>
      </c>
      <c r="F80" s="63" t="s">
        <v>193</v>
      </c>
      <c r="G80" s="64"/>
      <c r="H80" s="64"/>
      <c r="I80" s="104">
        <v>3.5</v>
      </c>
      <c r="J80" s="187">
        <f t="shared" si="7"/>
        <v>154350</v>
      </c>
      <c r="K80" s="188">
        <f t="shared" si="5"/>
        <v>169785</v>
      </c>
      <c r="L80" s="189">
        <f t="shared" si="6"/>
        <v>128625</v>
      </c>
      <c r="M80" s="65"/>
      <c r="N80" s="66"/>
    </row>
    <row r="81" spans="1:14" ht="13.5" customHeight="1" x14ac:dyDescent="0.25">
      <c r="A81" s="84">
        <v>44992</v>
      </c>
      <c r="B81" s="210">
        <v>1209001</v>
      </c>
      <c r="C81" s="69" t="s">
        <v>17</v>
      </c>
      <c r="D81" s="62">
        <v>50</v>
      </c>
      <c r="E81" s="105">
        <f t="shared" si="4"/>
        <v>73500</v>
      </c>
      <c r="F81" s="63" t="s">
        <v>194</v>
      </c>
      <c r="G81" s="64"/>
      <c r="H81" s="64"/>
      <c r="I81" s="104">
        <v>3.5</v>
      </c>
      <c r="J81" s="187">
        <f t="shared" si="7"/>
        <v>257250</v>
      </c>
      <c r="K81" s="188">
        <f t="shared" si="5"/>
        <v>282975</v>
      </c>
      <c r="L81" s="189">
        <f t="shared" si="6"/>
        <v>214375</v>
      </c>
      <c r="M81" s="65"/>
      <c r="N81" s="66"/>
    </row>
    <row r="82" spans="1:14" ht="13.5" customHeight="1" x14ac:dyDescent="0.25">
      <c r="A82" s="84">
        <v>44992</v>
      </c>
      <c r="B82" s="210">
        <v>1205005</v>
      </c>
      <c r="C82" s="69" t="s">
        <v>17</v>
      </c>
      <c r="D82" s="62">
        <v>5</v>
      </c>
      <c r="E82" s="105">
        <f t="shared" si="4"/>
        <v>7350</v>
      </c>
      <c r="F82" s="63" t="s">
        <v>195</v>
      </c>
      <c r="G82" s="64"/>
      <c r="H82" s="64"/>
      <c r="I82" s="104">
        <v>3.5</v>
      </c>
      <c r="J82" s="187">
        <f t="shared" si="7"/>
        <v>25725</v>
      </c>
      <c r="K82" s="188">
        <f t="shared" si="5"/>
        <v>28297.500000000004</v>
      </c>
      <c r="L82" s="189">
        <f t="shared" si="6"/>
        <v>21437.5</v>
      </c>
      <c r="M82" s="65"/>
      <c r="N82" s="66"/>
    </row>
    <row r="83" spans="1:14" ht="13.5" customHeight="1" x14ac:dyDescent="0.25">
      <c r="A83" s="84">
        <v>44992</v>
      </c>
      <c r="B83" s="210" t="s">
        <v>375</v>
      </c>
      <c r="C83" s="69" t="s">
        <v>17</v>
      </c>
      <c r="D83" s="62">
        <v>2</v>
      </c>
      <c r="E83" s="105">
        <f t="shared" si="4"/>
        <v>2940</v>
      </c>
      <c r="F83" s="63" t="s">
        <v>196</v>
      </c>
      <c r="G83" s="64"/>
      <c r="H83" s="64"/>
      <c r="I83" s="104">
        <v>3.5</v>
      </c>
      <c r="J83" s="187">
        <f t="shared" si="7"/>
        <v>10290</v>
      </c>
      <c r="K83" s="188">
        <f t="shared" si="5"/>
        <v>11319.000000000002</v>
      </c>
      <c r="L83" s="189">
        <f t="shared" si="6"/>
        <v>8575</v>
      </c>
      <c r="M83" s="65"/>
      <c r="N83" s="66"/>
    </row>
    <row r="84" spans="1:14" ht="13.5" customHeight="1" x14ac:dyDescent="0.25">
      <c r="A84" s="84"/>
      <c r="B84" s="210">
        <v>1205001</v>
      </c>
      <c r="C84" s="69"/>
      <c r="D84" s="62">
        <v>45</v>
      </c>
      <c r="E84" s="105">
        <f t="shared" si="4"/>
        <v>66150</v>
      </c>
      <c r="F84" s="102" t="s">
        <v>299</v>
      </c>
      <c r="G84" s="104"/>
      <c r="H84" s="104"/>
      <c r="I84" s="104">
        <v>1</v>
      </c>
      <c r="J84" s="187">
        <f t="shared" si="7"/>
        <v>66150</v>
      </c>
      <c r="K84" s="188">
        <f t="shared" si="5"/>
        <v>72765</v>
      </c>
      <c r="L84" s="189">
        <f t="shared" si="6"/>
        <v>55125</v>
      </c>
      <c r="M84" s="65"/>
      <c r="N84" s="66"/>
    </row>
    <row r="85" spans="1:14" ht="13.5" customHeight="1" thickBot="1" x14ac:dyDescent="0.3">
      <c r="A85" s="140"/>
      <c r="B85" s="218">
        <v>1105005</v>
      </c>
      <c r="C85" s="141"/>
      <c r="D85" s="142">
        <v>90</v>
      </c>
      <c r="E85" s="105">
        <f t="shared" si="4"/>
        <v>132300</v>
      </c>
      <c r="F85" s="143" t="s">
        <v>300</v>
      </c>
      <c r="G85" s="144"/>
      <c r="H85" s="144"/>
      <c r="I85" s="144">
        <v>1</v>
      </c>
      <c r="J85" s="192">
        <f t="shared" si="7"/>
        <v>132300</v>
      </c>
      <c r="K85" s="188">
        <f t="shared" si="5"/>
        <v>145530</v>
      </c>
      <c r="L85" s="189">
        <f t="shared" si="6"/>
        <v>110250</v>
      </c>
      <c r="M85" s="145"/>
      <c r="N85" s="146"/>
    </row>
    <row r="86" spans="1:14" ht="13.5" customHeight="1" thickBot="1" x14ac:dyDescent="0.3">
      <c r="A86" s="154"/>
      <c r="B86" s="219">
        <v>1205015</v>
      </c>
      <c r="C86" s="155"/>
      <c r="D86" s="155"/>
      <c r="E86" s="105">
        <f t="shared" si="4"/>
        <v>0</v>
      </c>
      <c r="F86" s="156" t="s">
        <v>23</v>
      </c>
      <c r="G86" s="157"/>
      <c r="H86" s="157"/>
      <c r="I86" s="157"/>
      <c r="J86" s="193"/>
      <c r="K86" s="188">
        <f t="shared" si="5"/>
        <v>0</v>
      </c>
      <c r="L86" s="189">
        <f t="shared" si="6"/>
        <v>0</v>
      </c>
      <c r="M86" s="158"/>
      <c r="N86" s="159"/>
    </row>
    <row r="87" spans="1:14" ht="13.5" customHeight="1" x14ac:dyDescent="0.25">
      <c r="A87" s="147">
        <v>40162</v>
      </c>
      <c r="B87" s="220" t="s">
        <v>376</v>
      </c>
      <c r="C87" s="148" t="s">
        <v>9</v>
      </c>
      <c r="D87" s="149">
        <v>40.5</v>
      </c>
      <c r="E87" s="105">
        <f t="shared" si="4"/>
        <v>59535</v>
      </c>
      <c r="F87" s="150" t="s">
        <v>24</v>
      </c>
      <c r="G87" s="151" t="s">
        <v>16</v>
      </c>
      <c r="H87" s="151" t="s">
        <v>25</v>
      </c>
      <c r="I87" s="151">
        <v>1.2</v>
      </c>
      <c r="J87" s="194">
        <f t="shared" ref="J87:J125" si="8">D87*$K$2*I87</f>
        <v>71442</v>
      </c>
      <c r="K87" s="188">
        <f t="shared" si="5"/>
        <v>78586.200000000012</v>
      </c>
      <c r="L87" s="189">
        <f t="shared" si="6"/>
        <v>59535</v>
      </c>
      <c r="M87" s="152">
        <f t="shared" ref="M87:M106" si="9">D87*$C$5*1.4</f>
        <v>0</v>
      </c>
      <c r="N87" s="153">
        <f t="shared" ref="N87:N106" si="10">D87*$C$5*1.5*1.21</f>
        <v>0</v>
      </c>
    </row>
    <row r="88" spans="1:14" ht="13.5" customHeight="1" x14ac:dyDescent="0.25">
      <c r="A88" s="29">
        <v>40151</v>
      </c>
      <c r="B88" s="221">
        <v>1208011</v>
      </c>
      <c r="C88" s="25" t="s">
        <v>11</v>
      </c>
      <c r="D88" s="27">
        <v>42</v>
      </c>
      <c r="E88" s="105">
        <f t="shared" si="4"/>
        <v>61740</v>
      </c>
      <c r="F88" s="2" t="s">
        <v>26</v>
      </c>
      <c r="G88" s="26" t="s">
        <v>27</v>
      </c>
      <c r="H88" s="26" t="s">
        <v>28</v>
      </c>
      <c r="I88" s="104">
        <v>1.2</v>
      </c>
      <c r="J88" s="187">
        <f t="shared" si="8"/>
        <v>74088</v>
      </c>
      <c r="K88" s="188">
        <f t="shared" si="5"/>
        <v>81496.800000000003</v>
      </c>
      <c r="L88" s="189">
        <f t="shared" si="6"/>
        <v>61740</v>
      </c>
      <c r="M88" s="3">
        <f t="shared" si="9"/>
        <v>0</v>
      </c>
      <c r="N88" s="4">
        <f t="shared" si="10"/>
        <v>0</v>
      </c>
    </row>
    <row r="89" spans="1:14" ht="13.5" customHeight="1" x14ac:dyDescent="0.25">
      <c r="A89" s="29">
        <v>40151</v>
      </c>
      <c r="B89" s="221">
        <v>1208052</v>
      </c>
      <c r="C89" s="25" t="s">
        <v>11</v>
      </c>
      <c r="D89" s="27">
        <v>4.08</v>
      </c>
      <c r="E89" s="105">
        <f t="shared" si="4"/>
        <v>5997.6</v>
      </c>
      <c r="F89" s="2" t="s">
        <v>29</v>
      </c>
      <c r="G89" s="26" t="s">
        <v>27</v>
      </c>
      <c r="H89" s="26" t="s">
        <v>30</v>
      </c>
      <c r="I89" s="104">
        <v>1.2</v>
      </c>
      <c r="J89" s="187">
        <f t="shared" si="8"/>
        <v>7197.12</v>
      </c>
      <c r="K89" s="188">
        <f t="shared" si="5"/>
        <v>7916.8320000000003</v>
      </c>
      <c r="L89" s="189">
        <f t="shared" si="6"/>
        <v>5997.5999999999995</v>
      </c>
      <c r="M89" s="3">
        <f t="shared" si="9"/>
        <v>0</v>
      </c>
      <c r="N89" s="4">
        <f t="shared" si="10"/>
        <v>0</v>
      </c>
    </row>
    <row r="90" spans="1:14" ht="13.5" customHeight="1" x14ac:dyDescent="0.25">
      <c r="A90" s="30">
        <v>41086</v>
      </c>
      <c r="B90" s="222">
        <v>1208007</v>
      </c>
      <c r="C90" s="25" t="s">
        <v>11</v>
      </c>
      <c r="D90" s="27">
        <v>33</v>
      </c>
      <c r="E90" s="105">
        <f t="shared" si="4"/>
        <v>48510</v>
      </c>
      <c r="F90" s="2" t="s">
        <v>26</v>
      </c>
      <c r="G90" s="26" t="s">
        <v>27</v>
      </c>
      <c r="H90" s="26">
        <v>525</v>
      </c>
      <c r="I90" s="104">
        <v>1.2</v>
      </c>
      <c r="J90" s="187">
        <f t="shared" si="8"/>
        <v>58212</v>
      </c>
      <c r="K90" s="188">
        <f t="shared" si="5"/>
        <v>64033.200000000004</v>
      </c>
      <c r="L90" s="189">
        <f t="shared" si="6"/>
        <v>48510</v>
      </c>
      <c r="M90" s="3">
        <f t="shared" si="9"/>
        <v>0</v>
      </c>
      <c r="N90" s="4">
        <f t="shared" si="10"/>
        <v>0</v>
      </c>
    </row>
    <row r="91" spans="1:14" ht="13.5" customHeight="1" x14ac:dyDescent="0.25">
      <c r="A91" s="30">
        <v>41228</v>
      </c>
      <c r="B91" s="222">
        <v>1208004</v>
      </c>
      <c r="C91" s="25" t="s">
        <v>11</v>
      </c>
      <c r="D91" s="27">
        <v>38</v>
      </c>
      <c r="E91" s="105">
        <f t="shared" si="4"/>
        <v>55860</v>
      </c>
      <c r="F91" s="2" t="s">
        <v>26</v>
      </c>
      <c r="G91" s="26" t="s">
        <v>27</v>
      </c>
      <c r="H91" s="26">
        <v>515</v>
      </c>
      <c r="I91" s="104">
        <v>1.2</v>
      </c>
      <c r="J91" s="187">
        <f t="shared" si="8"/>
        <v>67032</v>
      </c>
      <c r="K91" s="188">
        <f t="shared" si="5"/>
        <v>73735.200000000012</v>
      </c>
      <c r="L91" s="189">
        <f t="shared" si="6"/>
        <v>55860</v>
      </c>
      <c r="M91" s="3">
        <f t="shared" si="9"/>
        <v>0</v>
      </c>
      <c r="N91" s="4">
        <f t="shared" si="10"/>
        <v>0</v>
      </c>
    </row>
    <row r="92" spans="1:14" ht="13.5" customHeight="1" x14ac:dyDescent="0.25">
      <c r="A92" s="28">
        <v>40336</v>
      </c>
      <c r="B92" s="223" t="s">
        <v>417</v>
      </c>
      <c r="C92" s="25" t="s">
        <v>9</v>
      </c>
      <c r="D92" s="27">
        <v>17.239999999999998</v>
      </c>
      <c r="E92" s="105">
        <f t="shared" si="4"/>
        <v>25342.799999999999</v>
      </c>
      <c r="F92" s="2" t="s">
        <v>31</v>
      </c>
      <c r="G92" s="26" t="s">
        <v>16</v>
      </c>
      <c r="H92" s="26" t="s">
        <v>32</v>
      </c>
      <c r="I92" s="104">
        <v>1.1999999999999997</v>
      </c>
      <c r="J92" s="187">
        <f t="shared" si="8"/>
        <v>30411.359999999993</v>
      </c>
      <c r="K92" s="188">
        <f t="shared" si="5"/>
        <v>33452.495999999992</v>
      </c>
      <c r="L92" s="189">
        <f t="shared" si="6"/>
        <v>25342.799999999992</v>
      </c>
      <c r="M92" s="3">
        <f t="shared" si="9"/>
        <v>0</v>
      </c>
      <c r="N92" s="4">
        <f t="shared" si="10"/>
        <v>0</v>
      </c>
    </row>
    <row r="93" spans="1:14" ht="13.5" customHeight="1" x14ac:dyDescent="0.25">
      <c r="A93" s="34">
        <v>41893</v>
      </c>
      <c r="B93" s="224">
        <v>1208016</v>
      </c>
      <c r="C93" s="25" t="s">
        <v>35</v>
      </c>
      <c r="D93" s="27">
        <v>5</v>
      </c>
      <c r="E93" s="105">
        <f t="shared" si="4"/>
        <v>7350</v>
      </c>
      <c r="F93" s="2" t="s">
        <v>138</v>
      </c>
      <c r="G93" s="35" t="s">
        <v>35</v>
      </c>
      <c r="H93" s="26" t="s">
        <v>36</v>
      </c>
      <c r="I93" s="104">
        <v>1.2</v>
      </c>
      <c r="J93" s="187">
        <f t="shared" si="8"/>
        <v>8820</v>
      </c>
      <c r="K93" s="188">
        <f t="shared" si="5"/>
        <v>9702</v>
      </c>
      <c r="L93" s="189">
        <f t="shared" si="6"/>
        <v>7350</v>
      </c>
      <c r="M93" s="3">
        <f t="shared" si="9"/>
        <v>0</v>
      </c>
      <c r="N93" s="4">
        <f t="shared" si="10"/>
        <v>0</v>
      </c>
    </row>
    <row r="94" spans="1:14" ht="13.5" customHeight="1" x14ac:dyDescent="0.25">
      <c r="A94" s="28">
        <v>40220</v>
      </c>
      <c r="B94" s="223">
        <v>1208012</v>
      </c>
      <c r="C94" s="25" t="s">
        <v>35</v>
      </c>
      <c r="D94" s="27">
        <v>3</v>
      </c>
      <c r="E94" s="105">
        <f t="shared" si="4"/>
        <v>4410</v>
      </c>
      <c r="F94" s="2" t="s">
        <v>37</v>
      </c>
      <c r="G94" s="26" t="s">
        <v>35</v>
      </c>
      <c r="H94" s="26" t="s">
        <v>38</v>
      </c>
      <c r="I94" s="104">
        <v>1.2</v>
      </c>
      <c r="J94" s="187">
        <f t="shared" si="8"/>
        <v>5292</v>
      </c>
      <c r="K94" s="188">
        <f t="shared" si="5"/>
        <v>5821.2000000000007</v>
      </c>
      <c r="L94" s="189">
        <f t="shared" si="6"/>
        <v>4410</v>
      </c>
      <c r="M94" s="3">
        <f t="shared" si="9"/>
        <v>0</v>
      </c>
      <c r="N94" s="4">
        <f t="shared" si="10"/>
        <v>0</v>
      </c>
    </row>
    <row r="95" spans="1:14" ht="13.5" customHeight="1" x14ac:dyDescent="0.25">
      <c r="A95" s="28">
        <v>40220</v>
      </c>
      <c r="B95" s="223">
        <v>1208027</v>
      </c>
      <c r="C95" s="25" t="s">
        <v>35</v>
      </c>
      <c r="D95" s="27">
        <v>3</v>
      </c>
      <c r="E95" s="105">
        <f t="shared" si="4"/>
        <v>4410</v>
      </c>
      <c r="F95" s="2" t="s">
        <v>39</v>
      </c>
      <c r="G95" s="26" t="s">
        <v>35</v>
      </c>
      <c r="H95" s="26" t="s">
        <v>40</v>
      </c>
      <c r="I95" s="104">
        <v>1.2</v>
      </c>
      <c r="J95" s="187">
        <f t="shared" si="8"/>
        <v>5292</v>
      </c>
      <c r="K95" s="188">
        <f t="shared" si="5"/>
        <v>5821.2000000000007</v>
      </c>
      <c r="L95" s="189">
        <f t="shared" si="6"/>
        <v>4410</v>
      </c>
      <c r="M95" s="3">
        <f t="shared" si="9"/>
        <v>0</v>
      </c>
      <c r="N95" s="4">
        <f t="shared" si="10"/>
        <v>0</v>
      </c>
    </row>
    <row r="96" spans="1:14" ht="13.5" customHeight="1" x14ac:dyDescent="0.25">
      <c r="A96" s="28">
        <v>40319</v>
      </c>
      <c r="B96" s="223">
        <v>1208022</v>
      </c>
      <c r="C96" s="25" t="s">
        <v>35</v>
      </c>
      <c r="D96" s="27">
        <v>1.7</v>
      </c>
      <c r="E96" s="105">
        <f t="shared" si="4"/>
        <v>2499</v>
      </c>
      <c r="F96" s="2" t="s">
        <v>41</v>
      </c>
      <c r="G96" s="26" t="s">
        <v>35</v>
      </c>
      <c r="H96" s="26" t="s">
        <v>42</v>
      </c>
      <c r="I96" s="104">
        <v>1.2</v>
      </c>
      <c r="J96" s="187">
        <f t="shared" si="8"/>
        <v>2998.7999999999997</v>
      </c>
      <c r="K96" s="188">
        <f t="shared" si="5"/>
        <v>3298.68</v>
      </c>
      <c r="L96" s="189">
        <f t="shared" si="6"/>
        <v>2498.9999999999995</v>
      </c>
      <c r="M96" s="3">
        <f t="shared" si="9"/>
        <v>0</v>
      </c>
      <c r="N96" s="4">
        <f t="shared" si="10"/>
        <v>0</v>
      </c>
    </row>
    <row r="97" spans="1:14" ht="13.5" customHeight="1" thickBot="1" x14ac:dyDescent="0.3">
      <c r="A97" s="36">
        <v>40352</v>
      </c>
      <c r="B97" s="225">
        <v>1208053</v>
      </c>
      <c r="C97" s="25" t="s">
        <v>35</v>
      </c>
      <c r="D97" s="27">
        <v>1.28</v>
      </c>
      <c r="E97" s="105">
        <f t="shared" si="4"/>
        <v>1881.6000000000001</v>
      </c>
      <c r="F97" s="2" t="s">
        <v>43</v>
      </c>
      <c r="G97" s="26" t="s">
        <v>35</v>
      </c>
      <c r="H97" s="26" t="s">
        <v>44</v>
      </c>
      <c r="I97" s="104">
        <v>1.2</v>
      </c>
      <c r="J97" s="187">
        <f t="shared" si="8"/>
        <v>2257.92</v>
      </c>
      <c r="K97" s="188">
        <f t="shared" si="5"/>
        <v>2483.7120000000004</v>
      </c>
      <c r="L97" s="189">
        <f t="shared" si="6"/>
        <v>1881.6000000000001</v>
      </c>
      <c r="M97" s="3">
        <f t="shared" si="9"/>
        <v>0</v>
      </c>
      <c r="N97" s="4">
        <f t="shared" si="10"/>
        <v>0</v>
      </c>
    </row>
    <row r="98" spans="1:14" ht="13.5" customHeight="1" thickBot="1" x14ac:dyDescent="0.3">
      <c r="A98" s="37">
        <v>42019</v>
      </c>
      <c r="B98" s="226">
        <v>1208042</v>
      </c>
      <c r="C98" s="38" t="s">
        <v>15</v>
      </c>
      <c r="D98" s="27">
        <v>32</v>
      </c>
      <c r="E98" s="105">
        <f t="shared" si="4"/>
        <v>47040</v>
      </c>
      <c r="F98" s="2" t="s">
        <v>45</v>
      </c>
      <c r="G98" s="26"/>
      <c r="H98" s="26"/>
      <c r="I98" s="104">
        <v>1.2</v>
      </c>
      <c r="J98" s="187">
        <f t="shared" si="8"/>
        <v>56448</v>
      </c>
      <c r="K98" s="188">
        <f t="shared" si="5"/>
        <v>62092.800000000003</v>
      </c>
      <c r="L98" s="189">
        <f t="shared" si="6"/>
        <v>47040</v>
      </c>
      <c r="M98" s="3">
        <f t="shared" si="9"/>
        <v>0</v>
      </c>
      <c r="N98" s="4">
        <f t="shared" si="10"/>
        <v>0</v>
      </c>
    </row>
    <row r="99" spans="1:14" ht="13.5" customHeight="1" x14ac:dyDescent="0.25">
      <c r="A99" s="39">
        <v>41212</v>
      </c>
      <c r="B99" s="227">
        <v>1212003</v>
      </c>
      <c r="C99" s="25" t="s">
        <v>35</v>
      </c>
      <c r="D99" s="27">
        <v>2.2999999999999998</v>
      </c>
      <c r="E99" s="105">
        <f t="shared" si="4"/>
        <v>3380.9999999999995</v>
      </c>
      <c r="F99" s="2" t="s">
        <v>46</v>
      </c>
      <c r="G99" s="26" t="s">
        <v>35</v>
      </c>
      <c r="H99" s="26" t="s">
        <v>47</v>
      </c>
      <c r="I99" s="104">
        <v>1.1999999999999997</v>
      </c>
      <c r="J99" s="187">
        <f t="shared" si="8"/>
        <v>4057.1999999999985</v>
      </c>
      <c r="K99" s="188">
        <f t="shared" si="5"/>
        <v>4462.9199999999983</v>
      </c>
      <c r="L99" s="189">
        <f t="shared" si="6"/>
        <v>3380.9999999999986</v>
      </c>
      <c r="M99" s="3">
        <f t="shared" si="9"/>
        <v>0</v>
      </c>
      <c r="N99" s="4">
        <f t="shared" si="10"/>
        <v>0</v>
      </c>
    </row>
    <row r="100" spans="1:14" ht="13.5" customHeight="1" x14ac:dyDescent="0.25">
      <c r="A100" s="28">
        <v>40336</v>
      </c>
      <c r="B100" s="223">
        <v>1104017</v>
      </c>
      <c r="C100" s="25" t="s">
        <v>9</v>
      </c>
      <c r="D100" s="27">
        <v>2.42</v>
      </c>
      <c r="E100" s="105">
        <f t="shared" si="4"/>
        <v>3557.4</v>
      </c>
      <c r="F100" s="2" t="s">
        <v>46</v>
      </c>
      <c r="G100" s="26" t="s">
        <v>16</v>
      </c>
      <c r="H100" s="26" t="s">
        <v>48</v>
      </c>
      <c r="I100" s="104">
        <v>1.2</v>
      </c>
      <c r="J100" s="187">
        <f t="shared" si="8"/>
        <v>4268.88</v>
      </c>
      <c r="K100" s="188">
        <f t="shared" si="5"/>
        <v>4695.7680000000009</v>
      </c>
      <c r="L100" s="189">
        <f t="shared" si="6"/>
        <v>3557.4</v>
      </c>
      <c r="M100" s="3">
        <f t="shared" si="9"/>
        <v>0</v>
      </c>
      <c r="N100" s="4">
        <f t="shared" si="10"/>
        <v>0</v>
      </c>
    </row>
    <row r="101" spans="1:14" ht="13.5" customHeight="1" x14ac:dyDescent="0.25">
      <c r="A101" s="28">
        <v>40319</v>
      </c>
      <c r="B101" s="223" t="s">
        <v>430</v>
      </c>
      <c r="C101" s="25" t="s">
        <v>35</v>
      </c>
      <c r="D101" s="27">
        <v>1.8</v>
      </c>
      <c r="E101" s="105">
        <f t="shared" si="4"/>
        <v>2646</v>
      </c>
      <c r="F101" s="2" t="s">
        <v>49</v>
      </c>
      <c r="G101" s="26" t="s">
        <v>35</v>
      </c>
      <c r="H101" s="26" t="s">
        <v>50</v>
      </c>
      <c r="I101" s="104">
        <v>1.2</v>
      </c>
      <c r="J101" s="187">
        <f t="shared" si="8"/>
        <v>3175.2</v>
      </c>
      <c r="K101" s="188">
        <f t="shared" si="5"/>
        <v>3492.7200000000003</v>
      </c>
      <c r="L101" s="189">
        <f t="shared" si="6"/>
        <v>2646</v>
      </c>
      <c r="M101" s="3">
        <f t="shared" si="9"/>
        <v>0</v>
      </c>
      <c r="N101" s="4">
        <f t="shared" si="10"/>
        <v>0</v>
      </c>
    </row>
    <row r="102" spans="1:14" ht="13.5" customHeight="1" x14ac:dyDescent="0.25">
      <c r="A102" s="28">
        <v>41159</v>
      </c>
      <c r="B102" s="223" t="s">
        <v>377</v>
      </c>
      <c r="C102" s="25" t="s">
        <v>15</v>
      </c>
      <c r="D102" s="27">
        <v>10</v>
      </c>
      <c r="E102" s="105">
        <f t="shared" si="4"/>
        <v>14700</v>
      </c>
      <c r="F102" s="2" t="s">
        <v>51</v>
      </c>
      <c r="G102" s="26" t="s">
        <v>16</v>
      </c>
      <c r="H102" s="26">
        <v>1029416</v>
      </c>
      <c r="I102" s="104">
        <v>1.2</v>
      </c>
      <c r="J102" s="187">
        <f t="shared" si="8"/>
        <v>17640</v>
      </c>
      <c r="K102" s="188">
        <f t="shared" si="5"/>
        <v>19404</v>
      </c>
      <c r="L102" s="189">
        <f t="shared" si="6"/>
        <v>14700</v>
      </c>
      <c r="M102" s="3">
        <f t="shared" si="9"/>
        <v>0</v>
      </c>
      <c r="N102" s="4">
        <f t="shared" si="10"/>
        <v>0</v>
      </c>
    </row>
    <row r="103" spans="1:14" ht="13.5" customHeight="1" x14ac:dyDescent="0.25">
      <c r="A103" s="36">
        <v>42817</v>
      </c>
      <c r="B103" s="225">
        <v>1208046</v>
      </c>
      <c r="C103" s="25" t="s">
        <v>35</v>
      </c>
      <c r="D103" s="27">
        <v>4</v>
      </c>
      <c r="E103" s="105">
        <f t="shared" si="4"/>
        <v>5880</v>
      </c>
      <c r="F103" s="2" t="s">
        <v>112</v>
      </c>
      <c r="G103" s="26" t="s">
        <v>113</v>
      </c>
      <c r="H103" s="26" t="s">
        <v>114</v>
      </c>
      <c r="I103" s="104">
        <v>1.2</v>
      </c>
      <c r="J103" s="187">
        <f t="shared" si="8"/>
        <v>7056</v>
      </c>
      <c r="K103" s="188">
        <f t="shared" si="5"/>
        <v>7761.6</v>
      </c>
      <c r="L103" s="189">
        <f t="shared" si="6"/>
        <v>5880</v>
      </c>
      <c r="M103" s="3">
        <f t="shared" si="9"/>
        <v>0</v>
      </c>
      <c r="N103" s="4">
        <f t="shared" si="10"/>
        <v>0</v>
      </c>
    </row>
    <row r="104" spans="1:14" ht="13.5" customHeight="1" x14ac:dyDescent="0.25">
      <c r="A104" s="36">
        <v>42817</v>
      </c>
      <c r="B104" s="225">
        <v>1208024</v>
      </c>
      <c r="C104" s="25" t="s">
        <v>35</v>
      </c>
      <c r="D104" s="27">
        <v>1.5</v>
      </c>
      <c r="E104" s="105">
        <f t="shared" si="4"/>
        <v>2205</v>
      </c>
      <c r="F104" s="2" t="s">
        <v>115</v>
      </c>
      <c r="G104" s="26" t="s">
        <v>113</v>
      </c>
      <c r="H104" s="26" t="s">
        <v>116</v>
      </c>
      <c r="I104" s="104">
        <v>1.2</v>
      </c>
      <c r="J104" s="187">
        <f t="shared" si="8"/>
        <v>2646</v>
      </c>
      <c r="K104" s="188">
        <f t="shared" si="5"/>
        <v>2910.6000000000004</v>
      </c>
      <c r="L104" s="189">
        <f t="shared" si="6"/>
        <v>2205</v>
      </c>
      <c r="M104" s="3">
        <f t="shared" si="9"/>
        <v>0</v>
      </c>
      <c r="N104" s="4">
        <f t="shared" si="10"/>
        <v>0</v>
      </c>
    </row>
    <row r="105" spans="1:14" ht="13.5" customHeight="1" x14ac:dyDescent="0.25">
      <c r="A105" s="36">
        <v>42817</v>
      </c>
      <c r="B105" s="225">
        <v>1208017</v>
      </c>
      <c r="C105" s="25" t="s">
        <v>35</v>
      </c>
      <c r="D105" s="27">
        <v>1.2</v>
      </c>
      <c r="E105" s="105">
        <f t="shared" si="4"/>
        <v>1764</v>
      </c>
      <c r="F105" s="2" t="s">
        <v>115</v>
      </c>
      <c r="G105" s="26" t="s">
        <v>113</v>
      </c>
      <c r="H105" s="26" t="s">
        <v>117</v>
      </c>
      <c r="I105" s="104">
        <v>1.2</v>
      </c>
      <c r="J105" s="187">
        <f t="shared" si="8"/>
        <v>2116.7999999999997</v>
      </c>
      <c r="K105" s="188">
        <f t="shared" si="5"/>
        <v>2328.48</v>
      </c>
      <c r="L105" s="189">
        <f t="shared" si="6"/>
        <v>1763.9999999999998</v>
      </c>
      <c r="M105" s="3">
        <f t="shared" si="9"/>
        <v>0</v>
      </c>
      <c r="N105" s="4">
        <f t="shared" si="10"/>
        <v>0</v>
      </c>
    </row>
    <row r="106" spans="1:14" ht="13.5" customHeight="1" thickBot="1" x14ac:dyDescent="0.3">
      <c r="A106" s="36">
        <v>42817</v>
      </c>
      <c r="B106" s="225" t="s">
        <v>406</v>
      </c>
      <c r="C106" s="173" t="s">
        <v>35</v>
      </c>
      <c r="D106" s="142">
        <v>1.2</v>
      </c>
      <c r="E106" s="105">
        <f t="shared" si="4"/>
        <v>1764</v>
      </c>
      <c r="F106" s="143" t="s">
        <v>118</v>
      </c>
      <c r="G106" s="144" t="s">
        <v>17</v>
      </c>
      <c r="H106" s="144" t="s">
        <v>119</v>
      </c>
      <c r="I106" s="144">
        <v>1.2</v>
      </c>
      <c r="J106" s="192">
        <f t="shared" si="8"/>
        <v>2116.7999999999997</v>
      </c>
      <c r="K106" s="188">
        <f t="shared" si="5"/>
        <v>2328.48</v>
      </c>
      <c r="L106" s="189">
        <f t="shared" si="6"/>
        <v>1763.9999999999998</v>
      </c>
      <c r="M106" s="145">
        <f t="shared" si="9"/>
        <v>0</v>
      </c>
      <c r="N106" s="146">
        <f t="shared" si="10"/>
        <v>0</v>
      </c>
    </row>
    <row r="107" spans="1:14" ht="13.5" customHeight="1" thickBot="1" x14ac:dyDescent="0.3">
      <c r="A107" s="178"/>
      <c r="B107" s="228">
        <v>1104009</v>
      </c>
      <c r="C107" s="155"/>
      <c r="D107" s="179"/>
      <c r="E107" s="105">
        <f t="shared" si="4"/>
        <v>0</v>
      </c>
      <c r="F107" s="156" t="s">
        <v>167</v>
      </c>
      <c r="G107" s="157"/>
      <c r="H107" s="157"/>
      <c r="I107" s="157"/>
      <c r="J107" s="195">
        <f t="shared" si="8"/>
        <v>0</v>
      </c>
      <c r="K107" s="188">
        <f t="shared" si="5"/>
        <v>0</v>
      </c>
      <c r="L107" s="189">
        <f t="shared" si="6"/>
        <v>0</v>
      </c>
      <c r="M107" s="158"/>
      <c r="N107" s="159"/>
    </row>
    <row r="108" spans="1:14" ht="13.5" customHeight="1" x14ac:dyDescent="0.25">
      <c r="A108" s="174">
        <v>44985</v>
      </c>
      <c r="B108" s="229" t="s">
        <v>171</v>
      </c>
      <c r="C108" s="175" t="s">
        <v>6</v>
      </c>
      <c r="D108" s="149">
        <v>25.5</v>
      </c>
      <c r="E108" s="105">
        <f t="shared" si="4"/>
        <v>37485</v>
      </c>
      <c r="F108" s="176" t="s">
        <v>168</v>
      </c>
      <c r="G108" s="177"/>
      <c r="I108" s="151">
        <v>1.2</v>
      </c>
      <c r="J108" s="194">
        <f t="shared" si="8"/>
        <v>44982</v>
      </c>
      <c r="K108" s="188">
        <f t="shared" si="5"/>
        <v>49480.200000000004</v>
      </c>
      <c r="L108" s="189">
        <f t="shared" si="6"/>
        <v>37485</v>
      </c>
      <c r="M108" s="152">
        <f t="shared" ref="M108:M125" si="11">D108*$C$5*1.4</f>
        <v>0</v>
      </c>
      <c r="N108" s="153">
        <f t="shared" ref="N108:N125" si="12">D108*$C$5*1.5*1.21</f>
        <v>0</v>
      </c>
    </row>
    <row r="109" spans="1:14" ht="13.5" customHeight="1" x14ac:dyDescent="0.25">
      <c r="A109" s="79">
        <v>44985</v>
      </c>
      <c r="B109" s="230" t="s">
        <v>172</v>
      </c>
      <c r="C109" s="38" t="s">
        <v>6</v>
      </c>
      <c r="D109" s="62">
        <v>300</v>
      </c>
      <c r="E109" s="105">
        <f t="shared" si="4"/>
        <v>441000</v>
      </c>
      <c r="F109" s="82" t="s">
        <v>169</v>
      </c>
      <c r="G109" s="81"/>
      <c r="I109" s="104">
        <v>1.2</v>
      </c>
      <c r="J109" s="187">
        <f t="shared" si="8"/>
        <v>529200</v>
      </c>
      <c r="K109" s="188">
        <f t="shared" si="5"/>
        <v>582120</v>
      </c>
      <c r="L109" s="189">
        <f t="shared" si="6"/>
        <v>441000</v>
      </c>
      <c r="M109" s="3">
        <f t="shared" si="11"/>
        <v>0</v>
      </c>
      <c r="N109" s="4">
        <f t="shared" si="12"/>
        <v>0</v>
      </c>
    </row>
    <row r="110" spans="1:14" ht="13.5" customHeight="1" x14ac:dyDescent="0.25">
      <c r="A110" s="79">
        <v>44985</v>
      </c>
      <c r="B110" s="230" t="s">
        <v>173</v>
      </c>
      <c r="C110" s="38" t="s">
        <v>6</v>
      </c>
      <c r="D110" s="62">
        <v>15</v>
      </c>
      <c r="E110" s="105">
        <f t="shared" si="4"/>
        <v>22050</v>
      </c>
      <c r="F110" s="82" t="s">
        <v>170</v>
      </c>
      <c r="G110" s="81"/>
      <c r="I110" s="104">
        <v>1.2</v>
      </c>
      <c r="J110" s="187">
        <f t="shared" si="8"/>
        <v>26460</v>
      </c>
      <c r="K110" s="188">
        <f t="shared" si="5"/>
        <v>29106.000000000004</v>
      </c>
      <c r="L110" s="189">
        <f t="shared" si="6"/>
        <v>22050</v>
      </c>
      <c r="M110" s="3">
        <f t="shared" si="11"/>
        <v>0</v>
      </c>
      <c r="N110" s="4">
        <f t="shared" si="12"/>
        <v>0</v>
      </c>
    </row>
    <row r="111" spans="1:14" ht="13.5" customHeight="1" x14ac:dyDescent="0.25">
      <c r="A111" s="79">
        <v>44985</v>
      </c>
      <c r="B111" s="231" t="s">
        <v>174</v>
      </c>
      <c r="C111" s="38" t="s">
        <v>6</v>
      </c>
      <c r="D111" s="62">
        <v>12</v>
      </c>
      <c r="E111" s="105">
        <f t="shared" si="4"/>
        <v>17640</v>
      </c>
      <c r="F111" s="80" t="s">
        <v>182</v>
      </c>
      <c r="G111" s="81"/>
      <c r="I111" s="104">
        <v>1.2</v>
      </c>
      <c r="J111" s="187">
        <f t="shared" si="8"/>
        <v>21168</v>
      </c>
      <c r="K111" s="188">
        <f t="shared" si="5"/>
        <v>23284.800000000003</v>
      </c>
      <c r="L111" s="189">
        <f t="shared" si="6"/>
        <v>17640</v>
      </c>
      <c r="M111" s="3">
        <f t="shared" si="11"/>
        <v>0</v>
      </c>
      <c r="N111" s="4">
        <f t="shared" si="12"/>
        <v>0</v>
      </c>
    </row>
    <row r="112" spans="1:14" ht="13.5" customHeight="1" x14ac:dyDescent="0.25">
      <c r="A112" s="79">
        <v>44985</v>
      </c>
      <c r="B112" s="231" t="s">
        <v>175</v>
      </c>
      <c r="C112" s="38" t="s">
        <v>6</v>
      </c>
      <c r="D112" s="62">
        <v>25</v>
      </c>
      <c r="E112" s="105">
        <f t="shared" si="4"/>
        <v>36750</v>
      </c>
      <c r="F112" s="80" t="s">
        <v>183</v>
      </c>
      <c r="G112" s="81"/>
      <c r="I112" s="104">
        <v>1.2</v>
      </c>
      <c r="J112" s="187">
        <f t="shared" si="8"/>
        <v>44100</v>
      </c>
      <c r="K112" s="188">
        <f t="shared" si="5"/>
        <v>48510.000000000007</v>
      </c>
      <c r="L112" s="189">
        <f t="shared" si="6"/>
        <v>36750</v>
      </c>
      <c r="M112" s="3">
        <f t="shared" si="11"/>
        <v>0</v>
      </c>
      <c r="N112" s="4">
        <f t="shared" si="12"/>
        <v>0</v>
      </c>
    </row>
    <row r="113" spans="1:16" ht="13.5" customHeight="1" x14ac:dyDescent="0.25">
      <c r="A113" s="79">
        <v>44985</v>
      </c>
      <c r="B113" s="231" t="s">
        <v>176</v>
      </c>
      <c r="C113" s="38" t="s">
        <v>6</v>
      </c>
      <c r="D113" s="62">
        <v>10</v>
      </c>
      <c r="E113" s="105">
        <f t="shared" si="4"/>
        <v>14700</v>
      </c>
      <c r="F113" s="80" t="s">
        <v>184</v>
      </c>
      <c r="G113" s="81"/>
      <c r="I113" s="104">
        <v>1.2</v>
      </c>
      <c r="J113" s="187">
        <f t="shared" si="8"/>
        <v>17640</v>
      </c>
      <c r="K113" s="188">
        <f t="shared" si="5"/>
        <v>19404</v>
      </c>
      <c r="L113" s="189">
        <f t="shared" si="6"/>
        <v>14700</v>
      </c>
      <c r="M113" s="3">
        <f t="shared" si="11"/>
        <v>0</v>
      </c>
      <c r="N113" s="4">
        <f t="shared" si="12"/>
        <v>0</v>
      </c>
    </row>
    <row r="114" spans="1:16" ht="13.5" customHeight="1" x14ac:dyDescent="0.25">
      <c r="A114" s="79">
        <v>44985</v>
      </c>
      <c r="B114" s="231" t="s">
        <v>177</v>
      </c>
      <c r="C114" s="38" t="s">
        <v>6</v>
      </c>
      <c r="D114" s="62">
        <v>40</v>
      </c>
      <c r="E114" s="105">
        <f t="shared" si="4"/>
        <v>58800</v>
      </c>
      <c r="F114" s="80" t="s">
        <v>185</v>
      </c>
      <c r="G114" s="81"/>
      <c r="I114" s="104">
        <v>1.2</v>
      </c>
      <c r="J114" s="187">
        <f t="shared" si="8"/>
        <v>70560</v>
      </c>
      <c r="K114" s="188">
        <f t="shared" si="5"/>
        <v>77616</v>
      </c>
      <c r="L114" s="189">
        <f t="shared" si="6"/>
        <v>58800</v>
      </c>
      <c r="M114" s="3">
        <f t="shared" si="11"/>
        <v>0</v>
      </c>
      <c r="N114" s="4">
        <f t="shared" si="12"/>
        <v>0</v>
      </c>
    </row>
    <row r="115" spans="1:16" ht="13.5" customHeight="1" x14ac:dyDescent="0.25">
      <c r="A115" s="79">
        <v>44985</v>
      </c>
      <c r="B115" s="231" t="s">
        <v>178</v>
      </c>
      <c r="C115" s="38" t="s">
        <v>6</v>
      </c>
      <c r="D115" s="62">
        <v>100</v>
      </c>
      <c r="E115" s="105">
        <f t="shared" si="4"/>
        <v>147000</v>
      </c>
      <c r="F115" s="80" t="s">
        <v>186</v>
      </c>
      <c r="G115" s="81"/>
      <c r="I115" s="104">
        <v>1.2</v>
      </c>
      <c r="J115" s="187">
        <f t="shared" si="8"/>
        <v>176400</v>
      </c>
      <c r="K115" s="188">
        <f t="shared" si="5"/>
        <v>194040.00000000003</v>
      </c>
      <c r="L115" s="189">
        <f t="shared" si="6"/>
        <v>147000</v>
      </c>
      <c r="M115" s="3">
        <f t="shared" si="11"/>
        <v>0</v>
      </c>
      <c r="N115" s="4">
        <f t="shared" si="12"/>
        <v>0</v>
      </c>
    </row>
    <row r="116" spans="1:16" ht="13.5" customHeight="1" x14ac:dyDescent="0.25">
      <c r="A116" s="79">
        <v>44985</v>
      </c>
      <c r="B116" s="231" t="s">
        <v>179</v>
      </c>
      <c r="C116" s="38" t="s">
        <v>6</v>
      </c>
      <c r="D116" s="62">
        <v>25</v>
      </c>
      <c r="E116" s="105">
        <f t="shared" si="4"/>
        <v>36750</v>
      </c>
      <c r="F116" s="80" t="s">
        <v>187</v>
      </c>
      <c r="G116" s="81"/>
      <c r="I116" s="104">
        <v>1.2</v>
      </c>
      <c r="J116" s="187">
        <f t="shared" si="8"/>
        <v>44100</v>
      </c>
      <c r="K116" s="188">
        <f t="shared" si="5"/>
        <v>48510.000000000007</v>
      </c>
      <c r="L116" s="189">
        <f t="shared" si="6"/>
        <v>36750</v>
      </c>
      <c r="M116" s="3">
        <f t="shared" si="11"/>
        <v>0</v>
      </c>
      <c r="N116" s="4">
        <f t="shared" si="12"/>
        <v>0</v>
      </c>
    </row>
    <row r="117" spans="1:16" ht="13.5" customHeight="1" x14ac:dyDescent="0.25">
      <c r="A117" s="79">
        <v>44985</v>
      </c>
      <c r="B117" s="231" t="s">
        <v>180</v>
      </c>
      <c r="C117" s="38" t="s">
        <v>6</v>
      </c>
      <c r="D117" s="62">
        <v>6</v>
      </c>
      <c r="E117" s="105">
        <f t="shared" si="4"/>
        <v>8820</v>
      </c>
      <c r="F117" s="80" t="s">
        <v>188</v>
      </c>
      <c r="G117" s="81"/>
      <c r="I117" s="104">
        <v>1.2</v>
      </c>
      <c r="J117" s="187">
        <f t="shared" si="8"/>
        <v>10584</v>
      </c>
      <c r="K117" s="188">
        <f t="shared" si="5"/>
        <v>11642.400000000001</v>
      </c>
      <c r="L117" s="189">
        <f t="shared" si="6"/>
        <v>8820</v>
      </c>
      <c r="M117" s="3">
        <f t="shared" si="11"/>
        <v>0</v>
      </c>
      <c r="N117" s="4">
        <f t="shared" si="12"/>
        <v>0</v>
      </c>
    </row>
    <row r="118" spans="1:16" ht="13.5" customHeight="1" x14ac:dyDescent="0.25">
      <c r="A118" s="79">
        <v>44985</v>
      </c>
      <c r="B118" s="231" t="s">
        <v>181</v>
      </c>
      <c r="C118" s="38" t="s">
        <v>6</v>
      </c>
      <c r="D118" s="62">
        <v>165</v>
      </c>
      <c r="E118" s="105">
        <f t="shared" si="4"/>
        <v>242550</v>
      </c>
      <c r="F118" s="80" t="s">
        <v>189</v>
      </c>
      <c r="G118" s="81"/>
      <c r="I118" s="104">
        <v>1.2</v>
      </c>
      <c r="J118" s="187">
        <f t="shared" si="8"/>
        <v>291060</v>
      </c>
      <c r="K118" s="188">
        <f t="shared" si="5"/>
        <v>320166</v>
      </c>
      <c r="L118" s="189">
        <f t="shared" si="6"/>
        <v>242550</v>
      </c>
      <c r="M118" s="3">
        <f t="shared" si="11"/>
        <v>0</v>
      </c>
      <c r="N118" s="4">
        <f t="shared" si="12"/>
        <v>0</v>
      </c>
    </row>
    <row r="119" spans="1:16" s="128" customFormat="1" ht="13.5" customHeight="1" x14ac:dyDescent="0.25">
      <c r="A119" s="79">
        <v>45107</v>
      </c>
      <c r="B119" s="232" t="s">
        <v>378</v>
      </c>
      <c r="C119" s="38" t="s">
        <v>6</v>
      </c>
      <c r="D119" s="62">
        <v>938</v>
      </c>
      <c r="E119" s="105">
        <f t="shared" si="4"/>
        <v>1378860</v>
      </c>
      <c r="F119" s="80" t="s">
        <v>225</v>
      </c>
      <c r="G119" s="81"/>
      <c r="H119" s="81"/>
      <c r="I119" s="104">
        <v>1.1999999999999997</v>
      </c>
      <c r="J119" s="187">
        <f t="shared" si="8"/>
        <v>1654631.9999999995</v>
      </c>
      <c r="K119" s="188">
        <f t="shared" si="5"/>
        <v>1820095.1999999997</v>
      </c>
      <c r="L119" s="189">
        <f t="shared" si="6"/>
        <v>1378859.9999999998</v>
      </c>
      <c r="M119" s="65">
        <f t="shared" si="11"/>
        <v>0</v>
      </c>
      <c r="N119" s="66">
        <f t="shared" si="12"/>
        <v>0</v>
      </c>
      <c r="O119" s="54"/>
      <c r="P119" s="54"/>
    </row>
    <row r="120" spans="1:16" s="128" customFormat="1" ht="13.5" customHeight="1" x14ac:dyDescent="0.25">
      <c r="A120" s="79">
        <v>45107</v>
      </c>
      <c r="B120" s="232">
        <v>1104010</v>
      </c>
      <c r="C120" s="38" t="s">
        <v>6</v>
      </c>
      <c r="D120" s="62">
        <v>21</v>
      </c>
      <c r="E120" s="105">
        <f t="shared" si="4"/>
        <v>30870</v>
      </c>
      <c r="F120" s="80" t="s">
        <v>226</v>
      </c>
      <c r="G120" s="81"/>
      <c r="H120" s="81"/>
      <c r="I120" s="104">
        <v>1.2</v>
      </c>
      <c r="J120" s="187">
        <f t="shared" si="8"/>
        <v>37044</v>
      </c>
      <c r="K120" s="188">
        <f t="shared" si="5"/>
        <v>40748.400000000001</v>
      </c>
      <c r="L120" s="189">
        <f t="shared" si="6"/>
        <v>30870</v>
      </c>
      <c r="M120" s="65">
        <f t="shared" si="11"/>
        <v>0</v>
      </c>
      <c r="N120" s="66">
        <f t="shared" si="12"/>
        <v>0</v>
      </c>
      <c r="O120" s="54"/>
      <c r="P120" s="54"/>
    </row>
    <row r="121" spans="1:16" ht="13.5" customHeight="1" x14ac:dyDescent="0.25">
      <c r="A121" s="79">
        <v>45107</v>
      </c>
      <c r="B121" s="232">
        <v>1213042</v>
      </c>
      <c r="C121" s="38" t="s">
        <v>6</v>
      </c>
      <c r="D121" s="62">
        <v>126</v>
      </c>
      <c r="E121" s="105">
        <f t="shared" si="4"/>
        <v>185220</v>
      </c>
      <c r="F121" s="80" t="s">
        <v>227</v>
      </c>
      <c r="G121" s="81"/>
      <c r="H121" s="81"/>
      <c r="I121" s="104">
        <v>1.1999999999999997</v>
      </c>
      <c r="J121" s="187">
        <f t="shared" si="8"/>
        <v>222263.99999999994</v>
      </c>
      <c r="K121" s="188">
        <f t="shared" si="5"/>
        <v>244490.39999999997</v>
      </c>
      <c r="L121" s="189">
        <f t="shared" si="6"/>
        <v>185219.99999999997</v>
      </c>
      <c r="M121" s="65">
        <f t="shared" si="11"/>
        <v>0</v>
      </c>
      <c r="N121" s="66">
        <f t="shared" si="12"/>
        <v>0</v>
      </c>
    </row>
    <row r="122" spans="1:16" ht="13.5" customHeight="1" x14ac:dyDescent="0.25">
      <c r="A122" s="79">
        <v>45107</v>
      </c>
      <c r="B122" s="232">
        <v>1104019</v>
      </c>
      <c r="C122" s="38" t="s">
        <v>6</v>
      </c>
      <c r="D122" s="62">
        <v>11.5</v>
      </c>
      <c r="E122" s="105">
        <f t="shared" si="4"/>
        <v>16905</v>
      </c>
      <c r="F122" s="80" t="s">
        <v>228</v>
      </c>
      <c r="G122" s="81"/>
      <c r="H122" s="81"/>
      <c r="I122" s="104">
        <v>1.2</v>
      </c>
      <c r="J122" s="187">
        <f t="shared" si="8"/>
        <v>20286</v>
      </c>
      <c r="K122" s="188">
        <f t="shared" si="5"/>
        <v>22314.600000000002</v>
      </c>
      <c r="L122" s="189">
        <f t="shared" si="6"/>
        <v>16905</v>
      </c>
      <c r="M122" s="65">
        <f t="shared" si="11"/>
        <v>0</v>
      </c>
      <c r="N122" s="66">
        <f t="shared" si="12"/>
        <v>0</v>
      </c>
    </row>
    <row r="123" spans="1:16" ht="13.5" customHeight="1" x14ac:dyDescent="0.25">
      <c r="A123" s="79">
        <v>45107</v>
      </c>
      <c r="B123" s="232">
        <v>1104028</v>
      </c>
      <c r="C123" s="38" t="s">
        <v>6</v>
      </c>
      <c r="D123" s="62">
        <v>73</v>
      </c>
      <c r="E123" s="105">
        <f t="shared" si="4"/>
        <v>107310</v>
      </c>
      <c r="F123" s="80" t="s">
        <v>229</v>
      </c>
      <c r="G123" s="81"/>
      <c r="H123" s="81"/>
      <c r="I123" s="104">
        <v>1.1999999999999997</v>
      </c>
      <c r="J123" s="187">
        <f t="shared" si="8"/>
        <v>128771.99999999997</v>
      </c>
      <c r="K123" s="188">
        <f t="shared" si="5"/>
        <v>141649.19999999998</v>
      </c>
      <c r="L123" s="189">
        <f t="shared" si="6"/>
        <v>107309.99999999999</v>
      </c>
      <c r="M123" s="65">
        <f t="shared" si="11"/>
        <v>0</v>
      </c>
      <c r="N123" s="66">
        <f t="shared" si="12"/>
        <v>0</v>
      </c>
    </row>
    <row r="124" spans="1:16" ht="13.5" customHeight="1" x14ac:dyDescent="0.25">
      <c r="A124" s="79">
        <v>45107</v>
      </c>
      <c r="B124" s="232">
        <v>1104024</v>
      </c>
      <c r="C124" s="38" t="s">
        <v>6</v>
      </c>
      <c r="D124" s="62">
        <v>8.5</v>
      </c>
      <c r="E124" s="105">
        <f t="shared" si="4"/>
        <v>12495</v>
      </c>
      <c r="F124" s="80" t="s">
        <v>230</v>
      </c>
      <c r="G124" s="81"/>
      <c r="H124" s="81"/>
      <c r="I124" s="104">
        <v>1.1999999999999997</v>
      </c>
      <c r="J124" s="187">
        <f t="shared" si="8"/>
        <v>14993.999999999996</v>
      </c>
      <c r="K124" s="188">
        <f t="shared" si="5"/>
        <v>16493.399999999998</v>
      </c>
      <c r="L124" s="189">
        <f t="shared" si="6"/>
        <v>12494.999999999998</v>
      </c>
      <c r="M124" s="65">
        <f t="shared" si="11"/>
        <v>0</v>
      </c>
      <c r="N124" s="66">
        <f t="shared" si="12"/>
        <v>0</v>
      </c>
    </row>
    <row r="125" spans="1:16" s="128" customFormat="1" ht="13.5" customHeight="1" x14ac:dyDescent="0.25">
      <c r="A125" s="79">
        <v>45107</v>
      </c>
      <c r="B125" s="232">
        <v>1104031</v>
      </c>
      <c r="C125" s="38" t="s">
        <v>6</v>
      </c>
      <c r="D125" s="62">
        <v>7</v>
      </c>
      <c r="E125" s="105">
        <f t="shared" si="4"/>
        <v>10290</v>
      </c>
      <c r="F125" s="80" t="s">
        <v>231</v>
      </c>
      <c r="G125" s="81"/>
      <c r="H125" s="81"/>
      <c r="I125" s="104">
        <v>1.2</v>
      </c>
      <c r="J125" s="187">
        <f t="shared" si="8"/>
        <v>12348</v>
      </c>
      <c r="K125" s="188">
        <f t="shared" si="5"/>
        <v>13582.800000000001</v>
      </c>
      <c r="L125" s="189">
        <f t="shared" si="6"/>
        <v>10290</v>
      </c>
      <c r="M125" s="65">
        <f t="shared" si="11"/>
        <v>0</v>
      </c>
      <c r="N125" s="66">
        <f t="shared" si="12"/>
        <v>0</v>
      </c>
      <c r="O125" s="54"/>
      <c r="P125" s="54"/>
    </row>
    <row r="126" spans="1:16" ht="13.5" customHeight="1" x14ac:dyDescent="0.25">
      <c r="A126" s="19"/>
      <c r="B126" s="233"/>
      <c r="C126" s="19"/>
      <c r="D126" s="19"/>
      <c r="E126" s="105">
        <f t="shared" si="4"/>
        <v>0</v>
      </c>
      <c r="F126" s="20" t="s">
        <v>19</v>
      </c>
      <c r="G126" s="20"/>
      <c r="H126" s="20"/>
      <c r="I126" s="20"/>
      <c r="J126" s="196">
        <f>D126*1.2</f>
        <v>0</v>
      </c>
      <c r="K126" s="188">
        <f t="shared" si="5"/>
        <v>0</v>
      </c>
      <c r="L126" s="189">
        <f t="shared" si="6"/>
        <v>0</v>
      </c>
      <c r="M126" s="21">
        <f>D126*1.4</f>
        <v>0</v>
      </c>
      <c r="N126" s="22"/>
    </row>
    <row r="127" spans="1:16" ht="13.5" customHeight="1" x14ac:dyDescent="0.25">
      <c r="A127" s="41">
        <v>41653</v>
      </c>
      <c r="B127" s="234" t="s">
        <v>431</v>
      </c>
      <c r="C127" s="24" t="s">
        <v>53</v>
      </c>
      <c r="D127" s="27">
        <v>13.7</v>
      </c>
      <c r="E127" s="105">
        <f t="shared" si="4"/>
        <v>20139</v>
      </c>
      <c r="F127" s="2" t="s">
        <v>54</v>
      </c>
      <c r="G127" s="26" t="s">
        <v>53</v>
      </c>
      <c r="H127" s="26"/>
      <c r="I127" s="104">
        <v>1.1999999999999997</v>
      </c>
      <c r="J127" s="187">
        <f t="shared" ref="J127:J137" si="13">D127*$K$2*I127</f>
        <v>24166.799999999996</v>
      </c>
      <c r="K127" s="188">
        <f t="shared" si="5"/>
        <v>26583.479999999996</v>
      </c>
      <c r="L127" s="189">
        <f t="shared" si="6"/>
        <v>20138.999999999996</v>
      </c>
      <c r="M127" s="3">
        <f t="shared" ref="M127:M137" si="14">D127*$C$5*1.4</f>
        <v>0</v>
      </c>
      <c r="N127" s="4">
        <f t="shared" ref="N127:N137" si="15">D127*$C$5*1.5*1.21</f>
        <v>0</v>
      </c>
    </row>
    <row r="128" spans="1:16" ht="13.5" customHeight="1" x14ac:dyDescent="0.25">
      <c r="A128" s="23">
        <v>40703</v>
      </c>
      <c r="B128" s="208" t="s">
        <v>379</v>
      </c>
      <c r="C128" s="24" t="s">
        <v>15</v>
      </c>
      <c r="D128" s="27">
        <v>85</v>
      </c>
      <c r="E128" s="105">
        <f t="shared" si="4"/>
        <v>124950</v>
      </c>
      <c r="F128" s="2" t="s">
        <v>55</v>
      </c>
      <c r="G128" s="26" t="s">
        <v>16</v>
      </c>
      <c r="H128" s="26" t="s">
        <v>52</v>
      </c>
      <c r="I128" s="104">
        <v>1.2</v>
      </c>
      <c r="J128" s="187">
        <f t="shared" si="13"/>
        <v>149940</v>
      </c>
      <c r="K128" s="188">
        <f t="shared" si="5"/>
        <v>164934</v>
      </c>
      <c r="L128" s="189">
        <f t="shared" si="6"/>
        <v>124950</v>
      </c>
      <c r="M128" s="3">
        <f t="shared" si="14"/>
        <v>0</v>
      </c>
      <c r="N128" s="4">
        <f t="shared" si="15"/>
        <v>0</v>
      </c>
    </row>
    <row r="129" spans="1:16" ht="13.5" customHeight="1" x14ac:dyDescent="0.25">
      <c r="A129" s="23">
        <v>40689</v>
      </c>
      <c r="B129" s="208">
        <v>1213005</v>
      </c>
      <c r="C129" s="24" t="s">
        <v>53</v>
      </c>
      <c r="D129" s="27">
        <v>13.7</v>
      </c>
      <c r="E129" s="105">
        <f t="shared" si="4"/>
        <v>20139</v>
      </c>
      <c r="F129" s="2" t="s">
        <v>56</v>
      </c>
      <c r="G129" s="26" t="s">
        <v>53</v>
      </c>
      <c r="H129" s="26"/>
      <c r="I129" s="104">
        <v>1.1999999999999997</v>
      </c>
      <c r="J129" s="187">
        <f t="shared" si="13"/>
        <v>24166.799999999996</v>
      </c>
      <c r="K129" s="188">
        <f t="shared" si="5"/>
        <v>26583.479999999996</v>
      </c>
      <c r="L129" s="189">
        <f t="shared" si="6"/>
        <v>20138.999999999996</v>
      </c>
      <c r="M129" s="3">
        <f t="shared" si="14"/>
        <v>0</v>
      </c>
      <c r="N129" s="4">
        <f t="shared" si="15"/>
        <v>0</v>
      </c>
    </row>
    <row r="130" spans="1:16" ht="13.5" customHeight="1" x14ac:dyDescent="0.25">
      <c r="A130" s="23">
        <v>40711</v>
      </c>
      <c r="B130" s="208" t="s">
        <v>381</v>
      </c>
      <c r="C130" s="24" t="s">
        <v>53</v>
      </c>
      <c r="D130" s="27">
        <v>35.700000000000003</v>
      </c>
      <c r="E130" s="105">
        <f t="shared" ref="E130:E197" si="16">D130*$K$2</f>
        <v>52479.000000000007</v>
      </c>
      <c r="F130" s="2" t="s">
        <v>57</v>
      </c>
      <c r="G130" s="26" t="s">
        <v>53</v>
      </c>
      <c r="H130" s="26" t="s">
        <v>58</v>
      </c>
      <c r="I130" s="104">
        <v>1.2</v>
      </c>
      <c r="J130" s="187">
        <f t="shared" si="13"/>
        <v>62974.8</v>
      </c>
      <c r="K130" s="188">
        <f t="shared" si="5"/>
        <v>69272.280000000013</v>
      </c>
      <c r="L130" s="189">
        <f t="shared" si="6"/>
        <v>52479</v>
      </c>
      <c r="M130" s="3">
        <f t="shared" si="14"/>
        <v>0</v>
      </c>
      <c r="N130" s="4">
        <f t="shared" si="15"/>
        <v>0</v>
      </c>
    </row>
    <row r="131" spans="1:16" ht="13.5" customHeight="1" x14ac:dyDescent="0.25">
      <c r="A131" s="30">
        <v>40972</v>
      </c>
      <c r="B131" s="235" t="s">
        <v>382</v>
      </c>
      <c r="C131" s="24" t="s">
        <v>53</v>
      </c>
      <c r="D131" s="27">
        <v>40</v>
      </c>
      <c r="E131" s="105">
        <f t="shared" si="16"/>
        <v>58800</v>
      </c>
      <c r="F131" s="2" t="s">
        <v>98</v>
      </c>
      <c r="G131" s="26" t="s">
        <v>53</v>
      </c>
      <c r="H131" s="26" t="s">
        <v>59</v>
      </c>
      <c r="I131" s="104">
        <v>1.2</v>
      </c>
      <c r="J131" s="187">
        <f t="shared" si="13"/>
        <v>70560</v>
      </c>
      <c r="K131" s="188">
        <f t="shared" ref="K131:K198" si="17">J131*1.1</f>
        <v>77616</v>
      </c>
      <c r="L131" s="189">
        <f t="shared" ref="L131:L198" si="18">J131*5/6</f>
        <v>58800</v>
      </c>
      <c r="M131" s="3">
        <f t="shared" si="14"/>
        <v>0</v>
      </c>
      <c r="N131" s="4">
        <f t="shared" si="15"/>
        <v>0</v>
      </c>
    </row>
    <row r="132" spans="1:16" ht="13.5" customHeight="1" x14ac:dyDescent="0.25">
      <c r="A132" s="30">
        <v>41848</v>
      </c>
      <c r="B132" s="235" t="s">
        <v>432</v>
      </c>
      <c r="C132" s="24" t="s">
        <v>156</v>
      </c>
      <c r="D132" s="27">
        <v>39.799999999999997</v>
      </c>
      <c r="E132" s="105">
        <f t="shared" si="16"/>
        <v>58505.999999999993</v>
      </c>
      <c r="F132" s="2" t="s">
        <v>99</v>
      </c>
      <c r="G132" s="26" t="s">
        <v>156</v>
      </c>
      <c r="H132" s="26"/>
      <c r="I132" s="104">
        <v>1.2</v>
      </c>
      <c r="J132" s="187">
        <f t="shared" si="13"/>
        <v>70207.199999999983</v>
      </c>
      <c r="K132" s="188">
        <f t="shared" si="17"/>
        <v>77227.919999999984</v>
      </c>
      <c r="L132" s="189">
        <f t="shared" si="18"/>
        <v>58505.999999999978</v>
      </c>
      <c r="M132" s="3">
        <f t="shared" si="14"/>
        <v>0</v>
      </c>
      <c r="N132" s="4">
        <f t="shared" si="15"/>
        <v>0</v>
      </c>
    </row>
    <row r="133" spans="1:16" ht="13.5" customHeight="1" x14ac:dyDescent="0.25">
      <c r="A133" s="67"/>
      <c r="B133" s="235" t="s">
        <v>383</v>
      </c>
      <c r="C133" s="24" t="s">
        <v>156</v>
      </c>
      <c r="D133" s="62">
        <v>53</v>
      </c>
      <c r="E133" s="105">
        <f t="shared" si="16"/>
        <v>77910</v>
      </c>
      <c r="F133" s="63" t="s">
        <v>164</v>
      </c>
      <c r="G133" s="64" t="s">
        <v>156</v>
      </c>
      <c r="H133" s="64"/>
      <c r="I133" s="104">
        <v>1.2</v>
      </c>
      <c r="J133" s="187">
        <f t="shared" si="13"/>
        <v>93492</v>
      </c>
      <c r="K133" s="188">
        <f t="shared" si="17"/>
        <v>102841.20000000001</v>
      </c>
      <c r="L133" s="189">
        <f t="shared" si="18"/>
        <v>77910</v>
      </c>
      <c r="M133" s="65">
        <f t="shared" si="14"/>
        <v>0</v>
      </c>
      <c r="N133" s="66">
        <f t="shared" si="15"/>
        <v>0</v>
      </c>
    </row>
    <row r="134" spans="1:16" ht="13.5" customHeight="1" x14ac:dyDescent="0.25">
      <c r="A134" s="67"/>
      <c r="B134" s="235">
        <v>1213017</v>
      </c>
      <c r="C134" s="24" t="s">
        <v>156</v>
      </c>
      <c r="D134" s="62">
        <v>90</v>
      </c>
      <c r="E134" s="105">
        <f t="shared" si="16"/>
        <v>132300</v>
      </c>
      <c r="F134" s="63" t="s">
        <v>157</v>
      </c>
      <c r="G134" s="26" t="s">
        <v>156</v>
      </c>
      <c r="H134" s="64"/>
      <c r="I134" s="104">
        <v>1.2</v>
      </c>
      <c r="J134" s="187">
        <f t="shared" si="13"/>
        <v>158760</v>
      </c>
      <c r="K134" s="188">
        <f t="shared" si="17"/>
        <v>174636</v>
      </c>
      <c r="L134" s="189">
        <f t="shared" si="18"/>
        <v>132300</v>
      </c>
      <c r="M134" s="65">
        <f t="shared" si="14"/>
        <v>0</v>
      </c>
      <c r="N134" s="66">
        <f t="shared" si="15"/>
        <v>0</v>
      </c>
    </row>
    <row r="135" spans="1:16" ht="13.5" customHeight="1" x14ac:dyDescent="0.25">
      <c r="A135" s="67"/>
      <c r="B135" s="235">
        <v>1213043</v>
      </c>
      <c r="C135" s="69" t="s">
        <v>156</v>
      </c>
      <c r="D135" s="105">
        <v>30</v>
      </c>
      <c r="E135" s="105">
        <f t="shared" si="16"/>
        <v>44100</v>
      </c>
      <c r="F135" s="102" t="s">
        <v>353</v>
      </c>
      <c r="G135" s="26" t="s">
        <v>156</v>
      </c>
      <c r="H135" s="104"/>
      <c r="I135" s="104">
        <v>1.5</v>
      </c>
      <c r="J135" s="187">
        <f t="shared" si="13"/>
        <v>66150</v>
      </c>
      <c r="K135" s="188">
        <f t="shared" si="17"/>
        <v>72765</v>
      </c>
      <c r="L135" s="189">
        <f t="shared" si="18"/>
        <v>55125</v>
      </c>
      <c r="M135" s="65"/>
      <c r="N135" s="66"/>
    </row>
    <row r="136" spans="1:16" ht="13.5" customHeight="1" x14ac:dyDescent="0.25">
      <c r="A136" s="30">
        <v>43595</v>
      </c>
      <c r="B136" s="235" t="s">
        <v>408</v>
      </c>
      <c r="C136" s="24" t="s">
        <v>53</v>
      </c>
      <c r="D136" s="27">
        <v>22</v>
      </c>
      <c r="E136" s="105">
        <f t="shared" si="16"/>
        <v>32340</v>
      </c>
      <c r="F136" s="2" t="s">
        <v>159</v>
      </c>
      <c r="G136" s="26" t="s">
        <v>53</v>
      </c>
      <c r="H136" s="26"/>
      <c r="I136" s="104">
        <v>1.2</v>
      </c>
      <c r="J136" s="187">
        <f t="shared" si="13"/>
        <v>38808</v>
      </c>
      <c r="K136" s="188">
        <f t="shared" si="17"/>
        <v>42688.800000000003</v>
      </c>
      <c r="L136" s="189">
        <f t="shared" si="18"/>
        <v>32340</v>
      </c>
      <c r="M136" s="3">
        <f t="shared" si="14"/>
        <v>0</v>
      </c>
      <c r="N136" s="4">
        <f t="shared" si="15"/>
        <v>0</v>
      </c>
    </row>
    <row r="137" spans="1:16" ht="13.5" customHeight="1" x14ac:dyDescent="0.25">
      <c r="A137" s="28">
        <v>40326</v>
      </c>
      <c r="B137" s="236">
        <v>1104013</v>
      </c>
      <c r="C137" s="24" t="s">
        <v>11</v>
      </c>
      <c r="D137" s="27">
        <v>98</v>
      </c>
      <c r="E137" s="105">
        <f t="shared" si="16"/>
        <v>144060</v>
      </c>
      <c r="F137" s="2" t="s">
        <v>60</v>
      </c>
      <c r="G137" s="26" t="s">
        <v>27</v>
      </c>
      <c r="H137" s="26"/>
      <c r="I137" s="104">
        <v>1.1999999999999997</v>
      </c>
      <c r="J137" s="187">
        <f t="shared" si="13"/>
        <v>172871.99999999997</v>
      </c>
      <c r="K137" s="188">
        <f t="shared" si="17"/>
        <v>190159.19999999998</v>
      </c>
      <c r="L137" s="189">
        <f t="shared" si="18"/>
        <v>144059.99999999997</v>
      </c>
      <c r="M137" s="3">
        <f t="shared" si="14"/>
        <v>0</v>
      </c>
      <c r="N137" s="4">
        <f t="shared" si="15"/>
        <v>0</v>
      </c>
    </row>
    <row r="138" spans="1:16" s="128" customFormat="1" ht="13.5" customHeight="1" x14ac:dyDescent="0.25">
      <c r="A138" s="60"/>
      <c r="B138" s="237"/>
      <c r="C138" s="55"/>
      <c r="D138" s="56"/>
      <c r="E138" s="105">
        <f t="shared" ref="E138:E139" si="19">D138*$K$2</f>
        <v>0</v>
      </c>
      <c r="F138" s="61" t="s">
        <v>449</v>
      </c>
      <c r="G138" s="57"/>
      <c r="H138" s="57"/>
      <c r="I138" s="57"/>
      <c r="J138" s="197"/>
      <c r="K138" s="188">
        <f t="shared" ref="K138:K139" si="20">J138*1.1</f>
        <v>0</v>
      </c>
      <c r="L138" s="189">
        <f t="shared" ref="L138:L139" si="21">J138*5/6</f>
        <v>0</v>
      </c>
      <c r="M138" s="58"/>
      <c r="N138" s="58"/>
      <c r="O138" s="54"/>
      <c r="P138" s="54"/>
    </row>
    <row r="139" spans="1:16" s="128" customFormat="1" ht="13.5" customHeight="1" x14ac:dyDescent="0.25">
      <c r="A139" s="72"/>
      <c r="B139" s="236"/>
      <c r="C139" s="69" t="s">
        <v>327</v>
      </c>
      <c r="D139" s="105">
        <v>65</v>
      </c>
      <c r="E139" s="105">
        <f t="shared" si="19"/>
        <v>95550</v>
      </c>
      <c r="F139" s="102" t="s">
        <v>452</v>
      </c>
      <c r="G139" s="104"/>
      <c r="H139" s="104"/>
      <c r="I139" s="104">
        <v>1.35</v>
      </c>
      <c r="J139" s="191">
        <f>D139*$K$2*I139</f>
        <v>128992.50000000001</v>
      </c>
      <c r="K139" s="188">
        <f t="shared" si="20"/>
        <v>141891.75000000003</v>
      </c>
      <c r="L139" s="189">
        <f t="shared" si="21"/>
        <v>107493.75000000001</v>
      </c>
      <c r="M139" s="65"/>
      <c r="N139" s="66"/>
      <c r="O139" s="54"/>
      <c r="P139" s="54"/>
    </row>
    <row r="140" spans="1:16" ht="13.5" customHeight="1" x14ac:dyDescent="0.25">
      <c r="B140" s="248">
        <v>1208008</v>
      </c>
      <c r="C140" s="25" t="s">
        <v>9</v>
      </c>
      <c r="D140" s="27">
        <v>40.5</v>
      </c>
      <c r="F140" s="2" t="s">
        <v>450</v>
      </c>
      <c r="G140" s="26"/>
      <c r="H140" s="26"/>
      <c r="I140" s="26">
        <v>1.35</v>
      </c>
      <c r="J140" s="191">
        <f>D140*$K$2*I140</f>
        <v>80372.25</v>
      </c>
      <c r="K140" s="188">
        <f>J140*1.1</f>
        <v>88409.475000000006</v>
      </c>
      <c r="L140" s="189">
        <f>J140*5/6</f>
        <v>66976.875</v>
      </c>
    </row>
    <row r="141" spans="1:16" ht="13.5" customHeight="1" x14ac:dyDescent="0.25">
      <c r="B141" s="248">
        <v>1208021</v>
      </c>
      <c r="C141" s="38" t="s">
        <v>15</v>
      </c>
      <c r="D141" s="27">
        <v>32</v>
      </c>
      <c r="F141" s="2" t="s">
        <v>451</v>
      </c>
      <c r="G141" s="26"/>
      <c r="H141" s="104"/>
      <c r="I141" s="26">
        <v>1.35</v>
      </c>
      <c r="J141" s="191">
        <f>D141*$K$2*I141</f>
        <v>63504.000000000007</v>
      </c>
      <c r="K141" s="188">
        <f>J141*1.1</f>
        <v>69854.400000000009</v>
      </c>
      <c r="L141" s="189">
        <f>J141*5/6</f>
        <v>52920.000000000007</v>
      </c>
    </row>
    <row r="142" spans="1:16" ht="13.5" customHeight="1" x14ac:dyDescent="0.25">
      <c r="A142" s="60"/>
      <c r="B142" s="237"/>
      <c r="C142" s="55"/>
      <c r="D142" s="56"/>
      <c r="E142" s="105">
        <f t="shared" si="16"/>
        <v>0</v>
      </c>
      <c r="F142" s="61" t="s">
        <v>326</v>
      </c>
      <c r="G142" s="57"/>
      <c r="H142" s="57"/>
      <c r="I142" s="57"/>
      <c r="J142" s="197"/>
      <c r="K142" s="188">
        <f t="shared" si="17"/>
        <v>0</v>
      </c>
      <c r="L142" s="189">
        <f t="shared" si="18"/>
        <v>0</v>
      </c>
      <c r="M142" s="58"/>
      <c r="N142" s="58"/>
    </row>
    <row r="143" spans="1:16" ht="13.5" customHeight="1" x14ac:dyDescent="0.25">
      <c r="A143" s="72"/>
      <c r="B143" s="236">
        <v>1504008</v>
      </c>
      <c r="C143" s="69" t="s">
        <v>327</v>
      </c>
      <c r="D143" s="105">
        <v>100</v>
      </c>
      <c r="E143" s="105">
        <f t="shared" si="16"/>
        <v>147000</v>
      </c>
      <c r="F143" s="102" t="s">
        <v>448</v>
      </c>
      <c r="G143" s="104"/>
      <c r="H143" s="104"/>
      <c r="I143" s="104">
        <v>1.35</v>
      </c>
      <c r="J143" s="191">
        <f>D143*$K$2*I143</f>
        <v>198450</v>
      </c>
      <c r="K143" s="188">
        <f t="shared" si="17"/>
        <v>218295.00000000003</v>
      </c>
      <c r="L143" s="189">
        <f t="shared" si="18"/>
        <v>165375</v>
      </c>
      <c r="M143" s="65"/>
      <c r="N143" s="66"/>
    </row>
    <row r="144" spans="1:16" ht="13.5" customHeight="1" x14ac:dyDescent="0.25">
      <c r="A144" s="60"/>
      <c r="B144" s="237"/>
      <c r="C144" s="55"/>
      <c r="D144" s="56"/>
      <c r="E144" s="105">
        <f t="shared" si="16"/>
        <v>0</v>
      </c>
      <c r="F144" s="61" t="s">
        <v>139</v>
      </c>
      <c r="G144" s="57"/>
      <c r="H144" s="57"/>
      <c r="I144" s="57"/>
      <c r="J144" s="197"/>
      <c r="K144" s="188">
        <f t="shared" si="17"/>
        <v>0</v>
      </c>
      <c r="L144" s="189">
        <f t="shared" si="18"/>
        <v>0</v>
      </c>
      <c r="M144" s="58"/>
      <c r="N144" s="58"/>
    </row>
    <row r="145" spans="1:17" ht="13.5" customHeight="1" x14ac:dyDescent="0.25">
      <c r="A145" s="30"/>
      <c r="B145" s="235" t="s">
        <v>384</v>
      </c>
      <c r="C145" s="24" t="s">
        <v>113</v>
      </c>
      <c r="D145" s="27">
        <v>50</v>
      </c>
      <c r="E145" s="105">
        <f t="shared" si="16"/>
        <v>73500</v>
      </c>
      <c r="F145" s="2" t="s">
        <v>140</v>
      </c>
      <c r="G145" s="26" t="s">
        <v>113</v>
      </c>
      <c r="H145" s="26"/>
      <c r="I145" s="104">
        <v>1.35</v>
      </c>
      <c r="J145" s="187">
        <f t="shared" ref="J145:J165" si="22">D145*$K$2*I145</f>
        <v>99225</v>
      </c>
      <c r="K145" s="188">
        <f t="shared" si="17"/>
        <v>109147.50000000001</v>
      </c>
      <c r="L145" s="189">
        <f t="shared" si="18"/>
        <v>82687.5</v>
      </c>
      <c r="M145" s="3"/>
      <c r="N145" s="4"/>
    </row>
    <row r="146" spans="1:17" ht="13.5" customHeight="1" x14ac:dyDescent="0.25">
      <c r="A146" s="30"/>
      <c r="B146" s="235" t="s">
        <v>385</v>
      </c>
      <c r="C146" s="24" t="s">
        <v>113</v>
      </c>
      <c r="D146" s="27">
        <v>10</v>
      </c>
      <c r="E146" s="105">
        <f t="shared" si="16"/>
        <v>14700</v>
      </c>
      <c r="F146" s="2" t="s">
        <v>141</v>
      </c>
      <c r="G146" s="26" t="s">
        <v>113</v>
      </c>
      <c r="H146" s="26"/>
      <c r="I146" s="104">
        <v>1.35</v>
      </c>
      <c r="J146" s="187">
        <f t="shared" si="22"/>
        <v>19845</v>
      </c>
      <c r="K146" s="188">
        <f t="shared" si="17"/>
        <v>21829.5</v>
      </c>
      <c r="L146" s="189">
        <f t="shared" si="18"/>
        <v>16537.5</v>
      </c>
      <c r="M146" s="3"/>
      <c r="N146" s="4"/>
    </row>
    <row r="147" spans="1:17" ht="13.5" customHeight="1" x14ac:dyDescent="0.25">
      <c r="A147" s="30"/>
      <c r="B147" s="235" t="s">
        <v>433</v>
      </c>
      <c r="C147" s="24" t="s">
        <v>113</v>
      </c>
      <c r="D147" s="27">
        <v>1</v>
      </c>
      <c r="E147" s="105">
        <f t="shared" si="16"/>
        <v>1470</v>
      </c>
      <c r="F147" s="2" t="s">
        <v>146</v>
      </c>
      <c r="G147" s="26" t="s">
        <v>113</v>
      </c>
      <c r="H147" s="26"/>
      <c r="I147" s="104">
        <v>1.35</v>
      </c>
      <c r="J147" s="187">
        <f t="shared" si="22"/>
        <v>1984.5000000000002</v>
      </c>
      <c r="K147" s="188">
        <f t="shared" si="17"/>
        <v>2182.9500000000003</v>
      </c>
      <c r="L147" s="189">
        <f t="shared" si="18"/>
        <v>1653.7500000000002</v>
      </c>
      <c r="M147" s="3"/>
      <c r="N147" s="4"/>
    </row>
    <row r="148" spans="1:17" ht="13.5" customHeight="1" x14ac:dyDescent="0.25">
      <c r="A148" s="30"/>
      <c r="B148" s="235">
        <v>1504004</v>
      </c>
      <c r="C148" s="24" t="s">
        <v>113</v>
      </c>
      <c r="D148" s="27">
        <v>90</v>
      </c>
      <c r="E148" s="105">
        <f t="shared" si="16"/>
        <v>132300</v>
      </c>
      <c r="F148" s="2" t="s">
        <v>443</v>
      </c>
      <c r="G148" s="26" t="s">
        <v>113</v>
      </c>
      <c r="H148" s="26"/>
      <c r="I148" s="104">
        <v>1.35</v>
      </c>
      <c r="J148" s="187">
        <f t="shared" si="22"/>
        <v>178605</v>
      </c>
      <c r="K148" s="188">
        <f t="shared" si="17"/>
        <v>196465.50000000003</v>
      </c>
      <c r="L148" s="189">
        <f t="shared" si="18"/>
        <v>148837.5</v>
      </c>
      <c r="M148" s="3"/>
      <c r="N148" s="4"/>
    </row>
    <row r="149" spans="1:17" ht="13.5" customHeight="1" x14ac:dyDescent="0.25">
      <c r="A149" s="67"/>
      <c r="B149" s="235" t="s">
        <v>387</v>
      </c>
      <c r="C149" s="24" t="s">
        <v>113</v>
      </c>
      <c r="D149" s="62">
        <v>105</v>
      </c>
      <c r="E149" s="105">
        <f t="shared" si="16"/>
        <v>154350</v>
      </c>
      <c r="F149" s="63" t="s">
        <v>444</v>
      </c>
      <c r="G149" s="26" t="s">
        <v>113</v>
      </c>
      <c r="H149" s="64"/>
      <c r="I149" s="104">
        <v>1.25</v>
      </c>
      <c r="J149" s="187">
        <f t="shared" si="22"/>
        <v>192937.5</v>
      </c>
      <c r="K149" s="188">
        <f t="shared" si="17"/>
        <v>212231.25000000003</v>
      </c>
      <c r="L149" s="189">
        <f t="shared" si="18"/>
        <v>160781.25</v>
      </c>
      <c r="M149" s="65"/>
      <c r="N149" s="66"/>
    </row>
    <row r="150" spans="1:17" ht="13.5" customHeight="1" x14ac:dyDescent="0.25">
      <c r="A150" s="30"/>
      <c r="B150" s="235">
        <v>1104018</v>
      </c>
      <c r="C150" s="24" t="s">
        <v>113</v>
      </c>
      <c r="D150" s="27">
        <v>7</v>
      </c>
      <c r="E150" s="105">
        <f t="shared" si="16"/>
        <v>10290</v>
      </c>
      <c r="F150" s="2" t="s">
        <v>147</v>
      </c>
      <c r="G150" s="26" t="s">
        <v>113</v>
      </c>
      <c r="H150" s="26"/>
      <c r="I150" s="104">
        <v>1.35</v>
      </c>
      <c r="J150" s="187">
        <f t="shared" si="22"/>
        <v>13891.500000000002</v>
      </c>
      <c r="K150" s="188">
        <f t="shared" si="17"/>
        <v>15280.650000000003</v>
      </c>
      <c r="L150" s="189">
        <f t="shared" si="18"/>
        <v>11576.250000000002</v>
      </c>
      <c r="M150" s="3"/>
      <c r="N150" s="4"/>
    </row>
    <row r="151" spans="1:17" ht="13.5" customHeight="1" x14ac:dyDescent="0.25">
      <c r="A151" s="30"/>
      <c r="B151" s="235">
        <v>1106004</v>
      </c>
      <c r="C151" s="24" t="s">
        <v>113</v>
      </c>
      <c r="D151" s="27">
        <v>6</v>
      </c>
      <c r="E151" s="105">
        <f t="shared" si="16"/>
        <v>8820</v>
      </c>
      <c r="F151" s="2" t="s">
        <v>148</v>
      </c>
      <c r="G151" s="26" t="s">
        <v>113</v>
      </c>
      <c r="H151" s="26"/>
      <c r="I151" s="104">
        <v>1.35</v>
      </c>
      <c r="J151" s="187">
        <f t="shared" si="22"/>
        <v>11907</v>
      </c>
      <c r="K151" s="188">
        <f t="shared" si="17"/>
        <v>13097.7</v>
      </c>
      <c r="L151" s="189">
        <f t="shared" si="18"/>
        <v>9922.5</v>
      </c>
      <c r="M151" s="3"/>
      <c r="N151" s="4"/>
    </row>
    <row r="152" spans="1:17" ht="13.5" customHeight="1" x14ac:dyDescent="0.25">
      <c r="A152" s="30"/>
      <c r="B152" s="235">
        <v>1514001</v>
      </c>
      <c r="C152" s="24" t="s">
        <v>113</v>
      </c>
      <c r="D152" s="27">
        <v>6</v>
      </c>
      <c r="E152" s="105">
        <f t="shared" si="16"/>
        <v>8820</v>
      </c>
      <c r="F152" s="2" t="s">
        <v>149</v>
      </c>
      <c r="G152" s="26" t="s">
        <v>113</v>
      </c>
      <c r="H152" s="26"/>
      <c r="I152" s="104">
        <v>1.35</v>
      </c>
      <c r="J152" s="187">
        <f t="shared" si="22"/>
        <v>11907</v>
      </c>
      <c r="K152" s="188">
        <f t="shared" si="17"/>
        <v>13097.7</v>
      </c>
      <c r="L152" s="189">
        <f t="shared" si="18"/>
        <v>9922.5</v>
      </c>
      <c r="M152" s="3"/>
      <c r="N152" s="4"/>
    </row>
    <row r="153" spans="1:17" ht="13.5" customHeight="1" x14ac:dyDescent="0.25">
      <c r="A153" s="67"/>
      <c r="B153" s="235">
        <v>1504006</v>
      </c>
      <c r="C153" s="24" t="s">
        <v>113</v>
      </c>
      <c r="D153" s="62">
        <v>165</v>
      </c>
      <c r="E153" s="105">
        <f t="shared" si="16"/>
        <v>242550</v>
      </c>
      <c r="F153" s="63" t="s">
        <v>445</v>
      </c>
      <c r="G153" s="26" t="s">
        <v>113</v>
      </c>
      <c r="H153" s="64"/>
      <c r="I153" s="104">
        <v>1.35</v>
      </c>
      <c r="J153" s="187">
        <f t="shared" si="22"/>
        <v>327442.5</v>
      </c>
      <c r="K153" s="188">
        <f t="shared" si="17"/>
        <v>360186.75</v>
      </c>
      <c r="L153" s="189">
        <f t="shared" si="18"/>
        <v>272868.75</v>
      </c>
      <c r="M153" s="65"/>
      <c r="N153" s="66"/>
    </row>
    <row r="154" spans="1:17" ht="13.5" customHeight="1" x14ac:dyDescent="0.25">
      <c r="A154" s="67"/>
      <c r="B154" s="235" t="s">
        <v>434</v>
      </c>
      <c r="C154" s="24" t="s">
        <v>113</v>
      </c>
      <c r="D154" s="62">
        <v>19</v>
      </c>
      <c r="E154" s="105">
        <f t="shared" si="16"/>
        <v>27930</v>
      </c>
      <c r="F154" s="63" t="s">
        <v>163</v>
      </c>
      <c r="G154" s="26" t="s">
        <v>113</v>
      </c>
      <c r="H154" s="64"/>
      <c r="I154" s="104">
        <v>1.35</v>
      </c>
      <c r="J154" s="187">
        <f t="shared" si="22"/>
        <v>37705.5</v>
      </c>
      <c r="K154" s="188">
        <f t="shared" si="17"/>
        <v>41476.050000000003</v>
      </c>
      <c r="L154" s="189">
        <f t="shared" si="18"/>
        <v>31421.25</v>
      </c>
      <c r="M154" s="65"/>
      <c r="N154" s="66"/>
    </row>
    <row r="155" spans="1:17" ht="13.5" customHeight="1" x14ac:dyDescent="0.25">
      <c r="A155" s="67"/>
      <c r="B155" s="235">
        <v>1208025</v>
      </c>
      <c r="C155" s="24" t="s">
        <v>113</v>
      </c>
      <c r="D155" s="62">
        <v>1</v>
      </c>
      <c r="E155" s="105">
        <f t="shared" si="16"/>
        <v>1470</v>
      </c>
      <c r="F155" s="63" t="s">
        <v>152</v>
      </c>
      <c r="G155" s="26" t="s">
        <v>113</v>
      </c>
      <c r="H155" s="64"/>
      <c r="I155" s="104">
        <v>1.35</v>
      </c>
      <c r="J155" s="187">
        <f t="shared" si="22"/>
        <v>1984.5000000000002</v>
      </c>
      <c r="K155" s="188">
        <f t="shared" si="17"/>
        <v>2182.9500000000003</v>
      </c>
      <c r="L155" s="189">
        <f t="shared" si="18"/>
        <v>1653.7500000000002</v>
      </c>
      <c r="M155" s="65"/>
      <c r="N155" s="66"/>
    </row>
    <row r="156" spans="1:17" ht="13.5" customHeight="1" x14ac:dyDescent="0.25">
      <c r="A156" s="67"/>
      <c r="B156" s="235">
        <v>1208020</v>
      </c>
      <c r="C156" s="24" t="s">
        <v>113</v>
      </c>
      <c r="D156" s="62">
        <v>2.2000000000000002</v>
      </c>
      <c r="E156" s="105">
        <f t="shared" si="16"/>
        <v>3234.0000000000005</v>
      </c>
      <c r="F156" s="63" t="s">
        <v>154</v>
      </c>
      <c r="G156" s="26" t="s">
        <v>113</v>
      </c>
      <c r="H156" s="64"/>
      <c r="I156" s="104">
        <v>1.35</v>
      </c>
      <c r="J156" s="187">
        <f t="shared" si="22"/>
        <v>4365.9000000000005</v>
      </c>
      <c r="K156" s="188">
        <f t="shared" si="17"/>
        <v>4802.4900000000007</v>
      </c>
      <c r="L156" s="189">
        <f t="shared" si="18"/>
        <v>3638.2500000000005</v>
      </c>
      <c r="M156" s="65"/>
      <c r="N156" s="66"/>
    </row>
    <row r="157" spans="1:17" ht="13.5" customHeight="1" x14ac:dyDescent="0.25">
      <c r="A157" s="67"/>
      <c r="B157" s="235">
        <v>1208009</v>
      </c>
      <c r="C157" s="24" t="s">
        <v>113</v>
      </c>
      <c r="D157" s="62">
        <v>3</v>
      </c>
      <c r="E157" s="105">
        <f t="shared" si="16"/>
        <v>4410</v>
      </c>
      <c r="F157" s="63" t="s">
        <v>153</v>
      </c>
      <c r="G157" s="26" t="s">
        <v>113</v>
      </c>
      <c r="H157" s="64"/>
      <c r="I157" s="104">
        <v>1.35</v>
      </c>
      <c r="J157" s="187">
        <f t="shared" si="22"/>
        <v>5953.5</v>
      </c>
      <c r="K157" s="188">
        <f t="shared" si="17"/>
        <v>6548.85</v>
      </c>
      <c r="L157" s="189">
        <f t="shared" si="18"/>
        <v>4961.25</v>
      </c>
      <c r="M157" s="65"/>
      <c r="N157" s="66"/>
    </row>
    <row r="158" spans="1:17" ht="13.5" customHeight="1" x14ac:dyDescent="0.25">
      <c r="A158" s="67"/>
      <c r="B158" s="235" t="s">
        <v>389</v>
      </c>
      <c r="C158" s="24" t="s">
        <v>113</v>
      </c>
      <c r="D158" s="62">
        <v>80</v>
      </c>
      <c r="E158" s="105">
        <f t="shared" si="16"/>
        <v>117600</v>
      </c>
      <c r="F158" s="63" t="s">
        <v>160</v>
      </c>
      <c r="G158" s="26" t="s">
        <v>113</v>
      </c>
      <c r="H158" s="64"/>
      <c r="I158" s="104">
        <v>1.35</v>
      </c>
      <c r="J158" s="187">
        <f t="shared" si="22"/>
        <v>158760</v>
      </c>
      <c r="K158" s="188">
        <f t="shared" si="17"/>
        <v>174636</v>
      </c>
      <c r="L158" s="189">
        <f t="shared" si="18"/>
        <v>132300</v>
      </c>
      <c r="M158" s="65"/>
      <c r="N158" s="66"/>
    </row>
    <row r="159" spans="1:17" ht="13.5" customHeight="1" x14ac:dyDescent="0.25">
      <c r="A159" s="67"/>
      <c r="B159" s="235" t="s">
        <v>398</v>
      </c>
      <c r="C159" s="24" t="s">
        <v>113</v>
      </c>
      <c r="D159" s="62">
        <v>95</v>
      </c>
      <c r="E159" s="105">
        <f t="shared" si="16"/>
        <v>139650</v>
      </c>
      <c r="F159" s="63" t="s">
        <v>161</v>
      </c>
      <c r="G159" s="26" t="s">
        <v>113</v>
      </c>
      <c r="H159" s="64"/>
      <c r="I159" s="104">
        <v>1.35</v>
      </c>
      <c r="J159" s="187">
        <f t="shared" si="22"/>
        <v>188527.5</v>
      </c>
      <c r="K159" s="188">
        <f t="shared" si="17"/>
        <v>207380.25000000003</v>
      </c>
      <c r="L159" s="189">
        <f t="shared" si="18"/>
        <v>157106.25</v>
      </c>
      <c r="M159" s="65"/>
      <c r="N159" s="66"/>
      <c r="Q159">
        <v>0</v>
      </c>
    </row>
    <row r="160" spans="1:17" ht="13.5" customHeight="1" x14ac:dyDescent="0.25">
      <c r="A160" s="67"/>
      <c r="B160" s="235" t="s">
        <v>390</v>
      </c>
      <c r="C160" s="24" t="s">
        <v>113</v>
      </c>
      <c r="D160" s="62">
        <v>22</v>
      </c>
      <c r="E160" s="105">
        <f t="shared" si="16"/>
        <v>32340</v>
      </c>
      <c r="F160" s="63" t="s">
        <v>162</v>
      </c>
      <c r="G160" s="26" t="s">
        <v>113</v>
      </c>
      <c r="H160" s="64"/>
      <c r="I160" s="104">
        <v>1.35</v>
      </c>
      <c r="J160" s="187">
        <f t="shared" si="22"/>
        <v>43659</v>
      </c>
      <c r="K160" s="188">
        <f t="shared" si="17"/>
        <v>48024.9</v>
      </c>
      <c r="L160" s="189">
        <f t="shared" si="18"/>
        <v>36382.5</v>
      </c>
      <c r="M160" s="65"/>
      <c r="N160" s="66"/>
    </row>
    <row r="161" spans="1:14" ht="13.5" customHeight="1" x14ac:dyDescent="0.25">
      <c r="A161" s="67"/>
      <c r="B161" s="235">
        <v>1104029</v>
      </c>
      <c r="C161" s="24" t="s">
        <v>113</v>
      </c>
      <c r="D161" s="62">
        <v>15</v>
      </c>
      <c r="E161" s="105">
        <f t="shared" si="16"/>
        <v>22050</v>
      </c>
      <c r="F161" s="63" t="s">
        <v>166</v>
      </c>
      <c r="G161" s="26" t="s">
        <v>113</v>
      </c>
      <c r="H161" s="64"/>
      <c r="I161" s="104">
        <v>1.35</v>
      </c>
      <c r="J161" s="187">
        <f t="shared" si="22"/>
        <v>29767.500000000004</v>
      </c>
      <c r="K161" s="188">
        <f t="shared" si="17"/>
        <v>32744.250000000007</v>
      </c>
      <c r="L161" s="189">
        <f t="shared" si="18"/>
        <v>24806.250000000004</v>
      </c>
      <c r="M161" s="65"/>
      <c r="N161" s="66"/>
    </row>
    <row r="162" spans="1:14" ht="13.5" customHeight="1" x14ac:dyDescent="0.25">
      <c r="A162" s="67"/>
      <c r="B162" s="235" t="s">
        <v>391</v>
      </c>
      <c r="C162" s="24" t="s">
        <v>113</v>
      </c>
      <c r="D162" s="62">
        <v>140</v>
      </c>
      <c r="E162" s="105">
        <f t="shared" si="16"/>
        <v>205800</v>
      </c>
      <c r="F162" s="63" t="s">
        <v>165</v>
      </c>
      <c r="G162" s="26" t="s">
        <v>113</v>
      </c>
      <c r="H162" s="64"/>
      <c r="I162" s="104">
        <v>1.35</v>
      </c>
      <c r="J162" s="187">
        <f t="shared" si="22"/>
        <v>277830</v>
      </c>
      <c r="K162" s="188">
        <f t="shared" si="17"/>
        <v>305613</v>
      </c>
      <c r="L162" s="189">
        <f t="shared" si="18"/>
        <v>231525</v>
      </c>
      <c r="M162" s="65"/>
      <c r="N162" s="66"/>
    </row>
    <row r="163" spans="1:14" ht="13.5" customHeight="1" x14ac:dyDescent="0.25">
      <c r="A163" s="67"/>
      <c r="B163" s="235" t="s">
        <v>392</v>
      </c>
      <c r="C163" s="24" t="s">
        <v>113</v>
      </c>
      <c r="D163" s="62">
        <v>5</v>
      </c>
      <c r="E163" s="105">
        <f t="shared" si="16"/>
        <v>7350</v>
      </c>
      <c r="F163" s="63" t="s">
        <v>355</v>
      </c>
      <c r="G163" s="26" t="s">
        <v>113</v>
      </c>
      <c r="H163" s="64"/>
      <c r="I163" s="104">
        <v>1.35</v>
      </c>
      <c r="J163" s="187">
        <f t="shared" si="22"/>
        <v>9922.5</v>
      </c>
      <c r="K163" s="188">
        <f t="shared" si="17"/>
        <v>10914.75</v>
      </c>
      <c r="L163" s="189">
        <f t="shared" si="18"/>
        <v>8268.75</v>
      </c>
      <c r="M163" s="65"/>
      <c r="N163" s="66"/>
    </row>
    <row r="164" spans="1:14" ht="13.5" customHeight="1" x14ac:dyDescent="0.25">
      <c r="A164" s="67"/>
      <c r="B164" s="235" t="s">
        <v>393</v>
      </c>
      <c r="C164" s="24" t="s">
        <v>113</v>
      </c>
      <c r="D164" s="62">
        <v>6</v>
      </c>
      <c r="E164" s="105">
        <f t="shared" si="16"/>
        <v>8820</v>
      </c>
      <c r="F164" s="63" t="s">
        <v>356</v>
      </c>
      <c r="G164" s="26" t="s">
        <v>113</v>
      </c>
      <c r="H164" s="64"/>
      <c r="I164" s="104">
        <v>1.35</v>
      </c>
      <c r="J164" s="187">
        <f t="shared" si="22"/>
        <v>11907</v>
      </c>
      <c r="K164" s="188">
        <f t="shared" si="17"/>
        <v>13097.7</v>
      </c>
      <c r="L164" s="189">
        <f t="shared" si="18"/>
        <v>9922.5</v>
      </c>
      <c r="M164" s="65"/>
      <c r="N164" s="66"/>
    </row>
    <row r="165" spans="1:14" ht="13.5" customHeight="1" x14ac:dyDescent="0.25">
      <c r="A165" s="67"/>
      <c r="B165" s="235"/>
      <c r="C165" s="24"/>
      <c r="D165" s="62">
        <v>18</v>
      </c>
      <c r="E165" s="105">
        <f t="shared" si="16"/>
        <v>26460</v>
      </c>
      <c r="F165" s="63" t="s">
        <v>442</v>
      </c>
      <c r="G165" s="64"/>
      <c r="H165" s="64"/>
      <c r="I165" s="104">
        <v>1.35</v>
      </c>
      <c r="J165" s="187">
        <f t="shared" si="22"/>
        <v>35721</v>
      </c>
      <c r="K165" s="188">
        <f t="shared" si="17"/>
        <v>39293.100000000006</v>
      </c>
      <c r="L165" s="189">
        <f t="shared" si="18"/>
        <v>29767.5</v>
      </c>
      <c r="M165" s="65"/>
      <c r="N165" s="66"/>
    </row>
    <row r="166" spans="1:14" ht="13.5" customHeight="1" x14ac:dyDescent="0.25">
      <c r="A166" s="43"/>
      <c r="B166" s="238" t="s">
        <v>394</v>
      </c>
      <c r="C166" s="31"/>
      <c r="D166" s="40"/>
      <c r="E166" s="105">
        <f t="shared" si="16"/>
        <v>0</v>
      </c>
      <c r="F166" s="20" t="s">
        <v>63</v>
      </c>
      <c r="G166" s="32"/>
      <c r="H166" s="32"/>
      <c r="I166" s="32"/>
      <c r="J166" s="198"/>
      <c r="K166" s="188">
        <f t="shared" si="17"/>
        <v>0</v>
      </c>
      <c r="L166" s="189">
        <f t="shared" si="18"/>
        <v>0</v>
      </c>
      <c r="M166" s="22"/>
      <c r="N166" s="22"/>
    </row>
    <row r="167" spans="1:14" ht="13.5" customHeight="1" x14ac:dyDescent="0.25">
      <c r="A167" s="29">
        <v>40535</v>
      </c>
      <c r="B167" s="221">
        <v>1223018</v>
      </c>
      <c r="C167" s="25" t="s">
        <v>18</v>
      </c>
      <c r="D167" s="27">
        <v>47.2</v>
      </c>
      <c r="E167" s="105">
        <f t="shared" si="16"/>
        <v>69384</v>
      </c>
      <c r="F167" s="2" t="s">
        <v>64</v>
      </c>
      <c r="G167" s="26" t="s">
        <v>18</v>
      </c>
      <c r="H167" s="26" t="s">
        <v>62</v>
      </c>
      <c r="I167" s="104">
        <v>3.3</v>
      </c>
      <c r="J167" s="187">
        <f>D167*$K$2*I167</f>
        <v>228967.19999999998</v>
      </c>
      <c r="K167" s="188">
        <f t="shared" si="17"/>
        <v>251863.92</v>
      </c>
      <c r="L167" s="189">
        <f t="shared" si="18"/>
        <v>190806</v>
      </c>
      <c r="M167" s="3"/>
      <c r="N167" s="4"/>
    </row>
    <row r="168" spans="1:14" ht="13.5" customHeight="1" x14ac:dyDescent="0.25">
      <c r="A168" s="29">
        <v>40816</v>
      </c>
      <c r="B168" s="221">
        <v>1212012</v>
      </c>
      <c r="C168" s="25" t="s">
        <v>6</v>
      </c>
      <c r="D168" s="27">
        <v>189.8</v>
      </c>
      <c r="E168" s="105">
        <f t="shared" si="16"/>
        <v>279006</v>
      </c>
      <c r="F168" s="2" t="s">
        <v>65</v>
      </c>
      <c r="G168" s="26" t="s">
        <v>66</v>
      </c>
      <c r="H168" s="26">
        <v>707</v>
      </c>
      <c r="I168" s="104">
        <v>0</v>
      </c>
      <c r="J168" s="187"/>
      <c r="K168" s="188">
        <f t="shared" si="17"/>
        <v>0</v>
      </c>
      <c r="L168" s="189">
        <f t="shared" si="18"/>
        <v>0</v>
      </c>
      <c r="M168" s="3">
        <f>D168*$C$5*1.4</f>
        <v>0</v>
      </c>
      <c r="N168" s="4">
        <f>D168*$C$5*1.5*1.21</f>
        <v>0</v>
      </c>
    </row>
    <row r="169" spans="1:14" ht="13.5" customHeight="1" x14ac:dyDescent="0.25">
      <c r="A169" s="43"/>
      <c r="B169" s="238">
        <v>1113003</v>
      </c>
      <c r="C169" s="31"/>
      <c r="D169" s="40"/>
      <c r="E169" s="105">
        <f t="shared" si="16"/>
        <v>0</v>
      </c>
      <c r="F169" s="20" t="s">
        <v>67</v>
      </c>
      <c r="G169" s="32"/>
      <c r="H169" s="32"/>
      <c r="I169" s="32"/>
      <c r="J169" s="198"/>
      <c r="K169" s="188">
        <f t="shared" si="17"/>
        <v>0</v>
      </c>
      <c r="L169" s="189">
        <f t="shared" si="18"/>
        <v>0</v>
      </c>
      <c r="M169" s="22"/>
      <c r="N169" s="22"/>
    </row>
    <row r="170" spans="1:14" ht="13.5" customHeight="1" x14ac:dyDescent="0.25">
      <c r="A170" s="29"/>
      <c r="B170" s="221">
        <v>1213013</v>
      </c>
      <c r="C170" s="25" t="s">
        <v>68</v>
      </c>
      <c r="D170" s="27">
        <v>10</v>
      </c>
      <c r="E170" s="105">
        <f t="shared" si="16"/>
        <v>14700</v>
      </c>
      <c r="F170" s="2" t="s">
        <v>69</v>
      </c>
      <c r="G170" s="26"/>
      <c r="H170" s="26"/>
      <c r="I170" s="104">
        <v>2</v>
      </c>
      <c r="J170" s="187">
        <f>D170*$K$2*I170</f>
        <v>29400</v>
      </c>
      <c r="K170" s="188">
        <f t="shared" si="17"/>
        <v>32340.000000000004</v>
      </c>
      <c r="L170" s="189">
        <f t="shared" si="18"/>
        <v>24500</v>
      </c>
      <c r="M170" s="3"/>
      <c r="N170" s="4"/>
    </row>
    <row r="171" spans="1:14" ht="13.5" customHeight="1" x14ac:dyDescent="0.25">
      <c r="A171" s="86"/>
      <c r="B171" s="221" t="s">
        <v>395</v>
      </c>
      <c r="C171" s="85" t="s">
        <v>206</v>
      </c>
      <c r="D171" s="62">
        <v>33.799999999999997</v>
      </c>
      <c r="E171" s="105">
        <f t="shared" si="16"/>
        <v>49685.999999999993</v>
      </c>
      <c r="F171" s="63" t="s">
        <v>205</v>
      </c>
      <c r="G171" s="64"/>
      <c r="H171" s="64"/>
      <c r="I171" s="104">
        <v>1.35</v>
      </c>
      <c r="J171" s="187">
        <f>D171*$K$2*I171</f>
        <v>67076.099999999991</v>
      </c>
      <c r="K171" s="188">
        <f t="shared" si="17"/>
        <v>73783.709999999992</v>
      </c>
      <c r="L171" s="189">
        <f t="shared" si="18"/>
        <v>55896.749999999993</v>
      </c>
      <c r="M171" s="65"/>
      <c r="N171" s="66"/>
    </row>
    <row r="172" spans="1:14" ht="13.5" customHeight="1" x14ac:dyDescent="0.25">
      <c r="A172" s="29"/>
      <c r="B172" s="221">
        <v>1104014</v>
      </c>
      <c r="C172" s="25" t="s">
        <v>61</v>
      </c>
      <c r="D172" s="27">
        <v>19</v>
      </c>
      <c r="E172" s="105">
        <f t="shared" si="16"/>
        <v>27930</v>
      </c>
      <c r="F172" s="2" t="s">
        <v>70</v>
      </c>
      <c r="G172" s="26"/>
      <c r="H172" s="26"/>
      <c r="I172" s="104">
        <v>2</v>
      </c>
      <c r="J172" s="187">
        <f>D172*$K$2*I172</f>
        <v>55860</v>
      </c>
      <c r="K172" s="188">
        <f t="shared" si="17"/>
        <v>61446.000000000007</v>
      </c>
      <c r="L172" s="189">
        <f t="shared" si="18"/>
        <v>46550</v>
      </c>
      <c r="M172" s="3"/>
      <c r="N172" s="4"/>
    </row>
    <row r="173" spans="1:14" ht="13.5" customHeight="1" x14ac:dyDescent="0.25">
      <c r="A173" s="29"/>
      <c r="B173" s="221" t="s">
        <v>396</v>
      </c>
      <c r="C173" s="25" t="s">
        <v>8</v>
      </c>
      <c r="D173" s="27">
        <v>16</v>
      </c>
      <c r="E173" s="105">
        <f t="shared" si="16"/>
        <v>23520</v>
      </c>
      <c r="F173" s="2" t="s">
        <v>137</v>
      </c>
      <c r="G173" s="26"/>
      <c r="H173" s="26"/>
      <c r="I173" s="104">
        <v>2</v>
      </c>
      <c r="J173" s="187">
        <f>D173*$K$2*I173</f>
        <v>47040</v>
      </c>
      <c r="K173" s="188">
        <f t="shared" si="17"/>
        <v>51744.000000000007</v>
      </c>
      <c r="L173" s="189">
        <f t="shared" si="18"/>
        <v>39200</v>
      </c>
      <c r="M173" s="3"/>
      <c r="N173" s="4"/>
    </row>
    <row r="174" spans="1:14" ht="13.5" customHeight="1" x14ac:dyDescent="0.25">
      <c r="A174" s="29"/>
      <c r="B174" s="221">
        <v>1104015</v>
      </c>
      <c r="C174" s="25" t="s">
        <v>8</v>
      </c>
      <c r="D174" s="27">
        <v>6.5</v>
      </c>
      <c r="E174" s="105">
        <f t="shared" si="16"/>
        <v>9555</v>
      </c>
      <c r="F174" s="2" t="s">
        <v>136</v>
      </c>
      <c r="G174" s="26"/>
      <c r="H174" s="26"/>
      <c r="I174" s="104">
        <v>2</v>
      </c>
      <c r="J174" s="187">
        <f>D174*$K$2*I174</f>
        <v>19110</v>
      </c>
      <c r="K174" s="188">
        <f t="shared" si="17"/>
        <v>21021</v>
      </c>
      <c r="L174" s="189">
        <f t="shared" si="18"/>
        <v>15925</v>
      </c>
      <c r="M174" s="3"/>
      <c r="N174" s="4"/>
    </row>
    <row r="175" spans="1:14" ht="13.5" customHeight="1" x14ac:dyDescent="0.25">
      <c r="A175" s="43"/>
      <c r="B175" s="238">
        <v>1201018</v>
      </c>
      <c r="C175" s="31"/>
      <c r="D175" s="40"/>
      <c r="E175" s="105">
        <f t="shared" si="16"/>
        <v>0</v>
      </c>
      <c r="F175" s="20" t="s">
        <v>71</v>
      </c>
      <c r="G175" s="32"/>
      <c r="H175" s="32"/>
      <c r="I175" s="32"/>
      <c r="J175" s="22"/>
      <c r="K175" s="188">
        <f t="shared" si="17"/>
        <v>0</v>
      </c>
      <c r="L175" s="189">
        <f t="shared" si="18"/>
        <v>0</v>
      </c>
      <c r="M175" s="22"/>
      <c r="N175" s="22"/>
    </row>
    <row r="176" spans="1:14" ht="13.5" customHeight="1" x14ac:dyDescent="0.25">
      <c r="A176" s="29"/>
      <c r="B176" s="221">
        <v>1201028</v>
      </c>
      <c r="C176" s="25" t="s">
        <v>7</v>
      </c>
      <c r="D176" s="27">
        <v>8</v>
      </c>
      <c r="E176" s="105">
        <f t="shared" si="16"/>
        <v>11760</v>
      </c>
      <c r="F176" s="44" t="s">
        <v>72</v>
      </c>
      <c r="G176" s="26"/>
      <c r="H176" s="26"/>
      <c r="I176" s="104">
        <v>1.8</v>
      </c>
      <c r="J176" s="187">
        <f>D176*$K$2*I176</f>
        <v>21168</v>
      </c>
      <c r="K176" s="188">
        <f t="shared" si="17"/>
        <v>23284.800000000003</v>
      </c>
      <c r="L176" s="189">
        <f t="shared" si="18"/>
        <v>17640</v>
      </c>
      <c r="M176" s="3"/>
      <c r="N176" s="4"/>
    </row>
    <row r="177" spans="1:14" ht="13.5" customHeight="1" x14ac:dyDescent="0.25">
      <c r="A177" s="29"/>
      <c r="B177" s="221">
        <v>1115006</v>
      </c>
      <c r="C177" s="25" t="s">
        <v>7</v>
      </c>
      <c r="D177" s="27">
        <v>50</v>
      </c>
      <c r="E177" s="105">
        <f t="shared" si="16"/>
        <v>73500</v>
      </c>
      <c r="F177" s="2" t="s">
        <v>73</v>
      </c>
      <c r="G177" s="26"/>
      <c r="H177" s="26"/>
      <c r="I177" s="104">
        <v>1.8</v>
      </c>
      <c r="J177" s="187">
        <f>D177*$K$2*I177</f>
        <v>132300</v>
      </c>
      <c r="K177" s="188">
        <f t="shared" si="17"/>
        <v>145530</v>
      </c>
      <c r="L177" s="189">
        <f t="shared" si="18"/>
        <v>110250</v>
      </c>
      <c r="M177" s="3"/>
      <c r="N177" s="4"/>
    </row>
    <row r="178" spans="1:14" ht="13.5" customHeight="1" x14ac:dyDescent="0.25">
      <c r="A178" s="43"/>
      <c r="B178" s="238">
        <v>1211001</v>
      </c>
      <c r="C178" s="31"/>
      <c r="D178" s="40"/>
      <c r="E178" s="105">
        <f t="shared" si="16"/>
        <v>0</v>
      </c>
      <c r="F178" s="20" t="s">
        <v>74</v>
      </c>
      <c r="G178" s="32"/>
      <c r="H178" s="32"/>
      <c r="I178" s="32"/>
      <c r="J178" s="198"/>
      <c r="K178" s="188">
        <f t="shared" si="17"/>
        <v>0</v>
      </c>
      <c r="L178" s="189">
        <f t="shared" si="18"/>
        <v>0</v>
      </c>
      <c r="M178" s="22"/>
      <c r="N178" s="22"/>
    </row>
    <row r="179" spans="1:14" ht="13.5" customHeight="1" x14ac:dyDescent="0.25">
      <c r="A179" s="29">
        <v>40576</v>
      </c>
      <c r="B179" s="221">
        <v>1510002</v>
      </c>
      <c r="C179" s="45" t="s">
        <v>75</v>
      </c>
      <c r="D179" s="27">
        <v>29.95</v>
      </c>
      <c r="E179" s="105">
        <f t="shared" si="16"/>
        <v>44026.5</v>
      </c>
      <c r="F179" s="2" t="s">
        <v>76</v>
      </c>
      <c r="G179" s="26" t="s">
        <v>77</v>
      </c>
      <c r="H179" s="26" t="s">
        <v>78</v>
      </c>
      <c r="I179" s="104">
        <v>3.3000000000000003</v>
      </c>
      <c r="J179" s="187">
        <f t="shared" ref="J179:J184" si="23">D179*$K$2*I179</f>
        <v>145287.45000000001</v>
      </c>
      <c r="K179" s="188">
        <f t="shared" si="17"/>
        <v>159816.19500000004</v>
      </c>
      <c r="L179" s="189">
        <f t="shared" si="18"/>
        <v>121072.875</v>
      </c>
      <c r="M179" s="3"/>
      <c r="N179" s="4"/>
    </row>
    <row r="180" spans="1:14" ht="13.5" customHeight="1" x14ac:dyDescent="0.25">
      <c r="A180" s="29">
        <v>40576</v>
      </c>
      <c r="B180" s="221" t="s">
        <v>397</v>
      </c>
      <c r="C180" s="45" t="s">
        <v>75</v>
      </c>
      <c r="D180" s="27">
        <v>33</v>
      </c>
      <c r="E180" s="105">
        <f t="shared" si="16"/>
        <v>48510</v>
      </c>
      <c r="F180" s="2" t="s">
        <v>79</v>
      </c>
      <c r="G180" s="26" t="s">
        <v>77</v>
      </c>
      <c r="H180" s="26">
        <v>2650</v>
      </c>
      <c r="I180" s="104">
        <v>3.3</v>
      </c>
      <c r="J180" s="187">
        <f t="shared" si="23"/>
        <v>160083</v>
      </c>
      <c r="K180" s="188">
        <f t="shared" si="17"/>
        <v>176091.30000000002</v>
      </c>
      <c r="L180" s="189">
        <f t="shared" si="18"/>
        <v>133402.5</v>
      </c>
      <c r="M180" s="3"/>
      <c r="N180" s="4"/>
    </row>
    <row r="181" spans="1:14" ht="13.5" customHeight="1" x14ac:dyDescent="0.25">
      <c r="A181" s="29">
        <v>40576</v>
      </c>
      <c r="B181" s="221" t="s">
        <v>399</v>
      </c>
      <c r="C181" s="45" t="s">
        <v>75</v>
      </c>
      <c r="D181" s="27">
        <v>23</v>
      </c>
      <c r="E181" s="105">
        <f t="shared" si="16"/>
        <v>33810</v>
      </c>
      <c r="F181" s="2" t="s">
        <v>80</v>
      </c>
      <c r="G181" s="26" t="s">
        <v>77</v>
      </c>
      <c r="H181" s="26" t="s">
        <v>78</v>
      </c>
      <c r="I181" s="104">
        <v>3.3</v>
      </c>
      <c r="J181" s="187">
        <f t="shared" si="23"/>
        <v>111573</v>
      </c>
      <c r="K181" s="188">
        <f t="shared" si="17"/>
        <v>122730.3</v>
      </c>
      <c r="L181" s="189">
        <f t="shared" si="18"/>
        <v>92977.5</v>
      </c>
      <c r="M181" s="3"/>
      <c r="N181" s="4"/>
    </row>
    <row r="182" spans="1:14" ht="13.5" customHeight="1" x14ac:dyDescent="0.25">
      <c r="A182" s="29">
        <v>40576</v>
      </c>
      <c r="B182" s="221" t="s">
        <v>412</v>
      </c>
      <c r="C182" s="45" t="s">
        <v>75</v>
      </c>
      <c r="D182" s="27">
        <v>25</v>
      </c>
      <c r="E182" s="105">
        <f t="shared" si="16"/>
        <v>36750</v>
      </c>
      <c r="F182" s="2" t="s">
        <v>81</v>
      </c>
      <c r="G182" s="26" t="s">
        <v>77</v>
      </c>
      <c r="H182" s="26">
        <v>2650</v>
      </c>
      <c r="I182" s="104">
        <v>3.3000000000000003</v>
      </c>
      <c r="J182" s="187">
        <f t="shared" si="23"/>
        <v>121275.00000000001</v>
      </c>
      <c r="K182" s="188">
        <f t="shared" si="17"/>
        <v>133402.50000000003</v>
      </c>
      <c r="L182" s="189">
        <f t="shared" si="18"/>
        <v>101062.50000000001</v>
      </c>
      <c r="M182" s="3"/>
      <c r="N182" s="4"/>
    </row>
    <row r="183" spans="1:14" ht="13.5" customHeight="1" x14ac:dyDescent="0.25">
      <c r="A183" s="29">
        <v>40576</v>
      </c>
      <c r="B183" s="221">
        <v>1205013</v>
      </c>
      <c r="C183" s="45" t="s">
        <v>75</v>
      </c>
      <c r="D183" s="27">
        <v>16</v>
      </c>
      <c r="E183" s="105">
        <f t="shared" si="16"/>
        <v>23520</v>
      </c>
      <c r="F183" s="2" t="s">
        <v>82</v>
      </c>
      <c r="G183" s="26" t="s">
        <v>77</v>
      </c>
      <c r="H183" s="26" t="s">
        <v>78</v>
      </c>
      <c r="I183" s="104">
        <v>3.3</v>
      </c>
      <c r="J183" s="187">
        <f t="shared" si="23"/>
        <v>77616</v>
      </c>
      <c r="K183" s="188">
        <f t="shared" si="17"/>
        <v>85377.600000000006</v>
      </c>
      <c r="L183" s="189">
        <f t="shared" si="18"/>
        <v>64680</v>
      </c>
      <c r="M183" s="3"/>
      <c r="N183" s="4"/>
    </row>
    <row r="184" spans="1:14" ht="13.5" customHeight="1" x14ac:dyDescent="0.25">
      <c r="A184" s="29">
        <v>40576</v>
      </c>
      <c r="B184" s="221">
        <v>1206005</v>
      </c>
      <c r="C184" s="45" t="s">
        <v>75</v>
      </c>
      <c r="D184" s="27">
        <v>24</v>
      </c>
      <c r="E184" s="105">
        <f t="shared" si="16"/>
        <v>35280</v>
      </c>
      <c r="F184" s="2" t="s">
        <v>82</v>
      </c>
      <c r="G184" s="26" t="s">
        <v>77</v>
      </c>
      <c r="H184" s="26">
        <v>2650</v>
      </c>
      <c r="I184" s="104">
        <v>3.3</v>
      </c>
      <c r="J184" s="187">
        <f t="shared" si="23"/>
        <v>116424</v>
      </c>
      <c r="K184" s="188">
        <f t="shared" si="17"/>
        <v>128066.40000000001</v>
      </c>
      <c r="L184" s="189">
        <f t="shared" si="18"/>
        <v>97020</v>
      </c>
      <c r="M184" s="3"/>
      <c r="N184" s="4"/>
    </row>
    <row r="185" spans="1:14" ht="13.5" customHeight="1" x14ac:dyDescent="0.25">
      <c r="A185" s="43"/>
      <c r="B185" s="238">
        <v>1219001</v>
      </c>
      <c r="C185" s="31"/>
      <c r="D185" s="40"/>
      <c r="E185" s="105">
        <f t="shared" si="16"/>
        <v>0</v>
      </c>
      <c r="F185" s="20" t="s">
        <v>83</v>
      </c>
      <c r="G185" s="32"/>
      <c r="H185" s="32"/>
      <c r="I185" s="32"/>
      <c r="J185" s="198"/>
      <c r="K185" s="188">
        <f t="shared" si="17"/>
        <v>0</v>
      </c>
      <c r="L185" s="189">
        <f t="shared" si="18"/>
        <v>0</v>
      </c>
      <c r="M185" s="22"/>
      <c r="N185" s="22"/>
    </row>
    <row r="186" spans="1:14" ht="13.5" customHeight="1" x14ac:dyDescent="0.25">
      <c r="A186" s="70"/>
      <c r="B186" s="239" t="s">
        <v>257</v>
      </c>
      <c r="C186" s="77" t="s">
        <v>10</v>
      </c>
      <c r="D186" s="77"/>
      <c r="E186" s="105">
        <f t="shared" si="16"/>
        <v>0</v>
      </c>
      <c r="F186" s="99" t="s">
        <v>255</v>
      </c>
      <c r="G186" s="26" t="s">
        <v>10</v>
      </c>
      <c r="I186" s="104"/>
      <c r="J186" s="187">
        <v>91133</v>
      </c>
      <c r="K186" s="188">
        <f t="shared" si="17"/>
        <v>100246.3</v>
      </c>
      <c r="L186" s="189">
        <f t="shared" si="18"/>
        <v>75944.166666666672</v>
      </c>
      <c r="M186" s="3">
        <f t="shared" ref="M186:M205" si="24">D186*1.4</f>
        <v>0</v>
      </c>
      <c r="N186" s="4"/>
    </row>
    <row r="187" spans="1:14" ht="13.5" customHeight="1" x14ac:dyDescent="0.25">
      <c r="A187" s="71"/>
      <c r="B187" s="239" t="s">
        <v>258</v>
      </c>
      <c r="C187" s="77" t="s">
        <v>10</v>
      </c>
      <c r="D187" s="77"/>
      <c r="E187" s="105">
        <f t="shared" si="16"/>
        <v>0</v>
      </c>
      <c r="F187" s="99" t="s">
        <v>234</v>
      </c>
      <c r="G187" s="26" t="s">
        <v>10</v>
      </c>
      <c r="I187" s="104"/>
      <c r="J187" s="187">
        <v>95763</v>
      </c>
      <c r="K187" s="188">
        <f t="shared" si="17"/>
        <v>105339.3</v>
      </c>
      <c r="L187" s="189">
        <f t="shared" si="18"/>
        <v>79802.5</v>
      </c>
      <c r="M187" s="3">
        <f t="shared" si="24"/>
        <v>0</v>
      </c>
      <c r="N187" s="4"/>
    </row>
    <row r="188" spans="1:14" ht="13.5" customHeight="1" x14ac:dyDescent="0.25">
      <c r="A188" s="71"/>
      <c r="B188" s="239" t="s">
        <v>259</v>
      </c>
      <c r="C188" s="77" t="s">
        <v>10</v>
      </c>
      <c r="D188" s="77"/>
      <c r="E188" s="105">
        <f t="shared" si="16"/>
        <v>0</v>
      </c>
      <c r="F188" s="99" t="s">
        <v>235</v>
      </c>
      <c r="G188" s="26" t="s">
        <v>10</v>
      </c>
      <c r="I188" s="104"/>
      <c r="J188" s="187">
        <v>9434</v>
      </c>
      <c r="K188" s="188">
        <f t="shared" si="17"/>
        <v>10377.400000000001</v>
      </c>
      <c r="L188" s="189">
        <f t="shared" si="18"/>
        <v>7861.666666666667</v>
      </c>
      <c r="M188" s="3">
        <f>D188*1.4</f>
        <v>0</v>
      </c>
      <c r="N188" s="4"/>
    </row>
    <row r="189" spans="1:14" ht="13.5" customHeight="1" x14ac:dyDescent="0.25">
      <c r="A189" s="71"/>
      <c r="B189" s="240" t="s">
        <v>260</v>
      </c>
      <c r="C189" s="77" t="s">
        <v>10</v>
      </c>
      <c r="D189" s="77"/>
      <c r="E189" s="105">
        <f t="shared" si="16"/>
        <v>0</v>
      </c>
      <c r="F189" s="99" t="s">
        <v>236</v>
      </c>
      <c r="G189" s="26" t="s">
        <v>10</v>
      </c>
      <c r="I189" s="104"/>
      <c r="J189" s="187">
        <v>9434</v>
      </c>
      <c r="K189" s="188">
        <f t="shared" si="17"/>
        <v>10377.400000000001</v>
      </c>
      <c r="L189" s="189">
        <f t="shared" si="18"/>
        <v>7861.666666666667</v>
      </c>
      <c r="M189" s="3">
        <f>D189*1.4</f>
        <v>0</v>
      </c>
      <c r="N189" s="4"/>
    </row>
    <row r="190" spans="1:14" ht="13.5" customHeight="1" x14ac:dyDescent="0.25">
      <c r="A190" s="72"/>
      <c r="B190" s="240" t="s">
        <v>261</v>
      </c>
      <c r="C190" s="77" t="s">
        <v>10</v>
      </c>
      <c r="D190" s="77"/>
      <c r="E190" s="105">
        <f t="shared" si="16"/>
        <v>0</v>
      </c>
      <c r="F190" s="99" t="s">
        <v>237</v>
      </c>
      <c r="G190" s="26" t="s">
        <v>10</v>
      </c>
      <c r="I190" s="104"/>
      <c r="J190" s="187">
        <v>6561</v>
      </c>
      <c r="K190" s="188">
        <f t="shared" si="17"/>
        <v>7217.1</v>
      </c>
      <c r="L190" s="189">
        <f t="shared" si="18"/>
        <v>5467.5</v>
      </c>
      <c r="M190" s="3">
        <f t="shared" si="24"/>
        <v>0</v>
      </c>
      <c r="N190" s="4"/>
    </row>
    <row r="191" spans="1:14" ht="13.5" customHeight="1" x14ac:dyDescent="0.25">
      <c r="A191" s="73">
        <v>43677</v>
      </c>
      <c r="B191" s="240" t="s">
        <v>262</v>
      </c>
      <c r="C191" s="77" t="s">
        <v>10</v>
      </c>
      <c r="D191" s="78"/>
      <c r="E191" s="105">
        <f t="shared" si="16"/>
        <v>0</v>
      </c>
      <c r="F191" s="99" t="s">
        <v>238</v>
      </c>
      <c r="G191" s="26" t="s">
        <v>10</v>
      </c>
      <c r="I191" s="104"/>
      <c r="J191" s="187">
        <v>13649</v>
      </c>
      <c r="K191" s="188">
        <f t="shared" si="17"/>
        <v>15013.900000000001</v>
      </c>
      <c r="L191" s="189">
        <f t="shared" si="18"/>
        <v>11374.166666666666</v>
      </c>
      <c r="M191" s="3"/>
      <c r="N191" s="4"/>
    </row>
    <row r="192" spans="1:14" ht="13.5" customHeight="1" x14ac:dyDescent="0.25">
      <c r="A192" s="73">
        <v>43677</v>
      </c>
      <c r="B192" s="240" t="s">
        <v>263</v>
      </c>
      <c r="C192" s="77" t="s">
        <v>10</v>
      </c>
      <c r="D192" s="78"/>
      <c r="E192" s="105">
        <f t="shared" si="16"/>
        <v>0</v>
      </c>
      <c r="F192" s="99" t="s">
        <v>239</v>
      </c>
      <c r="G192" s="26" t="s">
        <v>10</v>
      </c>
      <c r="I192" s="104"/>
      <c r="J192" s="187">
        <v>14933</v>
      </c>
      <c r="K192" s="188">
        <f t="shared" si="17"/>
        <v>16426.300000000003</v>
      </c>
      <c r="L192" s="189">
        <f t="shared" si="18"/>
        <v>12444.166666666666</v>
      </c>
      <c r="M192" s="3"/>
      <c r="N192" s="4"/>
    </row>
    <row r="193" spans="1:14" ht="13.5" customHeight="1" x14ac:dyDescent="0.25">
      <c r="A193" s="74"/>
      <c r="B193" s="240" t="s">
        <v>264</v>
      </c>
      <c r="C193" s="77" t="s">
        <v>10</v>
      </c>
      <c r="D193" s="77"/>
      <c r="E193" s="105">
        <f t="shared" si="16"/>
        <v>0</v>
      </c>
      <c r="F193" s="99" t="s">
        <v>240</v>
      </c>
      <c r="G193" s="26" t="s">
        <v>10</v>
      </c>
      <c r="I193" s="104"/>
      <c r="J193" s="187">
        <v>30251</v>
      </c>
      <c r="K193" s="188">
        <f t="shared" si="17"/>
        <v>33276.100000000006</v>
      </c>
      <c r="L193" s="189">
        <f t="shared" si="18"/>
        <v>25209.166666666668</v>
      </c>
      <c r="M193" s="3">
        <f t="shared" si="24"/>
        <v>0</v>
      </c>
      <c r="N193" s="4"/>
    </row>
    <row r="194" spans="1:14" ht="13.5" customHeight="1" x14ac:dyDescent="0.25">
      <c r="A194" s="75"/>
      <c r="B194" s="240" t="s">
        <v>265</v>
      </c>
      <c r="C194" s="77" t="s">
        <v>10</v>
      </c>
      <c r="D194" s="77"/>
      <c r="E194" s="105">
        <f t="shared" si="16"/>
        <v>0</v>
      </c>
      <c r="F194" s="99" t="s">
        <v>241</v>
      </c>
      <c r="G194" s="26" t="s">
        <v>10</v>
      </c>
      <c r="I194" s="104"/>
      <c r="J194" s="187">
        <v>30539</v>
      </c>
      <c r="K194" s="188">
        <f t="shared" si="17"/>
        <v>33592.9</v>
      </c>
      <c r="L194" s="189">
        <f t="shared" si="18"/>
        <v>25449.166666666668</v>
      </c>
      <c r="M194" s="3">
        <f t="shared" si="24"/>
        <v>0</v>
      </c>
      <c r="N194" s="4"/>
    </row>
    <row r="195" spans="1:14" ht="13.5" customHeight="1" x14ac:dyDescent="0.25">
      <c r="A195" s="74"/>
      <c r="B195" s="240" t="s">
        <v>266</v>
      </c>
      <c r="C195" s="77" t="s">
        <v>10</v>
      </c>
      <c r="D195" s="77"/>
      <c r="E195" s="105">
        <f t="shared" si="16"/>
        <v>0</v>
      </c>
      <c r="F195" s="99" t="s">
        <v>242</v>
      </c>
      <c r="G195" s="26" t="s">
        <v>10</v>
      </c>
      <c r="I195" s="104"/>
      <c r="J195" s="187">
        <v>5427</v>
      </c>
      <c r="K195" s="188">
        <f t="shared" si="17"/>
        <v>5969.7000000000007</v>
      </c>
      <c r="L195" s="189">
        <f t="shared" si="18"/>
        <v>4522.5</v>
      </c>
      <c r="M195" s="3">
        <f t="shared" si="24"/>
        <v>0</v>
      </c>
      <c r="N195" s="4"/>
    </row>
    <row r="196" spans="1:14" ht="13.5" customHeight="1" x14ac:dyDescent="0.25">
      <c r="A196" s="76"/>
      <c r="B196" s="240" t="s">
        <v>267</v>
      </c>
      <c r="C196" s="77" t="s">
        <v>10</v>
      </c>
      <c r="D196" s="77"/>
      <c r="E196" s="105">
        <f t="shared" si="16"/>
        <v>0</v>
      </c>
      <c r="F196" s="99" t="s">
        <v>243</v>
      </c>
      <c r="G196" s="26" t="s">
        <v>10</v>
      </c>
      <c r="I196" s="104"/>
      <c r="J196" s="187">
        <v>3362</v>
      </c>
      <c r="K196" s="188">
        <f t="shared" si="17"/>
        <v>3698.2000000000003</v>
      </c>
      <c r="L196" s="189">
        <f t="shared" si="18"/>
        <v>2801.6666666666665</v>
      </c>
      <c r="M196" s="3">
        <f t="shared" si="24"/>
        <v>0</v>
      </c>
      <c r="N196" s="4"/>
    </row>
    <row r="197" spans="1:14" ht="13.5" customHeight="1" x14ac:dyDescent="0.25">
      <c r="A197" s="74"/>
      <c r="B197" s="240" t="s">
        <v>268</v>
      </c>
      <c r="C197" s="77" t="s">
        <v>10</v>
      </c>
      <c r="D197" s="77"/>
      <c r="E197" s="105">
        <f t="shared" si="16"/>
        <v>0</v>
      </c>
      <c r="F197" s="99" t="s">
        <v>244</v>
      </c>
      <c r="G197" s="26" t="s">
        <v>10</v>
      </c>
      <c r="I197" s="104"/>
      <c r="J197" s="187">
        <v>539</v>
      </c>
      <c r="K197" s="188">
        <f t="shared" si="17"/>
        <v>592.90000000000009</v>
      </c>
      <c r="L197" s="189">
        <f t="shared" si="18"/>
        <v>449.16666666666669</v>
      </c>
      <c r="M197" s="3">
        <f t="shared" si="24"/>
        <v>0</v>
      </c>
      <c r="N197" s="4"/>
    </row>
    <row r="198" spans="1:14" ht="13.5" customHeight="1" x14ac:dyDescent="0.25">
      <c r="A198" s="74"/>
      <c r="B198" s="240" t="s">
        <v>269</v>
      </c>
      <c r="C198" s="77"/>
      <c r="D198" s="77"/>
      <c r="E198" s="105">
        <f t="shared" ref="E198:E243" si="25">D198*$K$2</f>
        <v>0</v>
      </c>
      <c r="F198" s="99" t="s">
        <v>279</v>
      </c>
      <c r="G198" s="26" t="s">
        <v>10</v>
      </c>
      <c r="I198" s="104"/>
      <c r="J198" s="187">
        <v>2546</v>
      </c>
      <c r="K198" s="188">
        <f t="shared" si="17"/>
        <v>2800.6000000000004</v>
      </c>
      <c r="L198" s="189">
        <f t="shared" si="18"/>
        <v>2121.6666666666665</v>
      </c>
      <c r="M198" s="65"/>
      <c r="N198" s="66"/>
    </row>
    <row r="199" spans="1:14" ht="13.5" customHeight="1" x14ac:dyDescent="0.25">
      <c r="A199" s="75"/>
      <c r="B199" s="240" t="s">
        <v>270</v>
      </c>
      <c r="C199" s="77" t="s">
        <v>10</v>
      </c>
      <c r="D199" s="77"/>
      <c r="E199" s="105">
        <f t="shared" si="25"/>
        <v>0</v>
      </c>
      <c r="F199" s="99" t="s">
        <v>245</v>
      </c>
      <c r="G199" s="26" t="s">
        <v>10</v>
      </c>
      <c r="I199" s="104"/>
      <c r="J199" s="187">
        <v>2862</v>
      </c>
      <c r="K199" s="188">
        <f t="shared" ref="K199:K262" si="26">J199*1.1</f>
        <v>3148.2000000000003</v>
      </c>
      <c r="L199" s="189">
        <f t="shared" ref="L199:L262" si="27">J199*5/6</f>
        <v>2385</v>
      </c>
      <c r="M199" s="3">
        <f t="shared" si="24"/>
        <v>0</v>
      </c>
      <c r="N199" s="4"/>
    </row>
    <row r="200" spans="1:14" ht="13.5" customHeight="1" x14ac:dyDescent="0.25">
      <c r="A200" s="74"/>
      <c r="B200" s="240" t="s">
        <v>271</v>
      </c>
      <c r="C200" s="77" t="s">
        <v>10</v>
      </c>
      <c r="D200" s="77"/>
      <c r="E200" s="105">
        <f t="shared" si="25"/>
        <v>0</v>
      </c>
      <c r="F200" s="99" t="s">
        <v>246</v>
      </c>
      <c r="G200" s="26" t="s">
        <v>10</v>
      </c>
      <c r="I200" s="104"/>
      <c r="J200" s="187">
        <v>16949</v>
      </c>
      <c r="K200" s="188">
        <f t="shared" si="26"/>
        <v>18643.900000000001</v>
      </c>
      <c r="L200" s="189">
        <f t="shared" si="27"/>
        <v>14124.166666666666</v>
      </c>
      <c r="M200" s="3">
        <f t="shared" si="24"/>
        <v>0</v>
      </c>
      <c r="N200" s="4"/>
    </row>
    <row r="201" spans="1:14" ht="13.5" customHeight="1" x14ac:dyDescent="0.25">
      <c r="A201" s="74"/>
      <c r="B201" s="240" t="s">
        <v>272</v>
      </c>
      <c r="C201" s="77" t="s">
        <v>10</v>
      </c>
      <c r="D201" s="77"/>
      <c r="E201" s="105">
        <f t="shared" si="25"/>
        <v>0</v>
      </c>
      <c r="F201" s="99" t="s">
        <v>247</v>
      </c>
      <c r="G201" s="26" t="s">
        <v>10</v>
      </c>
      <c r="I201" s="104"/>
      <c r="J201" s="187">
        <v>26861</v>
      </c>
      <c r="K201" s="188">
        <f t="shared" si="26"/>
        <v>29547.100000000002</v>
      </c>
      <c r="L201" s="189">
        <f t="shared" si="27"/>
        <v>22384.166666666668</v>
      </c>
      <c r="M201" s="3">
        <f t="shared" si="24"/>
        <v>0</v>
      </c>
      <c r="N201" s="4"/>
    </row>
    <row r="202" spans="1:14" ht="13.5" customHeight="1" x14ac:dyDescent="0.25">
      <c r="A202" s="74"/>
      <c r="B202" s="240" t="s">
        <v>273</v>
      </c>
      <c r="C202" s="77" t="s">
        <v>10</v>
      </c>
      <c r="D202" s="77"/>
      <c r="E202" s="105">
        <f t="shared" si="25"/>
        <v>0</v>
      </c>
      <c r="F202" s="99" t="s">
        <v>248</v>
      </c>
      <c r="G202" s="26" t="s">
        <v>10</v>
      </c>
      <c r="I202" s="104"/>
      <c r="J202" s="187">
        <v>75099</v>
      </c>
      <c r="K202" s="188">
        <f t="shared" si="26"/>
        <v>82608.900000000009</v>
      </c>
      <c r="L202" s="189">
        <f t="shared" si="27"/>
        <v>62582.5</v>
      </c>
      <c r="M202" s="3">
        <f t="shared" si="24"/>
        <v>0</v>
      </c>
      <c r="N202" s="4">
        <f>D202*1.5*1.21</f>
        <v>0</v>
      </c>
    </row>
    <row r="203" spans="1:14" ht="13.5" customHeight="1" x14ac:dyDescent="0.25">
      <c r="A203" s="75"/>
      <c r="B203" s="240" t="s">
        <v>274</v>
      </c>
      <c r="C203" s="77" t="s">
        <v>10</v>
      </c>
      <c r="D203" s="77"/>
      <c r="E203" s="105">
        <f t="shared" si="25"/>
        <v>0</v>
      </c>
      <c r="F203" s="99" t="s">
        <v>249</v>
      </c>
      <c r="G203" s="26" t="s">
        <v>10</v>
      </c>
      <c r="I203" s="104"/>
      <c r="J203" s="187">
        <v>3602</v>
      </c>
      <c r="K203" s="188">
        <f t="shared" si="26"/>
        <v>3962.2000000000003</v>
      </c>
      <c r="L203" s="189">
        <f t="shared" si="27"/>
        <v>3001.6666666666665</v>
      </c>
      <c r="M203" s="3">
        <f t="shared" si="24"/>
        <v>0</v>
      </c>
      <c r="N203" s="4"/>
    </row>
    <row r="204" spans="1:14" ht="13.5" customHeight="1" x14ac:dyDescent="0.25">
      <c r="A204" s="75"/>
      <c r="B204" s="240" t="s">
        <v>275</v>
      </c>
      <c r="C204" s="77" t="s">
        <v>10</v>
      </c>
      <c r="D204" s="77"/>
      <c r="E204" s="105">
        <f t="shared" si="25"/>
        <v>0</v>
      </c>
      <c r="F204" s="99" t="s">
        <v>250</v>
      </c>
      <c r="G204" s="26" t="s">
        <v>10</v>
      </c>
      <c r="I204" s="104"/>
      <c r="J204" s="187">
        <v>1428</v>
      </c>
      <c r="K204" s="188">
        <f t="shared" si="26"/>
        <v>1570.8000000000002</v>
      </c>
      <c r="L204" s="189">
        <f t="shared" si="27"/>
        <v>1190</v>
      </c>
      <c r="M204" s="3">
        <f t="shared" si="24"/>
        <v>0</v>
      </c>
      <c r="N204" s="4"/>
    </row>
    <row r="205" spans="1:14" ht="13.5" customHeight="1" x14ac:dyDescent="0.25">
      <c r="A205" s="74"/>
      <c r="B205" s="240" t="s">
        <v>276</v>
      </c>
      <c r="C205" s="77" t="s">
        <v>10</v>
      </c>
      <c r="D205" s="77"/>
      <c r="E205" s="105">
        <f t="shared" si="25"/>
        <v>0</v>
      </c>
      <c r="F205" s="99" t="s">
        <v>251</v>
      </c>
      <c r="G205" s="26" t="s">
        <v>10</v>
      </c>
      <c r="I205" s="104"/>
      <c r="J205" s="187">
        <v>2862</v>
      </c>
      <c r="K205" s="188">
        <f t="shared" si="26"/>
        <v>3148.2000000000003</v>
      </c>
      <c r="L205" s="189">
        <f t="shared" si="27"/>
        <v>2385</v>
      </c>
      <c r="M205" s="3">
        <f t="shared" si="24"/>
        <v>0</v>
      </c>
      <c r="N205" s="4"/>
    </row>
    <row r="206" spans="1:14" ht="13.5" customHeight="1" x14ac:dyDescent="0.25">
      <c r="A206" s="74"/>
      <c r="B206" s="240" t="s">
        <v>277</v>
      </c>
      <c r="C206" s="77"/>
      <c r="D206" s="77"/>
      <c r="E206" s="105">
        <f t="shared" si="25"/>
        <v>0</v>
      </c>
      <c r="F206" s="99" t="s">
        <v>252</v>
      </c>
      <c r="G206" s="26" t="s">
        <v>10</v>
      </c>
      <c r="I206" s="104"/>
      <c r="J206" s="187">
        <v>606</v>
      </c>
      <c r="K206" s="188">
        <f t="shared" si="26"/>
        <v>666.6</v>
      </c>
      <c r="L206" s="189">
        <f t="shared" si="27"/>
        <v>505</v>
      </c>
      <c r="M206" s="65"/>
      <c r="N206" s="66"/>
    </row>
    <row r="207" spans="1:14" ht="13.5" customHeight="1" x14ac:dyDescent="0.25">
      <c r="A207" s="74"/>
      <c r="B207" s="240" t="s">
        <v>278</v>
      </c>
      <c r="C207" s="77"/>
      <c r="D207" s="77"/>
      <c r="E207" s="105">
        <f t="shared" si="25"/>
        <v>0</v>
      </c>
      <c r="F207" s="99" t="s">
        <v>253</v>
      </c>
      <c r="G207" s="26" t="s">
        <v>10</v>
      </c>
      <c r="I207" s="104"/>
      <c r="J207" s="187">
        <v>180480</v>
      </c>
      <c r="K207" s="188">
        <f t="shared" si="26"/>
        <v>198528.00000000003</v>
      </c>
      <c r="L207" s="189">
        <f t="shared" si="27"/>
        <v>150400</v>
      </c>
      <c r="M207" s="65"/>
      <c r="N207" s="66"/>
    </row>
    <row r="208" spans="1:14" ht="13.5" customHeight="1" x14ac:dyDescent="0.25">
      <c r="A208" s="74"/>
      <c r="B208" s="240" t="s">
        <v>256</v>
      </c>
      <c r="C208" s="77"/>
      <c r="D208" s="77"/>
      <c r="E208" s="105">
        <f t="shared" si="25"/>
        <v>0</v>
      </c>
      <c r="F208" s="99" t="s">
        <v>254</v>
      </c>
      <c r="G208" s="26" t="s">
        <v>10</v>
      </c>
      <c r="I208" s="104"/>
      <c r="J208" s="187">
        <v>2040</v>
      </c>
      <c r="K208" s="188">
        <f t="shared" si="26"/>
        <v>2244</v>
      </c>
      <c r="L208" s="189">
        <f t="shared" si="27"/>
        <v>1700</v>
      </c>
      <c r="M208" s="65"/>
      <c r="N208" s="66"/>
    </row>
    <row r="209" spans="1:16" ht="13.5" customHeight="1" x14ac:dyDescent="0.25">
      <c r="A209" s="43"/>
      <c r="B209" s="238">
        <v>1219002</v>
      </c>
      <c r="C209" s="31"/>
      <c r="D209" s="31"/>
      <c r="E209" s="105">
        <f t="shared" si="25"/>
        <v>0</v>
      </c>
      <c r="F209" s="20" t="s">
        <v>91</v>
      </c>
      <c r="G209" s="32"/>
      <c r="H209" s="32"/>
      <c r="I209" s="32"/>
      <c r="J209" s="198"/>
      <c r="K209" s="198"/>
      <c r="L209" s="198"/>
      <c r="M209" s="22"/>
      <c r="N209" s="22"/>
    </row>
    <row r="210" spans="1:16" ht="13.5" customHeight="1" x14ac:dyDescent="0.25">
      <c r="A210" s="30">
        <v>41197</v>
      </c>
      <c r="B210" s="222">
        <v>1208031</v>
      </c>
      <c r="C210" s="25" t="s">
        <v>11</v>
      </c>
      <c r="D210" s="27">
        <v>11.06</v>
      </c>
      <c r="E210" s="105">
        <f t="shared" si="25"/>
        <v>16258.2</v>
      </c>
      <c r="F210" s="5" t="s">
        <v>13</v>
      </c>
      <c r="G210" s="26" t="s">
        <v>12</v>
      </c>
      <c r="H210" s="46" t="s">
        <v>14</v>
      </c>
      <c r="I210" s="104">
        <v>1.2</v>
      </c>
      <c r="J210" s="187">
        <f>D210*$K$2*I210</f>
        <v>19509.84</v>
      </c>
      <c r="K210" s="188">
        <f t="shared" si="26"/>
        <v>21460.824000000001</v>
      </c>
      <c r="L210" s="189">
        <f t="shared" si="27"/>
        <v>16258.199999999999</v>
      </c>
      <c r="M210" s="3">
        <f>D210*$C$5*1.4</f>
        <v>0</v>
      </c>
      <c r="N210" s="4">
        <f>D210*$C$5*1.5*1.21</f>
        <v>0</v>
      </c>
    </row>
    <row r="211" spans="1:16" ht="13.5" customHeight="1" x14ac:dyDescent="0.25">
      <c r="A211" s="33">
        <v>41297</v>
      </c>
      <c r="B211" s="241">
        <v>1104016</v>
      </c>
      <c r="C211" s="25" t="s">
        <v>11</v>
      </c>
      <c r="D211" s="27">
        <v>7.13</v>
      </c>
      <c r="E211" s="105">
        <f t="shared" si="25"/>
        <v>10481.1</v>
      </c>
      <c r="F211" s="2" t="s">
        <v>92</v>
      </c>
      <c r="G211" s="26" t="s">
        <v>12</v>
      </c>
      <c r="H211" s="47" t="s">
        <v>93</v>
      </c>
      <c r="I211" s="104">
        <v>1.2</v>
      </c>
      <c r="J211" s="187">
        <f>D211*$K$2*I211</f>
        <v>12577.32</v>
      </c>
      <c r="K211" s="188">
        <f t="shared" si="26"/>
        <v>13835.052000000001</v>
      </c>
      <c r="L211" s="189">
        <f t="shared" si="27"/>
        <v>10481.1</v>
      </c>
      <c r="M211" s="3">
        <f>D211*$C$5*1.4</f>
        <v>0</v>
      </c>
      <c r="N211" s="4">
        <f>D211*$C$5*1.5*1.21</f>
        <v>0</v>
      </c>
    </row>
    <row r="212" spans="1:16" ht="13.5" customHeight="1" x14ac:dyDescent="0.25">
      <c r="A212" s="48">
        <v>41557</v>
      </c>
      <c r="B212" s="242">
        <v>1104030</v>
      </c>
      <c r="C212" s="25" t="s">
        <v>11</v>
      </c>
      <c r="D212" s="27">
        <v>6.42</v>
      </c>
      <c r="E212" s="105">
        <f t="shared" si="25"/>
        <v>9437.4</v>
      </c>
      <c r="F212" s="2" t="s">
        <v>94</v>
      </c>
      <c r="G212" s="26" t="s">
        <v>12</v>
      </c>
      <c r="H212" s="49" t="s">
        <v>95</v>
      </c>
      <c r="I212" s="104">
        <v>1.2</v>
      </c>
      <c r="J212" s="187">
        <f>D212*$K$2*I212</f>
        <v>11324.88</v>
      </c>
      <c r="K212" s="188">
        <f t="shared" si="26"/>
        <v>12457.368</v>
      </c>
      <c r="L212" s="189">
        <f t="shared" si="27"/>
        <v>9437.4</v>
      </c>
      <c r="M212" s="3">
        <f>D212*$C$5*1.4</f>
        <v>0</v>
      </c>
      <c r="N212" s="4">
        <f>D212*$C$5*1.5*1.21</f>
        <v>0</v>
      </c>
    </row>
    <row r="213" spans="1:16" ht="13.5" customHeight="1" x14ac:dyDescent="0.25">
      <c r="A213" s="43"/>
      <c r="B213" s="243">
        <v>1206088</v>
      </c>
      <c r="C213" s="42"/>
      <c r="D213" s="31"/>
      <c r="E213" s="105">
        <f t="shared" si="25"/>
        <v>0</v>
      </c>
      <c r="F213" s="20" t="s">
        <v>96</v>
      </c>
      <c r="G213" s="32"/>
      <c r="H213" s="32"/>
      <c r="I213" s="32"/>
      <c r="J213" s="199"/>
      <c r="K213" s="199"/>
      <c r="L213" s="199"/>
      <c r="M213" s="22"/>
      <c r="N213" s="22"/>
    </row>
    <row r="214" spans="1:16" ht="13.5" customHeight="1" x14ac:dyDescent="0.25">
      <c r="A214" s="23">
        <v>40646</v>
      </c>
      <c r="B214" s="208" t="s">
        <v>435</v>
      </c>
      <c r="C214" s="24" t="s">
        <v>8</v>
      </c>
      <c r="D214" s="27">
        <v>6.3</v>
      </c>
      <c r="E214" s="105">
        <f t="shared" si="25"/>
        <v>9261</v>
      </c>
      <c r="F214" s="2" t="s">
        <v>97</v>
      </c>
      <c r="G214" s="26"/>
      <c r="H214" s="26"/>
      <c r="I214" s="104">
        <v>1.2</v>
      </c>
      <c r="J214" s="187">
        <f>D214*$K$2*I214</f>
        <v>11113.199999999999</v>
      </c>
      <c r="K214" s="188">
        <f t="shared" si="26"/>
        <v>12224.52</v>
      </c>
      <c r="L214" s="189">
        <f t="shared" si="27"/>
        <v>9260.9999999999982</v>
      </c>
      <c r="M214" s="3">
        <f>D214*$C$5*1.4</f>
        <v>0</v>
      </c>
      <c r="N214" s="4">
        <f>D214*$C$5*1.5*1.21</f>
        <v>0</v>
      </c>
    </row>
    <row r="215" spans="1:16" ht="13.5" customHeight="1" x14ac:dyDescent="0.25">
      <c r="A215" s="43"/>
      <c r="B215" s="243">
        <v>1219003</v>
      </c>
      <c r="C215" s="42"/>
      <c r="D215" s="31"/>
      <c r="E215" s="105">
        <f t="shared" si="25"/>
        <v>0</v>
      </c>
      <c r="F215" s="20" t="s">
        <v>287</v>
      </c>
      <c r="G215" s="32"/>
      <c r="H215" s="32"/>
      <c r="I215" s="32"/>
      <c r="J215" s="199"/>
      <c r="K215" s="199"/>
      <c r="L215" s="199"/>
      <c r="M215" s="22"/>
      <c r="N215" s="22"/>
    </row>
    <row r="216" spans="1:16" s="128" customFormat="1" ht="13.5" customHeight="1" x14ac:dyDescent="0.25">
      <c r="A216" s="75">
        <v>45491</v>
      </c>
      <c r="B216" s="244" t="s">
        <v>400</v>
      </c>
      <c r="C216" s="107" t="s">
        <v>289</v>
      </c>
      <c r="D216" s="108">
        <v>17.5</v>
      </c>
      <c r="E216" s="105">
        <f t="shared" si="25"/>
        <v>25725</v>
      </c>
      <c r="F216" s="99" t="s">
        <v>288</v>
      </c>
      <c r="G216" s="26" t="s">
        <v>290</v>
      </c>
      <c r="H216" s="80"/>
      <c r="I216" s="104">
        <v>1.2</v>
      </c>
      <c r="J216" s="187">
        <f t="shared" ref="J216:J221" si="28">D216*$K$2*I216</f>
        <v>30870</v>
      </c>
      <c r="K216" s="188">
        <f t="shared" si="26"/>
        <v>33957</v>
      </c>
      <c r="L216" s="189">
        <f t="shared" si="27"/>
        <v>25725</v>
      </c>
      <c r="M216" s="3"/>
      <c r="N216" s="4"/>
      <c r="O216" s="54"/>
      <c r="P216" s="54"/>
    </row>
    <row r="217" spans="1:16" ht="13.5" customHeight="1" x14ac:dyDescent="0.25">
      <c r="A217" s="75">
        <v>45491</v>
      </c>
      <c r="B217" s="244" t="s">
        <v>401</v>
      </c>
      <c r="C217" s="107" t="s">
        <v>289</v>
      </c>
      <c r="D217" s="108">
        <v>3.2</v>
      </c>
      <c r="E217" s="105">
        <f t="shared" si="25"/>
        <v>4704</v>
      </c>
      <c r="F217" s="99" t="s">
        <v>296</v>
      </c>
      <c r="G217" s="26" t="s">
        <v>297</v>
      </c>
      <c r="H217" s="80"/>
      <c r="I217" s="104">
        <v>2</v>
      </c>
      <c r="J217" s="187">
        <f t="shared" si="28"/>
        <v>9408</v>
      </c>
      <c r="K217" s="188">
        <f t="shared" si="26"/>
        <v>10348.800000000001</v>
      </c>
      <c r="L217" s="189">
        <f t="shared" si="27"/>
        <v>7840</v>
      </c>
      <c r="M217" s="3"/>
      <c r="N217" s="4"/>
    </row>
    <row r="218" spans="1:16" ht="13.5" customHeight="1" x14ac:dyDescent="0.25">
      <c r="A218" s="75">
        <v>45225</v>
      </c>
      <c r="B218" s="244" t="s">
        <v>402</v>
      </c>
      <c r="C218" s="107" t="s">
        <v>289</v>
      </c>
      <c r="D218" s="62">
        <v>32</v>
      </c>
      <c r="E218" s="105">
        <f t="shared" si="25"/>
        <v>47040</v>
      </c>
      <c r="F218" s="63" t="s">
        <v>232</v>
      </c>
      <c r="G218" s="64"/>
      <c r="H218" s="64"/>
      <c r="I218" s="104">
        <v>1.35</v>
      </c>
      <c r="J218" s="187">
        <f t="shared" si="28"/>
        <v>63504.000000000007</v>
      </c>
      <c r="K218" s="188">
        <f t="shared" si="26"/>
        <v>69854.400000000009</v>
      </c>
      <c r="L218" s="189">
        <f t="shared" si="27"/>
        <v>52920.000000000007</v>
      </c>
      <c r="M218" s="3"/>
      <c r="N218" s="4"/>
    </row>
    <row r="219" spans="1:16" ht="13.5" customHeight="1" x14ac:dyDescent="0.25">
      <c r="A219" s="75">
        <v>46035</v>
      </c>
      <c r="B219" s="244" t="s">
        <v>403</v>
      </c>
      <c r="C219" s="107" t="s">
        <v>289</v>
      </c>
      <c r="D219" s="105">
        <v>6.5</v>
      </c>
      <c r="E219" s="105">
        <f t="shared" si="25"/>
        <v>9555</v>
      </c>
      <c r="F219" s="102" t="s">
        <v>365</v>
      </c>
      <c r="G219" s="104"/>
      <c r="H219" s="104"/>
      <c r="I219" s="104">
        <v>1.5</v>
      </c>
      <c r="J219" s="191">
        <f t="shared" si="28"/>
        <v>14332.5</v>
      </c>
      <c r="K219" s="188">
        <f t="shared" si="26"/>
        <v>15765.750000000002</v>
      </c>
      <c r="L219" s="189">
        <f t="shared" si="27"/>
        <v>11943.75</v>
      </c>
      <c r="M219" s="65"/>
      <c r="N219" s="66"/>
    </row>
    <row r="220" spans="1:16" ht="13.5" customHeight="1" x14ac:dyDescent="0.25">
      <c r="A220" s="75">
        <v>45491</v>
      </c>
      <c r="B220" s="244" t="s">
        <v>404</v>
      </c>
      <c r="C220" s="107" t="s">
        <v>289</v>
      </c>
      <c r="D220" s="105">
        <v>24</v>
      </c>
      <c r="E220" s="105">
        <f t="shared" si="25"/>
        <v>35280</v>
      </c>
      <c r="F220" s="102" t="s">
        <v>298</v>
      </c>
      <c r="G220" s="104"/>
      <c r="H220" s="104"/>
      <c r="I220" s="104">
        <v>2</v>
      </c>
      <c r="J220" s="187">
        <f t="shared" si="28"/>
        <v>70560</v>
      </c>
      <c r="K220" s="188">
        <f t="shared" si="26"/>
        <v>77616</v>
      </c>
      <c r="L220" s="189">
        <f t="shared" si="27"/>
        <v>58800</v>
      </c>
      <c r="M220" s="65"/>
      <c r="N220" s="66"/>
    </row>
    <row r="221" spans="1:16" ht="13.5" customHeight="1" x14ac:dyDescent="0.25">
      <c r="A221" s="75">
        <v>35</v>
      </c>
      <c r="B221" s="244" t="s">
        <v>405</v>
      </c>
      <c r="C221" s="107" t="s">
        <v>289</v>
      </c>
      <c r="D221" s="62">
        <v>18</v>
      </c>
      <c r="E221" s="105">
        <f t="shared" si="25"/>
        <v>26460</v>
      </c>
      <c r="F221" s="63" t="s">
        <v>286</v>
      </c>
      <c r="G221" s="64"/>
      <c r="H221" s="64"/>
      <c r="I221" s="104">
        <v>1.35</v>
      </c>
      <c r="J221" s="187">
        <f t="shared" si="28"/>
        <v>35721</v>
      </c>
      <c r="K221" s="188">
        <f t="shared" si="26"/>
        <v>39293.100000000006</v>
      </c>
      <c r="L221" s="189">
        <f t="shared" si="27"/>
        <v>29767.5</v>
      </c>
      <c r="M221" s="3"/>
      <c r="N221" s="4"/>
    </row>
    <row r="222" spans="1:16" ht="13.5" customHeight="1" x14ac:dyDescent="0.25">
      <c r="A222" s="60"/>
      <c r="B222" s="237">
        <v>1205003</v>
      </c>
      <c r="C222" s="55"/>
      <c r="D222" s="56"/>
      <c r="E222" s="105">
        <f t="shared" si="25"/>
        <v>0</v>
      </c>
      <c r="F222" s="61" t="s">
        <v>329</v>
      </c>
      <c r="G222" s="57"/>
      <c r="H222" s="57"/>
      <c r="I222" s="57"/>
      <c r="J222" s="197"/>
      <c r="K222" s="197"/>
      <c r="L222" s="197"/>
      <c r="M222" s="58"/>
      <c r="N222" s="58"/>
    </row>
    <row r="223" spans="1:16" ht="13.5" customHeight="1" x14ac:dyDescent="0.25">
      <c r="A223" s="30">
        <v>45708</v>
      </c>
      <c r="B223" s="235">
        <v>1208043</v>
      </c>
      <c r="C223" s="24" t="s">
        <v>344</v>
      </c>
      <c r="D223" s="108">
        <v>105</v>
      </c>
      <c r="E223" s="105">
        <f t="shared" si="25"/>
        <v>154350</v>
      </c>
      <c r="F223" s="137" t="s">
        <v>330</v>
      </c>
      <c r="G223" s="26" t="s">
        <v>344</v>
      </c>
      <c r="H223" s="26"/>
      <c r="I223" s="104">
        <v>1</v>
      </c>
      <c r="J223" s="187">
        <f t="shared" ref="J223:J238" si="29">D223*$K$2*I223</f>
        <v>154350</v>
      </c>
      <c r="K223" s="188">
        <f t="shared" si="26"/>
        <v>169785</v>
      </c>
      <c r="L223" s="189">
        <f t="shared" si="27"/>
        <v>128625</v>
      </c>
      <c r="M223" s="3"/>
      <c r="N223" s="4"/>
    </row>
    <row r="224" spans="1:16" ht="13.5" customHeight="1" x14ac:dyDescent="0.25">
      <c r="A224" s="30">
        <v>45709</v>
      </c>
      <c r="B224" s="235" t="s">
        <v>407</v>
      </c>
      <c r="C224" s="24" t="s">
        <v>344</v>
      </c>
      <c r="D224" s="108">
        <v>50</v>
      </c>
      <c r="E224" s="105">
        <f t="shared" si="25"/>
        <v>73500</v>
      </c>
      <c r="F224" s="137" t="s">
        <v>331</v>
      </c>
      <c r="G224" s="26" t="s">
        <v>344</v>
      </c>
      <c r="H224" s="26"/>
      <c r="I224" s="104">
        <v>1</v>
      </c>
      <c r="J224" s="187">
        <f t="shared" si="29"/>
        <v>73500</v>
      </c>
      <c r="K224" s="188">
        <f t="shared" si="26"/>
        <v>80850</v>
      </c>
      <c r="L224" s="189">
        <f t="shared" si="27"/>
        <v>61250</v>
      </c>
      <c r="M224" s="3"/>
      <c r="N224" s="4"/>
    </row>
    <row r="225" spans="1:16" ht="13.5" customHeight="1" x14ac:dyDescent="0.25">
      <c r="A225" s="30">
        <v>45710</v>
      </c>
      <c r="B225" s="235">
        <v>1208044</v>
      </c>
      <c r="C225" s="24" t="s">
        <v>344</v>
      </c>
      <c r="D225" s="105">
        <v>75</v>
      </c>
      <c r="E225" s="105">
        <f t="shared" si="25"/>
        <v>110250</v>
      </c>
      <c r="F225" s="137" t="s">
        <v>332</v>
      </c>
      <c r="G225" s="26" t="s">
        <v>344</v>
      </c>
      <c r="H225" s="26"/>
      <c r="I225" s="104">
        <v>1</v>
      </c>
      <c r="J225" s="187">
        <f t="shared" si="29"/>
        <v>110250</v>
      </c>
      <c r="K225" s="188">
        <f t="shared" si="26"/>
        <v>121275.00000000001</v>
      </c>
      <c r="L225" s="189">
        <f t="shared" si="27"/>
        <v>91875</v>
      </c>
      <c r="M225" s="3"/>
      <c r="N225" s="4"/>
    </row>
    <row r="226" spans="1:16" ht="13.5" customHeight="1" x14ac:dyDescent="0.25">
      <c r="A226" s="30">
        <v>45711</v>
      </c>
      <c r="B226" s="235">
        <v>1208045</v>
      </c>
      <c r="C226" s="24" t="s">
        <v>344</v>
      </c>
      <c r="D226" s="105">
        <v>85</v>
      </c>
      <c r="E226" s="105">
        <f t="shared" si="25"/>
        <v>124950</v>
      </c>
      <c r="F226" s="137" t="s">
        <v>333</v>
      </c>
      <c r="G226" s="26" t="s">
        <v>344</v>
      </c>
      <c r="H226" s="26"/>
      <c r="I226" s="104">
        <v>1</v>
      </c>
      <c r="J226" s="187">
        <f t="shared" si="29"/>
        <v>124950</v>
      </c>
      <c r="K226" s="188">
        <f t="shared" si="26"/>
        <v>137445</v>
      </c>
      <c r="L226" s="189">
        <f t="shared" si="27"/>
        <v>104125</v>
      </c>
      <c r="M226" s="3"/>
      <c r="N226" s="4"/>
    </row>
    <row r="227" spans="1:16" ht="13.5" customHeight="1" x14ac:dyDescent="0.25">
      <c r="A227" s="30">
        <v>45712</v>
      </c>
      <c r="B227" s="235">
        <v>1213044</v>
      </c>
      <c r="C227" s="24" t="s">
        <v>344</v>
      </c>
      <c r="D227" s="105">
        <v>400</v>
      </c>
      <c r="E227" s="105">
        <f t="shared" si="25"/>
        <v>588000</v>
      </c>
      <c r="F227" s="137" t="s">
        <v>334</v>
      </c>
      <c r="G227" s="26" t="s">
        <v>344</v>
      </c>
      <c r="H227" s="104"/>
      <c r="I227" s="104">
        <v>1</v>
      </c>
      <c r="J227" s="187">
        <f t="shared" si="29"/>
        <v>588000</v>
      </c>
      <c r="K227" s="188">
        <f t="shared" si="26"/>
        <v>646800</v>
      </c>
      <c r="L227" s="189">
        <f t="shared" si="27"/>
        <v>490000</v>
      </c>
      <c r="M227" s="65"/>
      <c r="N227" s="66"/>
    </row>
    <row r="228" spans="1:16" ht="13.5" customHeight="1" x14ac:dyDescent="0.25">
      <c r="A228" s="30">
        <v>45713</v>
      </c>
      <c r="B228" s="235" t="s">
        <v>436</v>
      </c>
      <c r="C228" s="24" t="s">
        <v>344</v>
      </c>
      <c r="D228" s="108">
        <v>330</v>
      </c>
      <c r="E228" s="105">
        <f t="shared" si="25"/>
        <v>485100</v>
      </c>
      <c r="F228" s="137" t="s">
        <v>335</v>
      </c>
      <c r="G228" s="26" t="s">
        <v>344</v>
      </c>
      <c r="H228" s="26"/>
      <c r="I228" s="104">
        <v>1</v>
      </c>
      <c r="J228" s="187">
        <f t="shared" si="29"/>
        <v>485100</v>
      </c>
      <c r="K228" s="188">
        <f t="shared" si="26"/>
        <v>533610</v>
      </c>
      <c r="L228" s="189">
        <f t="shared" si="27"/>
        <v>404250</v>
      </c>
      <c r="M228" s="3"/>
      <c r="N228" s="4"/>
    </row>
    <row r="229" spans="1:16" ht="13.5" customHeight="1" x14ac:dyDescent="0.25">
      <c r="A229" s="30">
        <v>45714</v>
      </c>
      <c r="B229" s="235" t="s">
        <v>437</v>
      </c>
      <c r="C229" s="24" t="s">
        <v>344</v>
      </c>
      <c r="D229" s="108">
        <v>335</v>
      </c>
      <c r="E229" s="105">
        <f t="shared" si="25"/>
        <v>492450</v>
      </c>
      <c r="F229" s="137" t="s">
        <v>336</v>
      </c>
      <c r="G229" s="26" t="s">
        <v>344</v>
      </c>
      <c r="H229" s="26"/>
      <c r="I229" s="104">
        <v>1</v>
      </c>
      <c r="J229" s="187">
        <f t="shared" si="29"/>
        <v>492450</v>
      </c>
      <c r="K229" s="188">
        <f t="shared" si="26"/>
        <v>541695</v>
      </c>
      <c r="L229" s="189">
        <f t="shared" si="27"/>
        <v>410375</v>
      </c>
      <c r="M229" s="3"/>
      <c r="N229" s="4"/>
    </row>
    <row r="230" spans="1:16" ht="13.5" customHeight="1" x14ac:dyDescent="0.25">
      <c r="A230" s="30">
        <v>45715</v>
      </c>
      <c r="B230" s="235">
        <v>1504002</v>
      </c>
      <c r="C230" s="24" t="s">
        <v>344</v>
      </c>
      <c r="D230" s="105">
        <v>265</v>
      </c>
      <c r="E230" s="105">
        <f t="shared" si="25"/>
        <v>389550</v>
      </c>
      <c r="F230" s="137" t="s">
        <v>446</v>
      </c>
      <c r="G230" s="26" t="s">
        <v>344</v>
      </c>
      <c r="H230" s="26"/>
      <c r="I230" s="104">
        <v>1</v>
      </c>
      <c r="J230" s="187">
        <f t="shared" si="29"/>
        <v>389550</v>
      </c>
      <c r="K230" s="188">
        <f t="shared" si="26"/>
        <v>428505.00000000006</v>
      </c>
      <c r="L230" s="189">
        <f t="shared" si="27"/>
        <v>324625</v>
      </c>
      <c r="M230" s="3"/>
      <c r="N230" s="4"/>
    </row>
    <row r="231" spans="1:16" s="128" customFormat="1" ht="13.5" customHeight="1" x14ac:dyDescent="0.25">
      <c r="A231" s="30">
        <v>45716</v>
      </c>
      <c r="B231" s="235">
        <v>1504003</v>
      </c>
      <c r="C231" s="24" t="s">
        <v>344</v>
      </c>
      <c r="D231" s="105">
        <v>450</v>
      </c>
      <c r="E231" s="105">
        <f t="shared" si="25"/>
        <v>661500</v>
      </c>
      <c r="F231" s="137" t="s">
        <v>447</v>
      </c>
      <c r="G231" s="26" t="s">
        <v>344</v>
      </c>
      <c r="H231" s="104"/>
      <c r="I231" s="104">
        <v>1</v>
      </c>
      <c r="J231" s="187">
        <f t="shared" si="29"/>
        <v>661500</v>
      </c>
      <c r="K231" s="188">
        <f t="shared" si="26"/>
        <v>727650.00000000012</v>
      </c>
      <c r="L231" s="189">
        <f t="shared" si="27"/>
        <v>551250</v>
      </c>
      <c r="M231" s="65"/>
      <c r="N231" s="66"/>
      <c r="O231" s="54"/>
      <c r="P231" s="54"/>
    </row>
    <row r="232" spans="1:16" s="128" customFormat="1" ht="13.5" customHeight="1" x14ac:dyDescent="0.25">
      <c r="A232" s="30">
        <v>45717</v>
      </c>
      <c r="B232" s="235">
        <v>1509002</v>
      </c>
      <c r="C232" s="24" t="s">
        <v>344</v>
      </c>
      <c r="D232" s="105">
        <v>1450</v>
      </c>
      <c r="E232" s="105">
        <f t="shared" si="25"/>
        <v>2131500</v>
      </c>
      <c r="F232" s="137" t="s">
        <v>337</v>
      </c>
      <c r="G232" s="26" t="s">
        <v>344</v>
      </c>
      <c r="H232" s="104"/>
      <c r="I232" s="104">
        <v>1</v>
      </c>
      <c r="J232" s="187">
        <f t="shared" si="29"/>
        <v>2131500</v>
      </c>
      <c r="K232" s="188">
        <f t="shared" si="26"/>
        <v>2344650</v>
      </c>
      <c r="L232" s="189">
        <f t="shared" si="27"/>
        <v>1776250</v>
      </c>
      <c r="M232" s="65"/>
      <c r="N232" s="66"/>
      <c r="O232" s="54"/>
      <c r="P232" s="54"/>
    </row>
    <row r="233" spans="1:16" ht="13.5" customHeight="1" x14ac:dyDescent="0.25">
      <c r="A233" s="30">
        <v>45718</v>
      </c>
      <c r="B233" s="235">
        <v>1510001</v>
      </c>
      <c r="C233" s="24" t="s">
        <v>344</v>
      </c>
      <c r="D233" s="108">
        <v>1650</v>
      </c>
      <c r="E233" s="105">
        <f t="shared" si="25"/>
        <v>2425500</v>
      </c>
      <c r="F233" s="137" t="s">
        <v>338</v>
      </c>
      <c r="G233" s="26" t="s">
        <v>344</v>
      </c>
      <c r="H233" s="104"/>
      <c r="I233" s="104">
        <v>1</v>
      </c>
      <c r="J233" s="187">
        <f t="shared" si="29"/>
        <v>2425500</v>
      </c>
      <c r="K233" s="188">
        <f t="shared" si="26"/>
        <v>2668050</v>
      </c>
      <c r="L233" s="189">
        <f t="shared" si="27"/>
        <v>2021250</v>
      </c>
      <c r="M233" s="65"/>
      <c r="N233" s="66"/>
    </row>
    <row r="234" spans="1:16" ht="13.5" customHeight="1" x14ac:dyDescent="0.25">
      <c r="A234" s="30">
        <v>45719</v>
      </c>
      <c r="B234" s="235" t="s">
        <v>409</v>
      </c>
      <c r="C234" s="24" t="s">
        <v>344</v>
      </c>
      <c r="D234" s="108">
        <v>1450</v>
      </c>
      <c r="E234" s="105">
        <f t="shared" si="25"/>
        <v>2131500</v>
      </c>
      <c r="F234" s="137" t="s">
        <v>339</v>
      </c>
      <c r="G234" s="26" t="s">
        <v>344</v>
      </c>
      <c r="H234" s="104"/>
      <c r="I234" s="104">
        <v>1</v>
      </c>
      <c r="J234" s="187">
        <f t="shared" si="29"/>
        <v>2131500</v>
      </c>
      <c r="K234" s="188">
        <f t="shared" si="26"/>
        <v>2344650</v>
      </c>
      <c r="L234" s="189">
        <f t="shared" si="27"/>
        <v>1776250</v>
      </c>
      <c r="M234" s="65"/>
      <c r="N234" s="66"/>
    </row>
    <row r="235" spans="1:16" ht="13.5" customHeight="1" x14ac:dyDescent="0.25">
      <c r="A235" s="30">
        <v>45720</v>
      </c>
      <c r="B235" s="235">
        <v>1510003</v>
      </c>
      <c r="C235" s="24" t="s">
        <v>344</v>
      </c>
      <c r="D235" s="105">
        <v>1650</v>
      </c>
      <c r="E235" s="105">
        <f t="shared" si="25"/>
        <v>2425500</v>
      </c>
      <c r="F235" s="137" t="s">
        <v>340</v>
      </c>
      <c r="G235" s="26" t="s">
        <v>344</v>
      </c>
      <c r="H235" s="104"/>
      <c r="I235" s="104">
        <v>1</v>
      </c>
      <c r="J235" s="187">
        <f t="shared" si="29"/>
        <v>2425500</v>
      </c>
      <c r="K235" s="188">
        <f t="shared" si="26"/>
        <v>2668050</v>
      </c>
      <c r="L235" s="189">
        <f t="shared" si="27"/>
        <v>2021250</v>
      </c>
      <c r="M235" s="65"/>
      <c r="N235" s="66"/>
    </row>
    <row r="236" spans="1:16" ht="13.5" customHeight="1" x14ac:dyDescent="0.25">
      <c r="A236" s="30">
        <v>45721</v>
      </c>
      <c r="B236" s="235" t="s">
        <v>410</v>
      </c>
      <c r="C236" s="24" t="s">
        <v>344</v>
      </c>
      <c r="D236" s="105">
        <v>210</v>
      </c>
      <c r="E236" s="105">
        <f t="shared" si="25"/>
        <v>308700</v>
      </c>
      <c r="F236" s="137" t="s">
        <v>341</v>
      </c>
      <c r="G236" s="26" t="s">
        <v>344</v>
      </c>
      <c r="H236" s="104"/>
      <c r="I236" s="104">
        <v>1</v>
      </c>
      <c r="J236" s="187">
        <f t="shared" si="29"/>
        <v>308700</v>
      </c>
      <c r="K236" s="188">
        <f t="shared" si="26"/>
        <v>339570</v>
      </c>
      <c r="L236" s="189">
        <f t="shared" si="27"/>
        <v>257250</v>
      </c>
      <c r="M236" s="65"/>
      <c r="N236" s="66"/>
    </row>
    <row r="237" spans="1:16" ht="13.5" customHeight="1" x14ac:dyDescent="0.25">
      <c r="A237" s="30">
        <v>45722</v>
      </c>
      <c r="B237" s="235">
        <v>1512001</v>
      </c>
      <c r="C237" s="24" t="s">
        <v>344</v>
      </c>
      <c r="D237" s="105">
        <v>50</v>
      </c>
      <c r="E237" s="105">
        <f t="shared" si="25"/>
        <v>73500</v>
      </c>
      <c r="F237" s="137" t="s">
        <v>342</v>
      </c>
      <c r="G237" s="26" t="s">
        <v>344</v>
      </c>
      <c r="H237" s="104"/>
      <c r="I237" s="104">
        <v>1</v>
      </c>
      <c r="J237" s="187">
        <f t="shared" si="29"/>
        <v>73500</v>
      </c>
      <c r="K237" s="188">
        <f t="shared" si="26"/>
        <v>80850</v>
      </c>
      <c r="L237" s="189">
        <f t="shared" si="27"/>
        <v>61250</v>
      </c>
      <c r="M237" s="65"/>
      <c r="N237" s="66"/>
    </row>
    <row r="238" spans="1:16" ht="13.5" customHeight="1" x14ac:dyDescent="0.25">
      <c r="A238" s="30">
        <v>45723</v>
      </c>
      <c r="B238" s="235" t="s">
        <v>411</v>
      </c>
      <c r="C238" s="24" t="s">
        <v>344</v>
      </c>
      <c r="D238" s="108">
        <v>265</v>
      </c>
      <c r="E238" s="105">
        <f t="shared" si="25"/>
        <v>389550</v>
      </c>
      <c r="F238" s="136" t="s">
        <v>343</v>
      </c>
      <c r="G238" s="26" t="s">
        <v>344</v>
      </c>
      <c r="H238" s="104"/>
      <c r="I238" s="104">
        <v>1</v>
      </c>
      <c r="J238" s="187">
        <f t="shared" si="29"/>
        <v>389550</v>
      </c>
      <c r="K238" s="188">
        <f t="shared" si="26"/>
        <v>428505.00000000006</v>
      </c>
      <c r="L238" s="189">
        <f t="shared" si="27"/>
        <v>324625</v>
      </c>
      <c r="M238" s="65"/>
      <c r="N238" s="66"/>
    </row>
    <row r="239" spans="1:16" ht="13.5" customHeight="1" x14ac:dyDescent="0.25">
      <c r="A239" s="43"/>
      <c r="B239" s="238">
        <v>1205004</v>
      </c>
      <c r="C239" s="31"/>
      <c r="D239" s="40"/>
      <c r="E239" s="105">
        <f t="shared" si="25"/>
        <v>0</v>
      </c>
      <c r="F239" s="20" t="s">
        <v>345</v>
      </c>
      <c r="G239" s="32"/>
      <c r="H239" s="32"/>
      <c r="I239" s="32"/>
      <c r="J239" s="198"/>
      <c r="K239" s="198"/>
      <c r="L239" s="198"/>
      <c r="M239" s="22"/>
      <c r="N239" s="22"/>
    </row>
    <row r="240" spans="1:16" ht="13.5" customHeight="1" x14ac:dyDescent="0.25">
      <c r="A240" s="29">
        <v>45368</v>
      </c>
      <c r="B240" s="221">
        <v>1212022</v>
      </c>
      <c r="C240" s="25" t="s">
        <v>18</v>
      </c>
      <c r="D240" s="27">
        <v>47.2</v>
      </c>
      <c r="E240" s="105">
        <f t="shared" si="25"/>
        <v>69384</v>
      </c>
      <c r="F240" s="2" t="s">
        <v>346</v>
      </c>
      <c r="G240" s="26" t="s">
        <v>347</v>
      </c>
      <c r="H240" s="26"/>
      <c r="I240" s="104">
        <v>1.5</v>
      </c>
      <c r="J240" s="187">
        <f>D240*$K$2*I240</f>
        <v>104076</v>
      </c>
      <c r="K240" s="188">
        <f t="shared" si="26"/>
        <v>114483.6</v>
      </c>
      <c r="L240" s="189">
        <f t="shared" si="27"/>
        <v>86730</v>
      </c>
      <c r="M240" s="3"/>
      <c r="N240" s="4"/>
    </row>
    <row r="241" spans="1:14" ht="13.5" customHeight="1" x14ac:dyDescent="0.25">
      <c r="A241" s="86"/>
      <c r="B241" s="221">
        <v>1223001</v>
      </c>
      <c r="C241" s="103" t="s">
        <v>361</v>
      </c>
      <c r="D241" s="105">
        <v>27</v>
      </c>
      <c r="E241" s="105">
        <f t="shared" si="25"/>
        <v>39690</v>
      </c>
      <c r="F241" s="102" t="s">
        <v>357</v>
      </c>
      <c r="G241" s="104"/>
      <c r="H241" s="104"/>
      <c r="I241" s="104">
        <v>1.2</v>
      </c>
      <c r="J241" s="191">
        <f>D241*$K$2*I241</f>
        <v>47628</v>
      </c>
      <c r="K241" s="188">
        <f t="shared" si="26"/>
        <v>52390.8</v>
      </c>
      <c r="L241" s="189">
        <f t="shared" si="27"/>
        <v>39690</v>
      </c>
      <c r="M241" s="65"/>
      <c r="N241" s="66"/>
    </row>
    <row r="242" spans="1:14" ht="13.5" customHeight="1" x14ac:dyDescent="0.25">
      <c r="A242" s="86"/>
      <c r="B242" s="221">
        <v>1199019</v>
      </c>
      <c r="C242" s="103" t="s">
        <v>361</v>
      </c>
      <c r="D242" s="105">
        <v>105</v>
      </c>
      <c r="E242" s="105">
        <f t="shared" si="25"/>
        <v>154350</v>
      </c>
      <c r="F242" s="102" t="s">
        <v>358</v>
      </c>
      <c r="G242" s="104"/>
      <c r="H242" s="104"/>
      <c r="I242" s="104">
        <v>1.2</v>
      </c>
      <c r="J242" s="191">
        <f>D242*$K$2*I242</f>
        <v>185220</v>
      </c>
      <c r="K242" s="188">
        <f t="shared" si="26"/>
        <v>203742.00000000003</v>
      </c>
      <c r="L242" s="189">
        <f t="shared" si="27"/>
        <v>154350</v>
      </c>
      <c r="M242" s="65"/>
      <c r="N242" s="66"/>
    </row>
    <row r="243" spans="1:14" ht="13.5" customHeight="1" x14ac:dyDescent="0.25">
      <c r="A243" s="29">
        <v>45368</v>
      </c>
      <c r="B243" s="221">
        <v>1206001</v>
      </c>
      <c r="C243" s="25" t="s">
        <v>361</v>
      </c>
      <c r="D243" s="27">
        <v>50</v>
      </c>
      <c r="E243" s="105">
        <f t="shared" si="25"/>
        <v>73500</v>
      </c>
      <c r="F243" s="2" t="s">
        <v>359</v>
      </c>
      <c r="G243" s="26" t="s">
        <v>360</v>
      </c>
      <c r="H243" s="26">
        <v>707</v>
      </c>
      <c r="I243" s="104">
        <v>1.2</v>
      </c>
      <c r="J243" s="191">
        <f>D243*$K$2*I243</f>
        <v>88200</v>
      </c>
      <c r="K243" s="188">
        <f t="shared" si="26"/>
        <v>97020.000000000015</v>
      </c>
      <c r="L243" s="189">
        <f t="shared" si="27"/>
        <v>73500</v>
      </c>
      <c r="M243" s="3">
        <f>D243*$C$5*1.4</f>
        <v>0</v>
      </c>
      <c r="N243" s="4">
        <f>D243*$C$5*1.5*1.21</f>
        <v>0</v>
      </c>
    </row>
    <row r="244" spans="1:14" ht="13.5" customHeight="1" x14ac:dyDescent="0.25">
      <c r="A244" s="20"/>
      <c r="B244" s="245"/>
      <c r="C244" s="20"/>
      <c r="D244" s="20"/>
      <c r="E244" s="6"/>
      <c r="F244" s="20" t="s">
        <v>120</v>
      </c>
      <c r="G244" s="20"/>
      <c r="H244" s="20"/>
      <c r="I244" s="20"/>
      <c r="J244" s="20"/>
      <c r="K244" s="20"/>
      <c r="L244" s="20"/>
      <c r="M244" s="20"/>
      <c r="N244" s="20"/>
    </row>
    <row r="245" spans="1:14" ht="13.5" customHeight="1" x14ac:dyDescent="0.25">
      <c r="A245" s="50"/>
      <c r="B245" s="246" t="s">
        <v>125</v>
      </c>
      <c r="C245" s="103" t="s">
        <v>84</v>
      </c>
      <c r="D245" s="105">
        <v>63.7</v>
      </c>
      <c r="E245" s="6"/>
      <c r="F245" s="102" t="s">
        <v>85</v>
      </c>
      <c r="G245" s="26"/>
      <c r="H245" s="26"/>
      <c r="I245" s="26">
        <v>1.35</v>
      </c>
      <c r="J245" s="191">
        <f t="shared" ref="J245:J286" si="30">D245*$K$2*I245</f>
        <v>126412.65000000001</v>
      </c>
      <c r="K245" s="188">
        <f t="shared" si="26"/>
        <v>139053.91500000001</v>
      </c>
      <c r="L245" s="189">
        <f t="shared" si="27"/>
        <v>105343.875</v>
      </c>
      <c r="M245" s="100"/>
      <c r="N245" s="100"/>
    </row>
    <row r="246" spans="1:14" ht="13.5" customHeight="1" x14ac:dyDescent="0.25">
      <c r="A246" s="50"/>
      <c r="B246" s="246" t="s">
        <v>363</v>
      </c>
      <c r="C246" s="103" t="s">
        <v>282</v>
      </c>
      <c r="D246" s="105">
        <v>2</v>
      </c>
      <c r="E246" s="6"/>
      <c r="F246" s="102" t="s">
        <v>362</v>
      </c>
      <c r="G246" s="26"/>
      <c r="H246" s="104"/>
      <c r="I246" s="26">
        <v>1.35</v>
      </c>
      <c r="J246" s="191">
        <f t="shared" si="30"/>
        <v>3969.0000000000005</v>
      </c>
      <c r="K246" s="188">
        <f t="shared" si="26"/>
        <v>4365.9000000000005</v>
      </c>
      <c r="L246" s="189">
        <f t="shared" si="27"/>
        <v>3307.5000000000005</v>
      </c>
      <c r="M246" s="100"/>
      <c r="N246" s="100"/>
    </row>
    <row r="247" spans="1:14" ht="13.5" customHeight="1" x14ac:dyDescent="0.25">
      <c r="A247" s="50"/>
      <c r="B247" s="246" t="s">
        <v>126</v>
      </c>
      <c r="C247" s="103" t="s">
        <v>84</v>
      </c>
      <c r="D247" s="105">
        <v>6</v>
      </c>
      <c r="E247" s="6"/>
      <c r="F247" s="102" t="s">
        <v>121</v>
      </c>
      <c r="G247" s="26"/>
      <c r="H247" s="104"/>
      <c r="I247" s="26">
        <v>1.3500000000000003</v>
      </c>
      <c r="J247" s="191">
        <f t="shared" si="30"/>
        <v>11907.000000000004</v>
      </c>
      <c r="K247" s="188">
        <f t="shared" si="26"/>
        <v>13097.700000000004</v>
      </c>
      <c r="L247" s="189">
        <f t="shared" si="27"/>
        <v>9922.5000000000018</v>
      </c>
      <c r="M247" s="100"/>
      <c r="N247" s="100"/>
    </row>
    <row r="248" spans="1:14" ht="13.5" customHeight="1" x14ac:dyDescent="0.25">
      <c r="A248" s="50"/>
      <c r="B248" s="246" t="s">
        <v>127</v>
      </c>
      <c r="C248" s="103" t="s">
        <v>84</v>
      </c>
      <c r="D248" s="105">
        <v>30</v>
      </c>
      <c r="E248" s="6"/>
      <c r="F248" s="102" t="s">
        <v>158</v>
      </c>
      <c r="G248" s="26"/>
      <c r="H248" s="104"/>
      <c r="I248" s="26">
        <v>1.35</v>
      </c>
      <c r="J248" s="191">
        <f t="shared" si="30"/>
        <v>59535.000000000007</v>
      </c>
      <c r="K248" s="188">
        <f t="shared" si="26"/>
        <v>65488.500000000015</v>
      </c>
      <c r="L248" s="189">
        <f t="shared" si="27"/>
        <v>49612.500000000007</v>
      </c>
      <c r="M248" s="100"/>
      <c r="N248" s="100"/>
    </row>
    <row r="249" spans="1:14" ht="13.5" customHeight="1" x14ac:dyDescent="0.25">
      <c r="A249" s="50"/>
      <c r="B249" s="246" t="s">
        <v>293</v>
      </c>
      <c r="C249" s="103" t="s">
        <v>84</v>
      </c>
      <c r="D249" s="105">
        <v>2.5</v>
      </c>
      <c r="E249" s="6"/>
      <c r="F249" s="102" t="s">
        <v>204</v>
      </c>
      <c r="G249" s="26"/>
      <c r="H249" s="104"/>
      <c r="I249" s="26">
        <v>1</v>
      </c>
      <c r="J249" s="191">
        <f t="shared" si="30"/>
        <v>3675</v>
      </c>
      <c r="K249" s="188">
        <f t="shared" si="26"/>
        <v>4042.5000000000005</v>
      </c>
      <c r="L249" s="189">
        <f t="shared" si="27"/>
        <v>3062.5</v>
      </c>
      <c r="M249" s="100"/>
      <c r="N249" s="100"/>
    </row>
    <row r="250" spans="1:14" ht="13.5" customHeight="1" x14ac:dyDescent="0.25">
      <c r="A250" s="50"/>
      <c r="B250" s="246" t="s">
        <v>128</v>
      </c>
      <c r="C250" s="103" t="s">
        <v>84</v>
      </c>
      <c r="D250" s="105">
        <v>33</v>
      </c>
      <c r="E250" s="6"/>
      <c r="F250" s="102" t="s">
        <v>122</v>
      </c>
      <c r="G250" s="26"/>
      <c r="H250" s="104"/>
      <c r="I250" s="26">
        <v>1.35</v>
      </c>
      <c r="J250" s="191">
        <f t="shared" si="30"/>
        <v>65488.500000000007</v>
      </c>
      <c r="K250" s="188">
        <f t="shared" si="26"/>
        <v>72037.35000000002</v>
      </c>
      <c r="L250" s="189">
        <f t="shared" si="27"/>
        <v>54573.750000000007</v>
      </c>
      <c r="M250" s="100"/>
      <c r="N250" s="100"/>
    </row>
    <row r="251" spans="1:14" ht="13.5" customHeight="1" x14ac:dyDescent="0.25">
      <c r="A251" s="50"/>
      <c r="B251" s="246" t="s">
        <v>129</v>
      </c>
      <c r="C251" s="103" t="s">
        <v>84</v>
      </c>
      <c r="D251" s="105">
        <v>10</v>
      </c>
      <c r="E251" s="6"/>
      <c r="F251" s="102" t="s">
        <v>123</v>
      </c>
      <c r="G251" s="26"/>
      <c r="H251" s="104"/>
      <c r="I251" s="26">
        <v>1.35</v>
      </c>
      <c r="J251" s="191">
        <f t="shared" si="30"/>
        <v>19845</v>
      </c>
      <c r="K251" s="188">
        <f t="shared" si="26"/>
        <v>21829.5</v>
      </c>
      <c r="L251" s="189">
        <f t="shared" si="27"/>
        <v>16537.5</v>
      </c>
      <c r="M251" s="100"/>
      <c r="N251" s="100"/>
    </row>
    <row r="252" spans="1:14" ht="13.5" customHeight="1" x14ac:dyDescent="0.25">
      <c r="A252" s="50"/>
      <c r="B252" s="247" t="s">
        <v>130</v>
      </c>
      <c r="C252" s="103" t="s">
        <v>84</v>
      </c>
      <c r="D252" s="105">
        <v>46</v>
      </c>
      <c r="E252" s="6"/>
      <c r="F252" s="106" t="s">
        <v>142</v>
      </c>
      <c r="G252" s="26"/>
      <c r="H252" s="26"/>
      <c r="I252" s="26">
        <v>1.35</v>
      </c>
      <c r="J252" s="191">
        <f t="shared" si="30"/>
        <v>91287</v>
      </c>
      <c r="K252" s="188">
        <f t="shared" si="26"/>
        <v>100415.70000000001</v>
      </c>
      <c r="L252" s="189">
        <f t="shared" si="27"/>
        <v>76072.5</v>
      </c>
      <c r="M252" s="100"/>
      <c r="N252" s="100"/>
    </row>
    <row r="253" spans="1:14" ht="13.5" customHeight="1" x14ac:dyDescent="0.25">
      <c r="A253" s="50"/>
      <c r="B253" s="246" t="s">
        <v>143</v>
      </c>
      <c r="C253" s="103" t="s">
        <v>84</v>
      </c>
      <c r="D253" s="105">
        <v>21</v>
      </c>
      <c r="E253" s="6"/>
      <c r="F253" s="102" t="s">
        <v>144</v>
      </c>
      <c r="G253" s="26"/>
      <c r="H253" s="104"/>
      <c r="I253" s="26">
        <v>1.35</v>
      </c>
      <c r="J253" s="191">
        <f t="shared" si="30"/>
        <v>41674.5</v>
      </c>
      <c r="K253" s="188">
        <f t="shared" si="26"/>
        <v>45841.950000000004</v>
      </c>
      <c r="L253" s="189">
        <f t="shared" si="27"/>
        <v>34728.75</v>
      </c>
    </row>
    <row r="254" spans="1:14" ht="13.5" customHeight="1" x14ac:dyDescent="0.25">
      <c r="A254" s="50"/>
      <c r="B254" s="246" t="s">
        <v>88</v>
      </c>
      <c r="C254" s="103" t="s">
        <v>84</v>
      </c>
      <c r="D254" s="105">
        <v>22</v>
      </c>
      <c r="E254" s="6"/>
      <c r="F254" s="102" t="s">
        <v>87</v>
      </c>
      <c r="G254" s="26"/>
      <c r="H254" s="104"/>
      <c r="I254" s="26">
        <v>1.35</v>
      </c>
      <c r="J254" s="191">
        <f t="shared" si="30"/>
        <v>43659</v>
      </c>
      <c r="K254" s="188">
        <f t="shared" si="26"/>
        <v>48024.9</v>
      </c>
      <c r="L254" s="189">
        <f t="shared" si="27"/>
        <v>36382.5</v>
      </c>
    </row>
    <row r="255" spans="1:14" ht="13.5" customHeight="1" x14ac:dyDescent="0.25">
      <c r="A255" s="50"/>
      <c r="B255" s="246" t="s">
        <v>131</v>
      </c>
      <c r="C255" s="103" t="s">
        <v>84</v>
      </c>
      <c r="D255" s="105">
        <v>15.9</v>
      </c>
      <c r="E255" s="6"/>
      <c r="F255" s="102" t="s">
        <v>124</v>
      </c>
      <c r="G255" s="26"/>
      <c r="H255" s="104"/>
      <c r="I255" s="26">
        <v>1.35</v>
      </c>
      <c r="J255" s="191">
        <f t="shared" si="30"/>
        <v>31553.550000000003</v>
      </c>
      <c r="K255" s="188">
        <f t="shared" si="26"/>
        <v>34708.905000000006</v>
      </c>
      <c r="L255" s="189">
        <f t="shared" si="27"/>
        <v>26294.625</v>
      </c>
    </row>
    <row r="256" spans="1:14" ht="13.5" customHeight="1" x14ac:dyDescent="0.25">
      <c r="A256" s="50"/>
      <c r="B256" s="246" t="s">
        <v>294</v>
      </c>
      <c r="C256" s="103" t="s">
        <v>284</v>
      </c>
      <c r="D256" s="105">
        <v>3</v>
      </c>
      <c r="E256" s="6"/>
      <c r="F256" s="102" t="s">
        <v>285</v>
      </c>
      <c r="G256" s="26"/>
      <c r="H256" s="104"/>
      <c r="I256" s="26">
        <v>2</v>
      </c>
      <c r="J256" s="191">
        <f t="shared" si="30"/>
        <v>8820</v>
      </c>
      <c r="K256" s="188">
        <f t="shared" si="26"/>
        <v>9702</v>
      </c>
      <c r="L256" s="189">
        <f t="shared" si="27"/>
        <v>7350</v>
      </c>
    </row>
    <row r="257" spans="1:14" ht="13.5" customHeight="1" x14ac:dyDescent="0.25">
      <c r="A257" s="50"/>
      <c r="B257" s="246" t="s">
        <v>150</v>
      </c>
      <c r="C257" s="103" t="s">
        <v>84</v>
      </c>
      <c r="D257" s="105">
        <v>27</v>
      </c>
      <c r="E257" s="6"/>
      <c r="F257" s="102" t="s">
        <v>134</v>
      </c>
      <c r="G257" s="26"/>
      <c r="H257" s="104"/>
      <c r="I257" s="26">
        <v>1.35</v>
      </c>
      <c r="J257" s="191">
        <f t="shared" si="30"/>
        <v>53581.5</v>
      </c>
      <c r="K257" s="188">
        <f t="shared" si="26"/>
        <v>58939.65</v>
      </c>
      <c r="L257" s="189">
        <f t="shared" si="27"/>
        <v>44651.25</v>
      </c>
    </row>
    <row r="258" spans="1:14" ht="13.5" customHeight="1" x14ac:dyDescent="0.25">
      <c r="A258" s="50"/>
      <c r="B258" s="246" t="s">
        <v>281</v>
      </c>
      <c r="C258" s="103" t="s">
        <v>84</v>
      </c>
      <c r="D258" s="105">
        <v>2</v>
      </c>
      <c r="E258" s="6"/>
      <c r="F258" s="102" t="s">
        <v>280</v>
      </c>
      <c r="G258" s="26"/>
      <c r="H258" s="104"/>
      <c r="I258" s="26">
        <v>1.4</v>
      </c>
      <c r="J258" s="191">
        <f t="shared" si="30"/>
        <v>4116</v>
      </c>
      <c r="K258" s="188">
        <f t="shared" si="26"/>
        <v>4527.6000000000004</v>
      </c>
      <c r="L258" s="189">
        <f t="shared" si="27"/>
        <v>3430</v>
      </c>
    </row>
    <row r="259" spans="1:14" ht="13.5" customHeight="1" x14ac:dyDescent="0.25">
      <c r="A259" s="50"/>
      <c r="B259" s="246" t="s">
        <v>143</v>
      </c>
      <c r="C259" s="103" t="s">
        <v>291</v>
      </c>
      <c r="D259" s="105">
        <v>1.5</v>
      </c>
      <c r="E259" s="6"/>
      <c r="F259" s="102" t="s">
        <v>292</v>
      </c>
      <c r="G259" s="26"/>
      <c r="H259" s="26"/>
      <c r="I259" s="26">
        <v>1.3999999999999997</v>
      </c>
      <c r="J259" s="191">
        <f t="shared" si="30"/>
        <v>3086.9999999999991</v>
      </c>
      <c r="K259" s="188">
        <f t="shared" si="26"/>
        <v>3395.6999999999994</v>
      </c>
      <c r="L259" s="189">
        <f t="shared" si="27"/>
        <v>2572.4999999999995</v>
      </c>
    </row>
    <row r="260" spans="1:14" ht="13.5" customHeight="1" x14ac:dyDescent="0.25">
      <c r="B260" s="248" t="s">
        <v>438</v>
      </c>
      <c r="C260" s="103" t="s">
        <v>282</v>
      </c>
      <c r="D260" s="105">
        <v>3.1</v>
      </c>
      <c r="F260" s="102" t="s">
        <v>283</v>
      </c>
      <c r="G260" s="26"/>
      <c r="H260" s="104"/>
      <c r="I260" s="26">
        <v>1.4</v>
      </c>
      <c r="J260" s="191">
        <f t="shared" si="30"/>
        <v>6379.7999999999993</v>
      </c>
      <c r="K260" s="188">
        <f t="shared" si="26"/>
        <v>7017.78</v>
      </c>
      <c r="L260" s="189">
        <f t="shared" si="27"/>
        <v>5316.4999999999991</v>
      </c>
    </row>
    <row r="261" spans="1:14" ht="13.5" customHeight="1" x14ac:dyDescent="0.25">
      <c r="B261" s="248" t="s">
        <v>439</v>
      </c>
      <c r="C261" s="103" t="s">
        <v>282</v>
      </c>
      <c r="D261" s="105">
        <v>1.5</v>
      </c>
      <c r="F261" s="102" t="s">
        <v>364</v>
      </c>
      <c r="G261" s="26"/>
      <c r="H261" s="104"/>
      <c r="I261" s="26">
        <v>1.3999999999999997</v>
      </c>
      <c r="J261" s="191">
        <f t="shared" si="30"/>
        <v>3086.9999999999991</v>
      </c>
      <c r="K261" s="188">
        <f t="shared" si="26"/>
        <v>3395.6999999999994</v>
      </c>
      <c r="L261" s="189">
        <f t="shared" si="27"/>
        <v>2572.4999999999995</v>
      </c>
    </row>
    <row r="262" spans="1:14" ht="13.5" customHeight="1" x14ac:dyDescent="0.25">
      <c r="A262" s="31"/>
      <c r="B262" s="31"/>
      <c r="C262" s="31"/>
      <c r="D262" s="31"/>
      <c r="F262" s="20" t="s">
        <v>86</v>
      </c>
      <c r="G262" s="31"/>
      <c r="H262" s="31"/>
      <c r="I262" s="31"/>
      <c r="J262" s="31"/>
      <c r="K262" s="188">
        <f t="shared" si="26"/>
        <v>0</v>
      </c>
      <c r="L262" s="189">
        <f t="shared" si="27"/>
        <v>0</v>
      </c>
      <c r="M262" s="31"/>
      <c r="N262" s="31"/>
    </row>
    <row r="263" spans="1:14" ht="13.5" customHeight="1" x14ac:dyDescent="0.25">
      <c r="B263" s="248" t="s">
        <v>413</v>
      </c>
      <c r="C263" s="25" t="s">
        <v>84</v>
      </c>
      <c r="D263" s="27">
        <v>40</v>
      </c>
      <c r="F263" s="97" t="s">
        <v>87</v>
      </c>
      <c r="G263" s="26"/>
      <c r="H263" s="104"/>
      <c r="I263" s="26">
        <v>1.35</v>
      </c>
      <c r="J263" s="191">
        <f t="shared" si="30"/>
        <v>79380</v>
      </c>
      <c r="K263" s="188">
        <f t="shared" ref="K263:K286" si="31">J263*1.1</f>
        <v>87318</v>
      </c>
      <c r="L263" s="189">
        <f t="shared" ref="L263:L286" si="32">J263*5/6</f>
        <v>66150</v>
      </c>
    </row>
    <row r="264" spans="1:14" ht="13.5" customHeight="1" x14ac:dyDescent="0.25">
      <c r="B264" s="248" t="s">
        <v>414</v>
      </c>
      <c r="C264" s="25" t="s">
        <v>84</v>
      </c>
      <c r="D264" s="27">
        <v>70</v>
      </c>
      <c r="F264" s="96" t="s">
        <v>89</v>
      </c>
      <c r="G264" s="26"/>
      <c r="H264" s="104"/>
      <c r="I264" s="26">
        <v>1.35</v>
      </c>
      <c r="J264" s="191">
        <f t="shared" si="30"/>
        <v>138915</v>
      </c>
      <c r="K264" s="188">
        <f t="shared" si="31"/>
        <v>152806.5</v>
      </c>
      <c r="L264" s="189">
        <f t="shared" si="32"/>
        <v>115762.5</v>
      </c>
    </row>
    <row r="265" spans="1:14" ht="13.5" customHeight="1" x14ac:dyDescent="0.25">
      <c r="B265" s="248" t="s">
        <v>440</v>
      </c>
      <c r="C265" s="25" t="s">
        <v>84</v>
      </c>
      <c r="D265" s="105">
        <v>1.8</v>
      </c>
      <c r="F265" s="95" t="s">
        <v>207</v>
      </c>
      <c r="G265" s="26"/>
      <c r="H265" s="104"/>
      <c r="I265" s="26">
        <v>1.35</v>
      </c>
      <c r="J265" s="191">
        <f t="shared" si="30"/>
        <v>3572.1000000000004</v>
      </c>
      <c r="K265" s="188">
        <f t="shared" si="31"/>
        <v>3929.3100000000009</v>
      </c>
      <c r="L265" s="189">
        <f t="shared" si="32"/>
        <v>2976.75</v>
      </c>
    </row>
    <row r="266" spans="1:14" ht="13.5" customHeight="1" x14ac:dyDescent="0.25">
      <c r="B266" s="248" t="s">
        <v>415</v>
      </c>
      <c r="C266" s="25" t="s">
        <v>84</v>
      </c>
      <c r="D266" s="27">
        <v>42</v>
      </c>
      <c r="F266" s="96" t="s">
        <v>90</v>
      </c>
      <c r="G266" s="26"/>
      <c r="H266" s="104"/>
      <c r="I266" s="26">
        <v>1.35</v>
      </c>
      <c r="J266" s="191">
        <f t="shared" si="30"/>
        <v>83349</v>
      </c>
      <c r="K266" s="188">
        <f t="shared" si="31"/>
        <v>91683.900000000009</v>
      </c>
      <c r="L266" s="189">
        <f t="shared" si="32"/>
        <v>69457.5</v>
      </c>
    </row>
    <row r="267" spans="1:14" ht="13.5" customHeight="1" x14ac:dyDescent="0.25">
      <c r="B267" s="248" t="s">
        <v>416</v>
      </c>
      <c r="C267" s="103" t="s">
        <v>84</v>
      </c>
      <c r="D267" s="105">
        <v>10.8</v>
      </c>
      <c r="F267" s="98" t="s">
        <v>233</v>
      </c>
      <c r="G267" s="26"/>
      <c r="H267" s="104"/>
      <c r="I267" s="26">
        <v>1.35</v>
      </c>
      <c r="J267" s="191">
        <f t="shared" si="30"/>
        <v>21432.600000000002</v>
      </c>
      <c r="K267" s="188">
        <f t="shared" si="31"/>
        <v>23575.860000000004</v>
      </c>
      <c r="L267" s="189">
        <f t="shared" si="32"/>
        <v>17860.500000000004</v>
      </c>
    </row>
    <row r="268" spans="1:14" ht="13.5" customHeight="1" x14ac:dyDescent="0.25">
      <c r="A268" s="31"/>
      <c r="B268" s="31"/>
      <c r="C268" s="31"/>
      <c r="D268" s="31"/>
      <c r="F268" s="20" t="s">
        <v>23</v>
      </c>
      <c r="G268" s="31"/>
      <c r="H268" s="31"/>
      <c r="I268" s="31"/>
      <c r="J268" s="31"/>
      <c r="K268" s="188">
        <f t="shared" si="31"/>
        <v>0</v>
      </c>
      <c r="L268" s="189">
        <f t="shared" si="32"/>
        <v>0</v>
      </c>
      <c r="M268" s="31"/>
      <c r="N268" s="31"/>
    </row>
    <row r="269" spans="1:14" ht="13.5" customHeight="1" x14ac:dyDescent="0.25">
      <c r="B269" s="248">
        <v>1208041</v>
      </c>
      <c r="C269" s="25" t="s">
        <v>11</v>
      </c>
      <c r="D269" s="27">
        <v>42</v>
      </c>
      <c r="F269" s="2" t="s">
        <v>26</v>
      </c>
      <c r="G269" s="26"/>
      <c r="H269" s="104"/>
      <c r="I269" s="26">
        <v>1.35</v>
      </c>
      <c r="J269" s="191">
        <f t="shared" si="30"/>
        <v>83349</v>
      </c>
      <c r="K269" s="188">
        <f t="shared" si="31"/>
        <v>91683.900000000009</v>
      </c>
      <c r="L269" s="189">
        <f t="shared" si="32"/>
        <v>69457.5</v>
      </c>
    </row>
    <row r="270" spans="1:14" ht="13.5" customHeight="1" x14ac:dyDescent="0.25">
      <c r="B270" s="248">
        <v>1208028</v>
      </c>
      <c r="C270" s="25" t="s">
        <v>11</v>
      </c>
      <c r="D270" s="27">
        <v>4.08</v>
      </c>
      <c r="F270" s="2" t="s">
        <v>29</v>
      </c>
      <c r="G270" s="26"/>
      <c r="H270" s="104"/>
      <c r="I270" s="26">
        <v>1.35</v>
      </c>
      <c r="J270" s="191">
        <f t="shared" si="30"/>
        <v>8096.7600000000011</v>
      </c>
      <c r="K270" s="188">
        <f t="shared" si="31"/>
        <v>8906.4360000000015</v>
      </c>
      <c r="L270" s="189">
        <f t="shared" si="32"/>
        <v>6747.3</v>
      </c>
    </row>
    <row r="271" spans="1:14" ht="13.5" customHeight="1" x14ac:dyDescent="0.25">
      <c r="B271" s="248">
        <v>1208039</v>
      </c>
      <c r="C271" s="25" t="s">
        <v>11</v>
      </c>
      <c r="D271" s="27">
        <v>33</v>
      </c>
      <c r="F271" s="2" t="s">
        <v>26</v>
      </c>
      <c r="G271" s="26"/>
      <c r="H271" s="104"/>
      <c r="I271" s="26">
        <v>1.35</v>
      </c>
      <c r="J271" s="191">
        <f t="shared" si="30"/>
        <v>65488.500000000007</v>
      </c>
      <c r="K271" s="188">
        <f t="shared" si="31"/>
        <v>72037.35000000002</v>
      </c>
      <c r="L271" s="189">
        <f t="shared" si="32"/>
        <v>54573.750000000007</v>
      </c>
    </row>
    <row r="272" spans="1:14" ht="13.5" customHeight="1" x14ac:dyDescent="0.25">
      <c r="B272" s="248">
        <v>1208040</v>
      </c>
      <c r="C272" s="25" t="s">
        <v>11</v>
      </c>
      <c r="D272" s="27">
        <v>38</v>
      </c>
      <c r="F272" s="2" t="s">
        <v>26</v>
      </c>
      <c r="G272" s="26"/>
      <c r="H272" s="104"/>
      <c r="I272" s="26">
        <v>1.35</v>
      </c>
      <c r="J272" s="191">
        <f t="shared" si="30"/>
        <v>75411</v>
      </c>
      <c r="K272" s="188">
        <f t="shared" si="31"/>
        <v>82952.100000000006</v>
      </c>
      <c r="L272" s="189">
        <f t="shared" si="32"/>
        <v>62842.5</v>
      </c>
    </row>
    <row r="273" spans="2:12" ht="13.5" customHeight="1" x14ac:dyDescent="0.25">
      <c r="B273" s="248">
        <v>1208030</v>
      </c>
      <c r="C273" s="25" t="s">
        <v>9</v>
      </c>
      <c r="D273" s="27">
        <v>17.239999999999998</v>
      </c>
      <c r="F273" s="2" t="s">
        <v>31</v>
      </c>
      <c r="G273" s="26"/>
      <c r="H273" s="104"/>
      <c r="I273" s="26">
        <v>1.35</v>
      </c>
      <c r="J273" s="191">
        <f t="shared" si="30"/>
        <v>34212.78</v>
      </c>
      <c r="K273" s="188">
        <f t="shared" si="31"/>
        <v>37634.058000000005</v>
      </c>
      <c r="L273" s="189">
        <f t="shared" si="32"/>
        <v>28510.649999999998</v>
      </c>
    </row>
    <row r="274" spans="2:12" ht="13.5" customHeight="1" x14ac:dyDescent="0.25">
      <c r="B274" s="248">
        <v>1208026</v>
      </c>
      <c r="C274" s="25" t="s">
        <v>33</v>
      </c>
      <c r="D274" s="27">
        <v>13</v>
      </c>
      <c r="F274" s="2" t="s">
        <v>34</v>
      </c>
      <c r="G274" s="26"/>
      <c r="H274" s="104"/>
      <c r="I274" s="26">
        <v>1.35</v>
      </c>
      <c r="J274" s="191">
        <f t="shared" si="30"/>
        <v>25798.5</v>
      </c>
      <c r="K274" s="188">
        <f t="shared" si="31"/>
        <v>28378.350000000002</v>
      </c>
      <c r="L274" s="189">
        <f t="shared" si="32"/>
        <v>21498.75</v>
      </c>
    </row>
    <row r="275" spans="2:12" ht="13.5" customHeight="1" x14ac:dyDescent="0.25">
      <c r="B275" s="248">
        <v>1208018</v>
      </c>
      <c r="C275" s="25" t="s">
        <v>35</v>
      </c>
      <c r="D275" s="27">
        <v>5</v>
      </c>
      <c r="F275" s="2" t="s">
        <v>138</v>
      </c>
      <c r="G275" s="26"/>
      <c r="H275" s="26"/>
      <c r="I275" s="26">
        <v>1.35</v>
      </c>
      <c r="J275" s="191">
        <f t="shared" si="30"/>
        <v>9922.5</v>
      </c>
      <c r="K275" s="188">
        <f t="shared" si="31"/>
        <v>10914.75</v>
      </c>
      <c r="L275" s="189">
        <f t="shared" si="32"/>
        <v>8268.75</v>
      </c>
    </row>
    <row r="276" spans="2:12" ht="13.5" customHeight="1" x14ac:dyDescent="0.25">
      <c r="B276" s="248">
        <v>1208023</v>
      </c>
      <c r="C276" s="25" t="s">
        <v>35</v>
      </c>
      <c r="D276" s="27">
        <v>3</v>
      </c>
      <c r="F276" s="2" t="s">
        <v>37</v>
      </c>
      <c r="G276" s="26"/>
      <c r="H276" s="104"/>
      <c r="I276" s="26">
        <v>1.3500000000000003</v>
      </c>
      <c r="J276" s="191">
        <f t="shared" si="30"/>
        <v>5953.5000000000018</v>
      </c>
      <c r="K276" s="188">
        <f t="shared" si="31"/>
        <v>6548.8500000000022</v>
      </c>
      <c r="L276" s="189">
        <f t="shared" si="32"/>
        <v>4961.2500000000009</v>
      </c>
    </row>
    <row r="277" spans="2:12" ht="13.5" customHeight="1" x14ac:dyDescent="0.25">
      <c r="B277" s="248">
        <v>1208036</v>
      </c>
      <c r="C277" s="25" t="s">
        <v>35</v>
      </c>
      <c r="D277" s="27">
        <v>3</v>
      </c>
      <c r="F277" s="2" t="s">
        <v>39</v>
      </c>
      <c r="G277" s="26"/>
      <c r="H277" s="104"/>
      <c r="I277" s="26">
        <v>1.3500000000000003</v>
      </c>
      <c r="J277" s="191">
        <f t="shared" si="30"/>
        <v>5953.5000000000018</v>
      </c>
      <c r="K277" s="188">
        <f t="shared" si="31"/>
        <v>6548.8500000000022</v>
      </c>
      <c r="L277" s="189">
        <f t="shared" si="32"/>
        <v>4961.2500000000009</v>
      </c>
    </row>
    <row r="278" spans="2:12" ht="13.5" customHeight="1" x14ac:dyDescent="0.25">
      <c r="B278" s="248">
        <v>1208002</v>
      </c>
      <c r="C278" s="25" t="s">
        <v>35</v>
      </c>
      <c r="D278" s="27">
        <v>1.7</v>
      </c>
      <c r="F278" s="2" t="s">
        <v>41</v>
      </c>
      <c r="G278" s="26"/>
      <c r="H278" s="26"/>
      <c r="I278" s="26">
        <v>1.35</v>
      </c>
      <c r="J278" s="191">
        <f t="shared" si="30"/>
        <v>3373.65</v>
      </c>
      <c r="K278" s="188">
        <f t="shared" si="31"/>
        <v>3711.0150000000003</v>
      </c>
      <c r="L278" s="189">
        <f t="shared" si="32"/>
        <v>2811.375</v>
      </c>
    </row>
    <row r="279" spans="2:12" ht="13.5" customHeight="1" x14ac:dyDescent="0.25">
      <c r="B279" s="248">
        <v>1208019</v>
      </c>
      <c r="C279" s="25" t="s">
        <v>35</v>
      </c>
      <c r="D279" s="27">
        <v>1.28</v>
      </c>
      <c r="F279" s="2" t="s">
        <v>43</v>
      </c>
      <c r="G279" s="26"/>
      <c r="H279" s="104"/>
      <c r="I279" s="26">
        <v>1.35</v>
      </c>
      <c r="J279" s="191">
        <f t="shared" si="30"/>
        <v>2540.1600000000003</v>
      </c>
      <c r="K279" s="188">
        <f t="shared" si="31"/>
        <v>2794.1760000000004</v>
      </c>
      <c r="L279" s="189">
        <f t="shared" si="32"/>
        <v>2116.8000000000002</v>
      </c>
    </row>
    <row r="280" spans="2:12" ht="13.5" customHeight="1" x14ac:dyDescent="0.25">
      <c r="B280" s="248" t="s">
        <v>418</v>
      </c>
      <c r="C280" s="25" t="s">
        <v>35</v>
      </c>
      <c r="D280" s="27">
        <v>2.2999999999999998</v>
      </c>
      <c r="F280" s="2" t="s">
        <v>46</v>
      </c>
      <c r="G280" s="26"/>
      <c r="H280" s="104"/>
      <c r="I280" s="26">
        <v>1.35</v>
      </c>
      <c r="J280" s="191">
        <f t="shared" si="30"/>
        <v>4564.3499999999995</v>
      </c>
      <c r="K280" s="188">
        <f t="shared" si="31"/>
        <v>5020.7849999999999</v>
      </c>
      <c r="L280" s="189">
        <f t="shared" si="32"/>
        <v>3803.6249999999995</v>
      </c>
    </row>
    <row r="281" spans="2:12" ht="13.5" customHeight="1" x14ac:dyDescent="0.25">
      <c r="B281" s="248" t="s">
        <v>419</v>
      </c>
      <c r="C281" s="25" t="s">
        <v>9</v>
      </c>
      <c r="D281" s="27">
        <v>2.42</v>
      </c>
      <c r="F281" s="2" t="s">
        <v>46</v>
      </c>
      <c r="G281" s="26"/>
      <c r="H281" s="104"/>
      <c r="I281" s="26">
        <v>1.35</v>
      </c>
      <c r="J281" s="191">
        <f t="shared" si="30"/>
        <v>4802.4900000000007</v>
      </c>
      <c r="K281" s="188">
        <f t="shared" si="31"/>
        <v>5282.7390000000014</v>
      </c>
      <c r="L281" s="189">
        <f t="shared" si="32"/>
        <v>4002.0750000000007</v>
      </c>
    </row>
    <row r="282" spans="2:12" ht="13.5" customHeight="1" x14ac:dyDescent="0.25">
      <c r="B282" s="248">
        <v>1208038</v>
      </c>
      <c r="C282" s="25" t="s">
        <v>35</v>
      </c>
      <c r="D282" s="27">
        <v>1.8</v>
      </c>
      <c r="F282" s="2" t="s">
        <v>49</v>
      </c>
      <c r="G282" s="26"/>
      <c r="H282" s="104"/>
      <c r="I282" s="26">
        <v>1.35</v>
      </c>
      <c r="J282" s="191">
        <f t="shared" si="30"/>
        <v>3572.1000000000004</v>
      </c>
      <c r="K282" s="188">
        <f t="shared" si="31"/>
        <v>3929.3100000000009</v>
      </c>
      <c r="L282" s="189">
        <f t="shared" si="32"/>
        <v>2976.75</v>
      </c>
    </row>
    <row r="283" spans="2:12" ht="13.5" customHeight="1" x14ac:dyDescent="0.25">
      <c r="B283" s="248" t="s">
        <v>420</v>
      </c>
      <c r="C283" s="25" t="s">
        <v>15</v>
      </c>
      <c r="D283" s="27">
        <v>10</v>
      </c>
      <c r="F283" s="2" t="s">
        <v>51</v>
      </c>
      <c r="G283" s="26"/>
      <c r="H283" s="104"/>
      <c r="I283" s="26">
        <v>1.35</v>
      </c>
      <c r="J283" s="191">
        <f t="shared" si="30"/>
        <v>19845</v>
      </c>
      <c r="K283" s="188">
        <f t="shared" si="31"/>
        <v>21829.5</v>
      </c>
      <c r="L283" s="189">
        <f t="shared" si="32"/>
        <v>16537.5</v>
      </c>
    </row>
    <row r="284" spans="2:12" ht="13.5" customHeight="1" x14ac:dyDescent="0.25">
      <c r="B284" s="248">
        <v>1208014</v>
      </c>
      <c r="C284" s="25" t="s">
        <v>35</v>
      </c>
      <c r="D284" s="27">
        <v>4</v>
      </c>
      <c r="F284" s="2" t="s">
        <v>112</v>
      </c>
      <c r="G284" s="26"/>
      <c r="H284" s="26"/>
      <c r="I284" s="26">
        <v>1.35</v>
      </c>
      <c r="J284" s="191">
        <f t="shared" si="30"/>
        <v>7938.0000000000009</v>
      </c>
      <c r="K284" s="188">
        <f t="shared" si="31"/>
        <v>8731.8000000000011</v>
      </c>
      <c r="L284" s="189">
        <f t="shared" si="32"/>
        <v>6615.0000000000009</v>
      </c>
    </row>
    <row r="285" spans="2:12" ht="13.5" customHeight="1" x14ac:dyDescent="0.25">
      <c r="B285" s="248">
        <v>1208037</v>
      </c>
      <c r="C285" s="25" t="s">
        <v>35</v>
      </c>
      <c r="D285" s="27">
        <v>1.5</v>
      </c>
      <c r="F285" s="2" t="s">
        <v>115</v>
      </c>
      <c r="G285" s="26"/>
      <c r="H285" s="104"/>
      <c r="I285" s="26">
        <v>1.3500000000000003</v>
      </c>
      <c r="J285" s="191">
        <f t="shared" si="30"/>
        <v>2976.7500000000009</v>
      </c>
      <c r="K285" s="188">
        <f t="shared" si="31"/>
        <v>3274.4250000000011</v>
      </c>
      <c r="L285" s="189">
        <f t="shared" si="32"/>
        <v>2480.6250000000005</v>
      </c>
    </row>
    <row r="286" spans="2:12" ht="13.5" customHeight="1" x14ac:dyDescent="0.25">
      <c r="B286" s="248" t="s">
        <v>441</v>
      </c>
      <c r="C286" s="25" t="s">
        <v>35</v>
      </c>
      <c r="D286" s="27">
        <v>2</v>
      </c>
      <c r="F286" s="2" t="s">
        <v>115</v>
      </c>
      <c r="G286" s="26"/>
      <c r="H286" s="104"/>
      <c r="I286" s="26">
        <v>1.35</v>
      </c>
      <c r="J286" s="191">
        <f t="shared" si="30"/>
        <v>3969.0000000000005</v>
      </c>
      <c r="K286" s="188">
        <f t="shared" si="31"/>
        <v>4365.9000000000005</v>
      </c>
      <c r="L286" s="189">
        <f t="shared" si="32"/>
        <v>3307.5000000000005</v>
      </c>
    </row>
    <row r="287" spans="2:12" ht="13.5" customHeight="1" x14ac:dyDescent="0.25"/>
    <row r="288" spans="2:12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</sheetData>
  <sortState ref="A176:G216">
    <sortCondition ref="A176"/>
  </sortState>
  <mergeCells count="3">
    <mergeCell ref="L2:L3"/>
    <mergeCell ref="K2:K3"/>
    <mergeCell ref="J2:J3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9"/>
  <sheetViews>
    <sheetView topLeftCell="A913" workbookViewId="0">
      <selection activeCell="B900" sqref="B900"/>
    </sheetView>
  </sheetViews>
  <sheetFormatPr baseColWidth="10" defaultRowHeight="15" x14ac:dyDescent="0.25"/>
  <cols>
    <col min="1" max="1" width="11.42578125" style="128"/>
    <col min="2" max="2" width="53.140625" bestFit="1" customWidth="1"/>
    <col min="4" max="4" width="58.28515625" bestFit="1" customWidth="1"/>
    <col min="5" max="5" width="53.140625" bestFit="1" customWidth="1"/>
    <col min="7" max="7" width="24.5703125" bestFit="1" customWidth="1"/>
    <col min="8" max="8" width="18" bestFit="1" customWidth="1"/>
  </cols>
  <sheetData>
    <row r="1" spans="1:9" x14ac:dyDescent="0.25">
      <c r="A1" s="128" t="s">
        <v>453</v>
      </c>
      <c r="B1" t="s">
        <v>454</v>
      </c>
      <c r="C1" t="s">
        <v>455</v>
      </c>
      <c r="D1" t="s">
        <v>456</v>
      </c>
      <c r="E1" t="s">
        <v>457</v>
      </c>
      <c r="F1" t="s">
        <v>458</v>
      </c>
      <c r="G1" t="s">
        <v>459</v>
      </c>
      <c r="H1" t="s">
        <v>460</v>
      </c>
      <c r="I1" t="s">
        <v>461</v>
      </c>
    </row>
    <row r="2" spans="1:9" x14ac:dyDescent="0.25">
      <c r="A2" s="128">
        <v>1199015</v>
      </c>
      <c r="B2" t="s">
        <v>2132</v>
      </c>
      <c r="C2" t="s">
        <v>462</v>
      </c>
      <c r="E2" t="s">
        <v>2132</v>
      </c>
      <c r="I2" t="s">
        <v>463</v>
      </c>
    </row>
    <row r="3" spans="1:9" x14ac:dyDescent="0.25">
      <c r="A3" s="128">
        <v>1199016</v>
      </c>
      <c r="B3" t="s">
        <v>2133</v>
      </c>
      <c r="C3" t="s">
        <v>462</v>
      </c>
      <c r="E3" t="s">
        <v>2133</v>
      </c>
      <c r="I3" t="s">
        <v>463</v>
      </c>
    </row>
    <row r="4" spans="1:9" x14ac:dyDescent="0.25">
      <c r="A4" s="128">
        <v>1199017</v>
      </c>
      <c r="B4" t="s">
        <v>464</v>
      </c>
      <c r="C4" t="s">
        <v>462</v>
      </c>
      <c r="E4" t="s">
        <v>464</v>
      </c>
      <c r="I4" t="s">
        <v>463</v>
      </c>
    </row>
    <row r="5" spans="1:9" x14ac:dyDescent="0.25">
      <c r="A5" s="128">
        <v>1199018</v>
      </c>
      <c r="B5" t="s">
        <v>465</v>
      </c>
      <c r="C5" t="s">
        <v>462</v>
      </c>
      <c r="E5" t="s">
        <v>465</v>
      </c>
      <c r="I5" t="s">
        <v>463</v>
      </c>
    </row>
    <row r="6" spans="1:9" x14ac:dyDescent="0.25">
      <c r="A6" s="128">
        <v>1199019</v>
      </c>
      <c r="B6" t="s">
        <v>358</v>
      </c>
      <c r="C6" t="s">
        <v>462</v>
      </c>
      <c r="E6" t="s">
        <v>358</v>
      </c>
      <c r="I6" t="s">
        <v>463</v>
      </c>
    </row>
    <row r="7" spans="1:9" x14ac:dyDescent="0.25">
      <c r="A7" s="128">
        <v>1199020</v>
      </c>
      <c r="B7" t="s">
        <v>466</v>
      </c>
      <c r="C7" t="s">
        <v>462</v>
      </c>
      <c r="E7" t="s">
        <v>466</v>
      </c>
      <c r="I7" t="s">
        <v>463</v>
      </c>
    </row>
    <row r="8" spans="1:9" x14ac:dyDescent="0.25">
      <c r="A8" s="128">
        <v>1199021</v>
      </c>
      <c r="B8" t="s">
        <v>2134</v>
      </c>
      <c r="C8" t="s">
        <v>462</v>
      </c>
      <c r="E8" t="s">
        <v>2134</v>
      </c>
      <c r="I8" t="s">
        <v>463</v>
      </c>
    </row>
    <row r="9" spans="1:9" x14ac:dyDescent="0.25">
      <c r="A9" s="128">
        <v>1199022</v>
      </c>
      <c r="B9" t="s">
        <v>467</v>
      </c>
      <c r="C9" t="s">
        <v>462</v>
      </c>
      <c r="E9" t="s">
        <v>467</v>
      </c>
      <c r="I9" t="s">
        <v>463</v>
      </c>
    </row>
    <row r="10" spans="1:9" x14ac:dyDescent="0.25">
      <c r="A10" s="128">
        <v>1199023</v>
      </c>
      <c r="B10" t="s">
        <v>468</v>
      </c>
      <c r="C10" t="s">
        <v>462</v>
      </c>
      <c r="E10" t="s">
        <v>468</v>
      </c>
      <c r="I10" t="s">
        <v>463</v>
      </c>
    </row>
    <row r="11" spans="1:9" x14ac:dyDescent="0.25">
      <c r="A11" s="128">
        <v>1199024</v>
      </c>
      <c r="B11" t="s">
        <v>469</v>
      </c>
      <c r="C11" t="s">
        <v>462</v>
      </c>
      <c r="E11" t="s">
        <v>469</v>
      </c>
      <c r="I11" t="s">
        <v>463</v>
      </c>
    </row>
    <row r="12" spans="1:9" x14ac:dyDescent="0.25">
      <c r="A12" s="128">
        <v>1199025</v>
      </c>
      <c r="B12" t="s">
        <v>470</v>
      </c>
      <c r="C12" t="s">
        <v>462</v>
      </c>
      <c r="E12" t="s">
        <v>470</v>
      </c>
      <c r="I12" t="s">
        <v>463</v>
      </c>
    </row>
    <row r="13" spans="1:9" x14ac:dyDescent="0.25">
      <c r="A13" s="128">
        <v>1199026</v>
      </c>
      <c r="B13" t="s">
        <v>471</v>
      </c>
      <c r="C13" t="s">
        <v>462</v>
      </c>
      <c r="E13" t="s">
        <v>471</v>
      </c>
      <c r="I13" t="s">
        <v>463</v>
      </c>
    </row>
    <row r="14" spans="1:9" x14ac:dyDescent="0.25">
      <c r="A14" s="128">
        <v>1199027</v>
      </c>
      <c r="B14" t="s">
        <v>472</v>
      </c>
      <c r="C14" t="s">
        <v>462</v>
      </c>
      <c r="E14" t="s">
        <v>472</v>
      </c>
      <c r="I14" t="s">
        <v>463</v>
      </c>
    </row>
    <row r="15" spans="1:9" x14ac:dyDescent="0.25">
      <c r="A15" s="128">
        <v>1199028</v>
      </c>
      <c r="B15" t="s">
        <v>473</v>
      </c>
      <c r="C15" t="s">
        <v>462</v>
      </c>
      <c r="E15" t="s">
        <v>473</v>
      </c>
      <c r="I15" t="s">
        <v>463</v>
      </c>
    </row>
    <row r="16" spans="1:9" x14ac:dyDescent="0.25">
      <c r="A16" s="128">
        <v>1199029</v>
      </c>
      <c r="B16" t="s">
        <v>2183</v>
      </c>
      <c r="C16" t="s">
        <v>462</v>
      </c>
      <c r="E16" t="s">
        <v>2183</v>
      </c>
      <c r="I16" t="s">
        <v>463</v>
      </c>
    </row>
    <row r="17" spans="1:9" x14ac:dyDescent="0.25">
      <c r="A17" s="128">
        <v>1199030</v>
      </c>
      <c r="B17" t="s">
        <v>2135</v>
      </c>
      <c r="C17" t="s">
        <v>462</v>
      </c>
      <c r="E17" t="s">
        <v>2135</v>
      </c>
      <c r="I17" t="s">
        <v>463</v>
      </c>
    </row>
    <row r="18" spans="1:9" x14ac:dyDescent="0.25">
      <c r="A18" s="128">
        <v>1199031</v>
      </c>
      <c r="B18" t="s">
        <v>474</v>
      </c>
      <c r="C18" t="s">
        <v>462</v>
      </c>
      <c r="E18" t="s">
        <v>474</v>
      </c>
      <c r="I18" t="s">
        <v>463</v>
      </c>
    </row>
    <row r="19" spans="1:9" x14ac:dyDescent="0.25">
      <c r="A19" s="128">
        <v>1199032</v>
      </c>
      <c r="B19" t="s">
        <v>2136</v>
      </c>
      <c r="C19" t="s">
        <v>462</v>
      </c>
      <c r="E19" t="s">
        <v>2136</v>
      </c>
      <c r="I19" t="s">
        <v>463</v>
      </c>
    </row>
    <row r="20" spans="1:9" x14ac:dyDescent="0.25">
      <c r="A20" s="128">
        <v>1199033</v>
      </c>
      <c r="B20" t="s">
        <v>2184</v>
      </c>
      <c r="C20" t="s">
        <v>462</v>
      </c>
      <c r="E20" t="s">
        <v>2184</v>
      </c>
      <c r="I20" t="s">
        <v>463</v>
      </c>
    </row>
    <row r="21" spans="1:9" x14ac:dyDescent="0.25">
      <c r="A21" s="128">
        <v>1199034</v>
      </c>
      <c r="B21" t="s">
        <v>2185</v>
      </c>
      <c r="C21" t="s">
        <v>462</v>
      </c>
      <c r="E21" t="s">
        <v>2185</v>
      </c>
      <c r="I21" t="s">
        <v>463</v>
      </c>
    </row>
    <row r="22" spans="1:9" x14ac:dyDescent="0.25">
      <c r="A22" s="128">
        <v>1199035</v>
      </c>
      <c r="B22" t="s">
        <v>2186</v>
      </c>
      <c r="C22" t="s">
        <v>462</v>
      </c>
      <c r="E22" t="s">
        <v>2186</v>
      </c>
      <c r="I22" t="s">
        <v>463</v>
      </c>
    </row>
    <row r="23" spans="1:9" x14ac:dyDescent="0.25">
      <c r="A23" s="128">
        <v>1199036</v>
      </c>
      <c r="B23" t="s">
        <v>475</v>
      </c>
      <c r="C23" t="s">
        <v>462</v>
      </c>
      <c r="E23" t="s">
        <v>475</v>
      </c>
      <c r="I23" t="s">
        <v>463</v>
      </c>
    </row>
    <row r="24" spans="1:9" x14ac:dyDescent="0.25">
      <c r="A24" s="128">
        <v>1199037</v>
      </c>
      <c r="B24" t="s">
        <v>2187</v>
      </c>
      <c r="C24" t="s">
        <v>462</v>
      </c>
      <c r="E24" t="s">
        <v>2187</v>
      </c>
      <c r="I24" t="s">
        <v>463</v>
      </c>
    </row>
    <row r="25" spans="1:9" x14ac:dyDescent="0.25">
      <c r="A25" s="128">
        <v>1199038</v>
      </c>
      <c r="B25" t="s">
        <v>476</v>
      </c>
      <c r="C25" t="s">
        <v>462</v>
      </c>
      <c r="E25" t="s">
        <v>476</v>
      </c>
      <c r="I25" t="s">
        <v>463</v>
      </c>
    </row>
    <row r="26" spans="1:9" x14ac:dyDescent="0.25">
      <c r="A26" s="128">
        <v>1199039</v>
      </c>
      <c r="B26" t="s">
        <v>477</v>
      </c>
      <c r="C26" t="s">
        <v>462</v>
      </c>
      <c r="E26" t="s">
        <v>477</v>
      </c>
      <c r="I26" t="s">
        <v>463</v>
      </c>
    </row>
    <row r="27" spans="1:9" x14ac:dyDescent="0.25">
      <c r="A27" s="128">
        <v>1199040</v>
      </c>
      <c r="B27" t="s">
        <v>2188</v>
      </c>
      <c r="C27" t="s">
        <v>462</v>
      </c>
      <c r="E27" t="s">
        <v>2188</v>
      </c>
      <c r="I27" t="s">
        <v>463</v>
      </c>
    </row>
    <row r="28" spans="1:9" x14ac:dyDescent="0.25">
      <c r="A28" s="128">
        <v>1199041</v>
      </c>
      <c r="B28" t="s">
        <v>2137</v>
      </c>
      <c r="C28" t="s">
        <v>462</v>
      </c>
      <c r="E28" t="s">
        <v>2137</v>
      </c>
      <c r="I28" t="s">
        <v>463</v>
      </c>
    </row>
    <row r="29" spans="1:9" x14ac:dyDescent="0.25">
      <c r="A29" s="128">
        <v>1199042</v>
      </c>
      <c r="B29" t="s">
        <v>478</v>
      </c>
      <c r="C29" t="s">
        <v>462</v>
      </c>
      <c r="E29" t="s">
        <v>478</v>
      </c>
      <c r="I29" t="s">
        <v>463</v>
      </c>
    </row>
    <row r="30" spans="1:9" x14ac:dyDescent="0.25">
      <c r="A30" s="128">
        <v>1199043</v>
      </c>
      <c r="B30" t="s">
        <v>479</v>
      </c>
      <c r="C30" t="s">
        <v>462</v>
      </c>
      <c r="E30" t="s">
        <v>479</v>
      </c>
      <c r="I30" t="s">
        <v>463</v>
      </c>
    </row>
    <row r="31" spans="1:9" x14ac:dyDescent="0.25">
      <c r="A31" s="128">
        <v>1201034</v>
      </c>
      <c r="B31" t="s">
        <v>480</v>
      </c>
      <c r="C31" t="s">
        <v>462</v>
      </c>
      <c r="E31" t="s">
        <v>480</v>
      </c>
      <c r="I31" t="s">
        <v>463</v>
      </c>
    </row>
    <row r="32" spans="1:9" x14ac:dyDescent="0.25">
      <c r="A32" s="128">
        <v>1201197</v>
      </c>
      <c r="B32" t="s">
        <v>2189</v>
      </c>
      <c r="C32" t="s">
        <v>462</v>
      </c>
      <c r="E32" t="s">
        <v>2189</v>
      </c>
      <c r="I32" t="s">
        <v>463</v>
      </c>
    </row>
    <row r="33" spans="1:9" x14ac:dyDescent="0.25">
      <c r="A33" s="128">
        <v>1201198</v>
      </c>
      <c r="B33" t="s">
        <v>2190</v>
      </c>
      <c r="C33" t="s">
        <v>462</v>
      </c>
      <c r="E33" t="s">
        <v>2190</v>
      </c>
      <c r="I33" t="s">
        <v>463</v>
      </c>
    </row>
    <row r="34" spans="1:9" x14ac:dyDescent="0.25">
      <c r="A34" s="128">
        <v>1201199</v>
      </c>
      <c r="B34" t="s">
        <v>481</v>
      </c>
      <c r="C34" t="s">
        <v>462</v>
      </c>
      <c r="E34" t="s">
        <v>481</v>
      </c>
      <c r="I34" t="s">
        <v>463</v>
      </c>
    </row>
    <row r="35" spans="1:9" x14ac:dyDescent="0.25">
      <c r="A35" s="128">
        <v>1203001</v>
      </c>
      <c r="B35" t="s">
        <v>482</v>
      </c>
      <c r="C35" t="s">
        <v>462</v>
      </c>
      <c r="E35" t="s">
        <v>482</v>
      </c>
      <c r="I35" t="s">
        <v>463</v>
      </c>
    </row>
    <row r="36" spans="1:9" x14ac:dyDescent="0.25">
      <c r="A36" s="128">
        <v>1203002</v>
      </c>
      <c r="B36" t="s">
        <v>483</v>
      </c>
      <c r="C36" t="s">
        <v>462</v>
      </c>
      <c r="E36" t="s">
        <v>483</v>
      </c>
      <c r="I36" t="s">
        <v>463</v>
      </c>
    </row>
    <row r="37" spans="1:9" x14ac:dyDescent="0.25">
      <c r="A37" s="128">
        <v>1203003</v>
      </c>
      <c r="B37" t="s">
        <v>484</v>
      </c>
      <c r="C37" t="s">
        <v>462</v>
      </c>
      <c r="E37" t="s">
        <v>484</v>
      </c>
      <c r="I37" t="s">
        <v>463</v>
      </c>
    </row>
    <row r="38" spans="1:9" x14ac:dyDescent="0.25">
      <c r="A38" s="128">
        <v>1203004</v>
      </c>
      <c r="B38" t="s">
        <v>485</v>
      </c>
      <c r="C38" t="s">
        <v>462</v>
      </c>
      <c r="E38" t="s">
        <v>485</v>
      </c>
      <c r="I38" t="s">
        <v>463</v>
      </c>
    </row>
    <row r="39" spans="1:9" x14ac:dyDescent="0.25">
      <c r="A39" s="128">
        <v>1203005</v>
      </c>
      <c r="B39" t="s">
        <v>486</v>
      </c>
      <c r="C39" t="s">
        <v>462</v>
      </c>
      <c r="E39" t="s">
        <v>486</v>
      </c>
      <c r="I39" t="s">
        <v>463</v>
      </c>
    </row>
    <row r="40" spans="1:9" x14ac:dyDescent="0.25">
      <c r="A40" s="128">
        <v>1203006</v>
      </c>
      <c r="B40" t="s">
        <v>487</v>
      </c>
      <c r="C40" t="s">
        <v>462</v>
      </c>
      <c r="E40" t="s">
        <v>487</v>
      </c>
      <c r="I40" t="s">
        <v>463</v>
      </c>
    </row>
    <row r="41" spans="1:9" x14ac:dyDescent="0.25">
      <c r="A41" s="128">
        <v>1203007</v>
      </c>
      <c r="B41" t="s">
        <v>488</v>
      </c>
      <c r="C41" t="s">
        <v>462</v>
      </c>
      <c r="E41" t="s">
        <v>488</v>
      </c>
      <c r="I41" t="s">
        <v>463</v>
      </c>
    </row>
    <row r="42" spans="1:9" x14ac:dyDescent="0.25">
      <c r="A42" s="128">
        <v>1203008</v>
      </c>
      <c r="B42" t="s">
        <v>489</v>
      </c>
      <c r="C42" t="s">
        <v>462</v>
      </c>
      <c r="E42" t="s">
        <v>489</v>
      </c>
      <c r="I42" t="s">
        <v>463</v>
      </c>
    </row>
    <row r="43" spans="1:9" x14ac:dyDescent="0.25">
      <c r="A43" s="128">
        <v>1203009</v>
      </c>
      <c r="B43" t="s">
        <v>490</v>
      </c>
      <c r="C43" t="s">
        <v>462</v>
      </c>
      <c r="E43" t="s">
        <v>490</v>
      </c>
      <c r="I43" t="s">
        <v>463</v>
      </c>
    </row>
    <row r="44" spans="1:9" x14ac:dyDescent="0.25">
      <c r="A44" s="128">
        <v>1203010</v>
      </c>
      <c r="B44" t="s">
        <v>491</v>
      </c>
      <c r="C44" t="s">
        <v>462</v>
      </c>
      <c r="E44" t="s">
        <v>491</v>
      </c>
      <c r="I44" t="s">
        <v>463</v>
      </c>
    </row>
    <row r="45" spans="1:9" x14ac:dyDescent="0.25">
      <c r="A45" s="128">
        <v>1204001</v>
      </c>
      <c r="B45" t="s">
        <v>2138</v>
      </c>
      <c r="C45" t="s">
        <v>462</v>
      </c>
      <c r="E45" t="s">
        <v>2138</v>
      </c>
      <c r="I45" t="s">
        <v>463</v>
      </c>
    </row>
    <row r="46" spans="1:9" x14ac:dyDescent="0.25">
      <c r="A46" s="128">
        <v>1204002</v>
      </c>
      <c r="B46" t="s">
        <v>2139</v>
      </c>
      <c r="C46" t="s">
        <v>462</v>
      </c>
      <c r="E46" t="s">
        <v>2139</v>
      </c>
      <c r="I46" t="s">
        <v>463</v>
      </c>
    </row>
    <row r="47" spans="1:9" x14ac:dyDescent="0.25">
      <c r="A47" s="128">
        <v>1204003</v>
      </c>
      <c r="B47" t="s">
        <v>492</v>
      </c>
      <c r="C47" t="s">
        <v>462</v>
      </c>
      <c r="E47" t="s">
        <v>492</v>
      </c>
      <c r="I47" t="s">
        <v>463</v>
      </c>
    </row>
    <row r="48" spans="1:9" x14ac:dyDescent="0.25">
      <c r="A48" s="128">
        <v>1204004</v>
      </c>
      <c r="B48" t="s">
        <v>2140</v>
      </c>
      <c r="C48" t="s">
        <v>462</v>
      </c>
      <c r="E48" t="s">
        <v>2140</v>
      </c>
      <c r="I48" t="s">
        <v>463</v>
      </c>
    </row>
    <row r="49" spans="1:9" x14ac:dyDescent="0.25">
      <c r="A49" s="128">
        <v>1204005</v>
      </c>
      <c r="B49" t="s">
        <v>493</v>
      </c>
      <c r="C49" t="s">
        <v>462</v>
      </c>
      <c r="E49" t="s">
        <v>493</v>
      </c>
      <c r="I49" t="s">
        <v>463</v>
      </c>
    </row>
    <row r="50" spans="1:9" x14ac:dyDescent="0.25">
      <c r="A50" s="128">
        <v>1205001</v>
      </c>
      <c r="B50" t="s">
        <v>2113</v>
      </c>
      <c r="C50" t="s">
        <v>462</v>
      </c>
      <c r="E50" t="s">
        <v>2113</v>
      </c>
      <c r="I50" t="s">
        <v>463</v>
      </c>
    </row>
    <row r="51" spans="1:9" x14ac:dyDescent="0.25">
      <c r="A51" s="128">
        <v>1205002</v>
      </c>
      <c r="B51" t="s">
        <v>2043</v>
      </c>
      <c r="C51" t="s">
        <v>462</v>
      </c>
      <c r="E51" t="s">
        <v>2043</v>
      </c>
      <c r="I51" t="s">
        <v>463</v>
      </c>
    </row>
    <row r="52" spans="1:9" x14ac:dyDescent="0.25">
      <c r="A52" s="128">
        <v>1205003</v>
      </c>
      <c r="B52" t="s">
        <v>2114</v>
      </c>
      <c r="C52" t="s">
        <v>462</v>
      </c>
      <c r="E52" t="s">
        <v>2114</v>
      </c>
      <c r="I52" t="s">
        <v>463</v>
      </c>
    </row>
    <row r="53" spans="1:9" x14ac:dyDescent="0.25">
      <c r="A53" s="128">
        <v>1205004</v>
      </c>
      <c r="B53" t="s">
        <v>2115</v>
      </c>
      <c r="C53" t="s">
        <v>462</v>
      </c>
      <c r="E53" t="s">
        <v>2115</v>
      </c>
      <c r="I53" t="s">
        <v>463</v>
      </c>
    </row>
    <row r="54" spans="1:9" x14ac:dyDescent="0.25">
      <c r="A54" s="128">
        <v>1205005</v>
      </c>
      <c r="B54" t="s">
        <v>2044</v>
      </c>
      <c r="C54" t="s">
        <v>462</v>
      </c>
      <c r="E54" t="s">
        <v>2044</v>
      </c>
      <c r="I54" t="s">
        <v>463</v>
      </c>
    </row>
    <row r="55" spans="1:9" x14ac:dyDescent="0.25">
      <c r="A55" s="128">
        <v>1205006</v>
      </c>
      <c r="B55" t="s">
        <v>2045</v>
      </c>
      <c r="C55" t="s">
        <v>462</v>
      </c>
      <c r="E55" t="s">
        <v>2045</v>
      </c>
      <c r="I55" t="s">
        <v>463</v>
      </c>
    </row>
    <row r="56" spans="1:9" x14ac:dyDescent="0.25">
      <c r="A56" s="128">
        <v>1205007</v>
      </c>
      <c r="B56" t="s">
        <v>2141</v>
      </c>
      <c r="C56" t="s">
        <v>462</v>
      </c>
      <c r="E56" t="s">
        <v>2141</v>
      </c>
      <c r="I56" t="s">
        <v>463</v>
      </c>
    </row>
    <row r="57" spans="1:9" x14ac:dyDescent="0.25">
      <c r="A57" s="128">
        <v>1205008</v>
      </c>
      <c r="B57" t="s">
        <v>494</v>
      </c>
      <c r="C57" t="s">
        <v>462</v>
      </c>
      <c r="E57" t="s">
        <v>494</v>
      </c>
      <c r="I57" t="s">
        <v>463</v>
      </c>
    </row>
    <row r="58" spans="1:9" x14ac:dyDescent="0.25">
      <c r="A58" s="128">
        <v>1205009</v>
      </c>
      <c r="B58" t="s">
        <v>2142</v>
      </c>
      <c r="C58" t="s">
        <v>462</v>
      </c>
      <c r="E58" t="s">
        <v>2142</v>
      </c>
      <c r="I58" t="s">
        <v>463</v>
      </c>
    </row>
    <row r="59" spans="1:9" x14ac:dyDescent="0.25">
      <c r="A59" s="128">
        <v>1205010</v>
      </c>
      <c r="B59" t="s">
        <v>2046</v>
      </c>
      <c r="C59" t="s">
        <v>462</v>
      </c>
      <c r="E59" t="s">
        <v>2046</v>
      </c>
      <c r="I59" t="s">
        <v>463</v>
      </c>
    </row>
    <row r="60" spans="1:9" x14ac:dyDescent="0.25">
      <c r="A60" s="128">
        <v>1205011</v>
      </c>
      <c r="B60" t="s">
        <v>2047</v>
      </c>
      <c r="C60" t="s">
        <v>462</v>
      </c>
      <c r="E60" t="s">
        <v>2047</v>
      </c>
      <c r="I60" t="s">
        <v>463</v>
      </c>
    </row>
    <row r="61" spans="1:9" x14ac:dyDescent="0.25">
      <c r="A61" s="128">
        <v>1205012</v>
      </c>
      <c r="B61" t="s">
        <v>2048</v>
      </c>
      <c r="C61" t="s">
        <v>462</v>
      </c>
      <c r="E61" t="s">
        <v>2048</v>
      </c>
      <c r="I61" t="s">
        <v>463</v>
      </c>
    </row>
    <row r="62" spans="1:9" x14ac:dyDescent="0.25">
      <c r="A62" s="128">
        <v>1205013</v>
      </c>
      <c r="B62" t="s">
        <v>2049</v>
      </c>
      <c r="C62" t="s">
        <v>462</v>
      </c>
      <c r="E62" t="s">
        <v>2049</v>
      </c>
      <c r="I62" t="s">
        <v>463</v>
      </c>
    </row>
    <row r="63" spans="1:9" x14ac:dyDescent="0.25">
      <c r="A63" s="128">
        <v>1205014</v>
      </c>
      <c r="B63" t="s">
        <v>2050</v>
      </c>
      <c r="C63" t="s">
        <v>462</v>
      </c>
      <c r="E63" t="s">
        <v>2050</v>
      </c>
      <c r="I63" t="s">
        <v>463</v>
      </c>
    </row>
    <row r="64" spans="1:9" x14ac:dyDescent="0.25">
      <c r="A64" s="128">
        <v>1205015</v>
      </c>
      <c r="B64" t="s">
        <v>2116</v>
      </c>
      <c r="C64" t="s">
        <v>462</v>
      </c>
      <c r="E64" t="s">
        <v>2116</v>
      </c>
      <c r="I64" t="s">
        <v>463</v>
      </c>
    </row>
    <row r="65" spans="1:9" x14ac:dyDescent="0.25">
      <c r="A65" s="128">
        <v>1205016</v>
      </c>
      <c r="B65" t="s">
        <v>495</v>
      </c>
      <c r="C65" t="s">
        <v>462</v>
      </c>
      <c r="E65" t="s">
        <v>495</v>
      </c>
      <c r="I65" t="s">
        <v>463</v>
      </c>
    </row>
    <row r="66" spans="1:9" x14ac:dyDescent="0.25">
      <c r="A66" s="128">
        <v>1205017</v>
      </c>
      <c r="B66" t="s">
        <v>2051</v>
      </c>
      <c r="C66" t="s">
        <v>462</v>
      </c>
      <c r="E66" t="s">
        <v>2051</v>
      </c>
      <c r="I66" t="s">
        <v>463</v>
      </c>
    </row>
    <row r="67" spans="1:9" x14ac:dyDescent="0.25">
      <c r="A67" s="128">
        <v>1206088</v>
      </c>
      <c r="B67" t="s">
        <v>496</v>
      </c>
      <c r="C67" t="s">
        <v>462</v>
      </c>
      <c r="E67" t="s">
        <v>496</v>
      </c>
      <c r="I67" t="s">
        <v>463</v>
      </c>
    </row>
    <row r="68" spans="1:9" x14ac:dyDescent="0.25">
      <c r="A68" s="128">
        <v>1207001</v>
      </c>
      <c r="B68" t="s">
        <v>497</v>
      </c>
      <c r="C68" t="s">
        <v>462</v>
      </c>
      <c r="E68" t="s">
        <v>497</v>
      </c>
      <c r="I68" t="s">
        <v>463</v>
      </c>
    </row>
    <row r="69" spans="1:9" x14ac:dyDescent="0.25">
      <c r="A69" s="128">
        <v>1208001</v>
      </c>
      <c r="B69" t="s">
        <v>498</v>
      </c>
      <c r="C69" t="s">
        <v>462</v>
      </c>
      <c r="E69" t="s">
        <v>498</v>
      </c>
      <c r="I69" t="s">
        <v>463</v>
      </c>
    </row>
    <row r="70" spans="1:9" x14ac:dyDescent="0.25">
      <c r="A70" s="128">
        <v>1208002</v>
      </c>
      <c r="B70" t="s">
        <v>499</v>
      </c>
      <c r="C70" t="s">
        <v>462</v>
      </c>
      <c r="E70" t="s">
        <v>499</v>
      </c>
      <c r="I70" t="s">
        <v>463</v>
      </c>
    </row>
    <row r="71" spans="1:9" x14ac:dyDescent="0.25">
      <c r="A71" s="128">
        <v>1208003</v>
      </c>
      <c r="B71" t="s">
        <v>500</v>
      </c>
      <c r="C71" t="s">
        <v>462</v>
      </c>
      <c r="E71" t="s">
        <v>500</v>
      </c>
      <c r="I71" t="s">
        <v>463</v>
      </c>
    </row>
    <row r="72" spans="1:9" x14ac:dyDescent="0.25">
      <c r="A72" s="128">
        <v>1208004</v>
      </c>
      <c r="B72" t="s">
        <v>2117</v>
      </c>
      <c r="C72" t="s">
        <v>462</v>
      </c>
      <c r="E72" t="s">
        <v>2117</v>
      </c>
      <c r="I72" t="s">
        <v>463</v>
      </c>
    </row>
    <row r="73" spans="1:9" x14ac:dyDescent="0.25">
      <c r="A73" s="128">
        <v>1208005</v>
      </c>
      <c r="B73" t="s">
        <v>501</v>
      </c>
      <c r="C73" t="s">
        <v>462</v>
      </c>
      <c r="E73" t="s">
        <v>501</v>
      </c>
      <c r="I73" t="s">
        <v>463</v>
      </c>
    </row>
    <row r="74" spans="1:9" x14ac:dyDescent="0.25">
      <c r="A74" s="128">
        <v>1208006</v>
      </c>
      <c r="B74" t="s">
        <v>502</v>
      </c>
      <c r="C74" t="s">
        <v>462</v>
      </c>
      <c r="E74" t="s">
        <v>502</v>
      </c>
      <c r="I74" t="s">
        <v>463</v>
      </c>
    </row>
    <row r="75" spans="1:9" x14ac:dyDescent="0.25">
      <c r="A75" s="128">
        <v>1208007</v>
      </c>
      <c r="B75" t="s">
        <v>2118</v>
      </c>
      <c r="C75" t="s">
        <v>462</v>
      </c>
      <c r="E75" t="s">
        <v>2118</v>
      </c>
      <c r="I75" t="s">
        <v>463</v>
      </c>
    </row>
    <row r="76" spans="1:9" x14ac:dyDescent="0.25">
      <c r="A76" s="128">
        <v>1208008</v>
      </c>
      <c r="B76" t="s">
        <v>503</v>
      </c>
      <c r="C76" t="s">
        <v>462</v>
      </c>
      <c r="E76" t="s">
        <v>503</v>
      </c>
      <c r="I76" t="s">
        <v>463</v>
      </c>
    </row>
    <row r="77" spans="1:9" x14ac:dyDescent="0.25">
      <c r="A77" s="128">
        <v>1208009</v>
      </c>
      <c r="B77" t="s">
        <v>504</v>
      </c>
      <c r="C77" t="s">
        <v>462</v>
      </c>
      <c r="E77" t="s">
        <v>504</v>
      </c>
      <c r="I77" t="s">
        <v>463</v>
      </c>
    </row>
    <row r="78" spans="1:9" x14ac:dyDescent="0.25">
      <c r="A78" s="128">
        <v>1208010</v>
      </c>
      <c r="B78" t="s">
        <v>2119</v>
      </c>
      <c r="C78" t="s">
        <v>462</v>
      </c>
      <c r="E78" t="s">
        <v>2119</v>
      </c>
      <c r="I78" t="s">
        <v>463</v>
      </c>
    </row>
    <row r="79" spans="1:9" x14ac:dyDescent="0.25">
      <c r="A79" s="128">
        <v>1208011</v>
      </c>
      <c r="B79" t="s">
        <v>2120</v>
      </c>
      <c r="C79" t="s">
        <v>462</v>
      </c>
      <c r="E79" t="s">
        <v>2120</v>
      </c>
      <c r="I79" t="s">
        <v>463</v>
      </c>
    </row>
    <row r="80" spans="1:9" x14ac:dyDescent="0.25">
      <c r="A80" s="128">
        <v>1208012</v>
      </c>
      <c r="B80" t="s">
        <v>505</v>
      </c>
      <c r="C80" t="s">
        <v>462</v>
      </c>
      <c r="E80" t="s">
        <v>505</v>
      </c>
      <c r="I80" t="s">
        <v>463</v>
      </c>
    </row>
    <row r="81" spans="1:9" x14ac:dyDescent="0.25">
      <c r="A81" s="128">
        <v>1208013</v>
      </c>
      <c r="B81" t="s">
        <v>506</v>
      </c>
      <c r="C81" t="s">
        <v>462</v>
      </c>
      <c r="E81" t="s">
        <v>506</v>
      </c>
      <c r="I81" t="s">
        <v>463</v>
      </c>
    </row>
    <row r="82" spans="1:9" x14ac:dyDescent="0.25">
      <c r="A82" s="128">
        <v>1208014</v>
      </c>
      <c r="B82" t="s">
        <v>507</v>
      </c>
      <c r="C82" t="s">
        <v>462</v>
      </c>
      <c r="E82" t="s">
        <v>507</v>
      </c>
      <c r="I82" t="s">
        <v>463</v>
      </c>
    </row>
    <row r="83" spans="1:9" x14ac:dyDescent="0.25">
      <c r="A83" s="128">
        <v>1208015</v>
      </c>
      <c r="B83" t="s">
        <v>508</v>
      </c>
      <c r="C83" t="s">
        <v>462</v>
      </c>
      <c r="E83" t="s">
        <v>508</v>
      </c>
      <c r="I83" t="s">
        <v>463</v>
      </c>
    </row>
    <row r="84" spans="1:9" x14ac:dyDescent="0.25">
      <c r="A84" s="128">
        <v>1208016</v>
      </c>
      <c r="B84" t="s">
        <v>509</v>
      </c>
      <c r="C84" t="s">
        <v>462</v>
      </c>
      <c r="E84" t="s">
        <v>509</v>
      </c>
      <c r="I84" t="s">
        <v>463</v>
      </c>
    </row>
    <row r="85" spans="1:9" x14ac:dyDescent="0.25">
      <c r="A85" s="128">
        <v>1208017</v>
      </c>
      <c r="B85" t="s">
        <v>510</v>
      </c>
      <c r="C85" t="s">
        <v>462</v>
      </c>
      <c r="E85" t="s">
        <v>510</v>
      </c>
      <c r="I85" t="s">
        <v>463</v>
      </c>
    </row>
    <row r="86" spans="1:9" x14ac:dyDescent="0.25">
      <c r="A86" s="128">
        <v>1208018</v>
      </c>
      <c r="B86" t="s">
        <v>511</v>
      </c>
      <c r="C86" t="s">
        <v>462</v>
      </c>
      <c r="E86" t="s">
        <v>511</v>
      </c>
      <c r="I86" t="s">
        <v>463</v>
      </c>
    </row>
    <row r="87" spans="1:9" x14ac:dyDescent="0.25">
      <c r="A87" s="128">
        <v>1208029</v>
      </c>
      <c r="B87" t="s">
        <v>2143</v>
      </c>
      <c r="C87" t="s">
        <v>462</v>
      </c>
      <c r="E87" t="s">
        <v>2143</v>
      </c>
      <c r="I87" t="s">
        <v>463</v>
      </c>
    </row>
    <row r="88" spans="1:9" x14ac:dyDescent="0.25">
      <c r="A88" s="128">
        <v>1208030</v>
      </c>
      <c r="B88" t="s">
        <v>512</v>
      </c>
      <c r="C88" t="s">
        <v>462</v>
      </c>
      <c r="E88" t="s">
        <v>512</v>
      </c>
      <c r="I88" t="s">
        <v>463</v>
      </c>
    </row>
    <row r="89" spans="1:9" x14ac:dyDescent="0.25">
      <c r="A89" s="128">
        <v>1208031</v>
      </c>
      <c r="B89" t="s">
        <v>513</v>
      </c>
      <c r="C89" t="s">
        <v>462</v>
      </c>
      <c r="E89" t="s">
        <v>513</v>
      </c>
      <c r="I89" t="s">
        <v>463</v>
      </c>
    </row>
    <row r="90" spans="1:9" x14ac:dyDescent="0.25">
      <c r="A90" s="128">
        <v>1208032</v>
      </c>
      <c r="B90" t="s">
        <v>514</v>
      </c>
      <c r="C90" t="s">
        <v>462</v>
      </c>
      <c r="E90" t="s">
        <v>514</v>
      </c>
      <c r="I90" t="s">
        <v>463</v>
      </c>
    </row>
    <row r="91" spans="1:9" x14ac:dyDescent="0.25">
      <c r="A91" s="128">
        <v>1208033</v>
      </c>
      <c r="B91" t="s">
        <v>515</v>
      </c>
      <c r="C91" t="s">
        <v>462</v>
      </c>
      <c r="E91" t="s">
        <v>515</v>
      </c>
      <c r="I91" t="s">
        <v>463</v>
      </c>
    </row>
    <row r="92" spans="1:9" x14ac:dyDescent="0.25">
      <c r="A92" s="128">
        <v>1208034</v>
      </c>
      <c r="B92" t="s">
        <v>516</v>
      </c>
      <c r="C92" t="s">
        <v>462</v>
      </c>
      <c r="E92" t="s">
        <v>516</v>
      </c>
      <c r="I92" t="s">
        <v>463</v>
      </c>
    </row>
    <row r="93" spans="1:9" x14ac:dyDescent="0.25">
      <c r="A93" s="128">
        <v>1208035</v>
      </c>
      <c r="B93" t="s">
        <v>517</v>
      </c>
      <c r="C93" t="s">
        <v>462</v>
      </c>
      <c r="E93" t="s">
        <v>517</v>
      </c>
      <c r="I93" t="s">
        <v>463</v>
      </c>
    </row>
    <row r="94" spans="1:9" x14ac:dyDescent="0.25">
      <c r="A94" s="128">
        <v>1208036</v>
      </c>
      <c r="B94" t="s">
        <v>2121</v>
      </c>
      <c r="C94" t="s">
        <v>462</v>
      </c>
      <c r="E94" t="s">
        <v>2121</v>
      </c>
      <c r="I94" t="s">
        <v>463</v>
      </c>
    </row>
    <row r="95" spans="1:9" x14ac:dyDescent="0.25">
      <c r="A95" s="128">
        <v>1208037</v>
      </c>
      <c r="B95" t="s">
        <v>518</v>
      </c>
      <c r="C95" t="s">
        <v>462</v>
      </c>
      <c r="E95" t="s">
        <v>518</v>
      </c>
      <c r="I95" t="s">
        <v>463</v>
      </c>
    </row>
    <row r="96" spans="1:9" x14ac:dyDescent="0.25">
      <c r="A96" s="128">
        <v>1208038</v>
      </c>
      <c r="B96" t="s">
        <v>519</v>
      </c>
      <c r="C96" t="s">
        <v>462</v>
      </c>
      <c r="E96" t="s">
        <v>519</v>
      </c>
      <c r="I96" t="s">
        <v>463</v>
      </c>
    </row>
    <row r="97" spans="1:9" x14ac:dyDescent="0.25">
      <c r="A97" s="128">
        <v>1208039</v>
      </c>
      <c r="B97" t="s">
        <v>520</v>
      </c>
      <c r="C97" t="s">
        <v>462</v>
      </c>
      <c r="E97" t="s">
        <v>520</v>
      </c>
      <c r="I97" t="s">
        <v>463</v>
      </c>
    </row>
    <row r="98" spans="1:9" x14ac:dyDescent="0.25">
      <c r="A98" s="128">
        <v>1208040</v>
      </c>
      <c r="B98" t="s">
        <v>521</v>
      </c>
      <c r="C98" t="s">
        <v>462</v>
      </c>
      <c r="E98" t="s">
        <v>521</v>
      </c>
      <c r="I98" t="s">
        <v>463</v>
      </c>
    </row>
    <row r="99" spans="1:9" x14ac:dyDescent="0.25">
      <c r="A99" s="128">
        <v>1208041</v>
      </c>
      <c r="B99" t="s">
        <v>2122</v>
      </c>
      <c r="C99" t="s">
        <v>462</v>
      </c>
      <c r="E99" t="s">
        <v>2122</v>
      </c>
      <c r="I99" t="s">
        <v>463</v>
      </c>
    </row>
    <row r="100" spans="1:9" x14ac:dyDescent="0.25">
      <c r="A100" s="128">
        <v>1208042</v>
      </c>
      <c r="B100" t="s">
        <v>522</v>
      </c>
      <c r="C100" t="s">
        <v>462</v>
      </c>
      <c r="E100" t="s">
        <v>522</v>
      </c>
      <c r="I100" t="s">
        <v>463</v>
      </c>
    </row>
    <row r="101" spans="1:9" x14ac:dyDescent="0.25">
      <c r="A101" s="128">
        <v>1208043</v>
      </c>
      <c r="B101" t="s">
        <v>523</v>
      </c>
      <c r="C101" t="s">
        <v>462</v>
      </c>
      <c r="E101" t="s">
        <v>523</v>
      </c>
      <c r="I101" t="s">
        <v>463</v>
      </c>
    </row>
    <row r="102" spans="1:9" x14ac:dyDescent="0.25">
      <c r="A102" s="128">
        <v>1208044</v>
      </c>
      <c r="B102" t="s">
        <v>524</v>
      </c>
      <c r="C102" t="s">
        <v>462</v>
      </c>
      <c r="E102" t="s">
        <v>524</v>
      </c>
      <c r="I102" t="s">
        <v>463</v>
      </c>
    </row>
    <row r="103" spans="1:9" x14ac:dyDescent="0.25">
      <c r="A103" s="128">
        <v>1208045</v>
      </c>
      <c r="B103" t="s">
        <v>2144</v>
      </c>
      <c r="C103" t="s">
        <v>462</v>
      </c>
      <c r="E103" t="s">
        <v>2144</v>
      </c>
      <c r="I103" t="s">
        <v>463</v>
      </c>
    </row>
    <row r="104" spans="1:9" x14ac:dyDescent="0.25">
      <c r="A104" s="128">
        <v>1208046</v>
      </c>
      <c r="B104" t="s">
        <v>2052</v>
      </c>
      <c r="C104" t="s">
        <v>462</v>
      </c>
      <c r="E104" t="s">
        <v>2052</v>
      </c>
      <c r="I104" t="s">
        <v>463</v>
      </c>
    </row>
    <row r="105" spans="1:9" x14ac:dyDescent="0.25">
      <c r="A105" s="128">
        <v>1208047</v>
      </c>
      <c r="B105" t="s">
        <v>525</v>
      </c>
      <c r="C105" t="s">
        <v>462</v>
      </c>
      <c r="E105" t="s">
        <v>525</v>
      </c>
      <c r="I105" t="s">
        <v>463</v>
      </c>
    </row>
    <row r="106" spans="1:9" x14ac:dyDescent="0.25">
      <c r="A106" s="128">
        <v>1208048</v>
      </c>
      <c r="B106" t="s">
        <v>526</v>
      </c>
      <c r="C106" t="s">
        <v>462</v>
      </c>
      <c r="E106" t="s">
        <v>526</v>
      </c>
      <c r="I106" t="s">
        <v>463</v>
      </c>
    </row>
    <row r="107" spans="1:9" x14ac:dyDescent="0.25">
      <c r="A107" s="128">
        <v>1208049</v>
      </c>
      <c r="B107" t="s">
        <v>527</v>
      </c>
      <c r="C107" t="s">
        <v>462</v>
      </c>
      <c r="E107" t="s">
        <v>527</v>
      </c>
      <c r="I107" t="s">
        <v>463</v>
      </c>
    </row>
    <row r="108" spans="1:9" x14ac:dyDescent="0.25">
      <c r="A108" s="128">
        <v>1208050</v>
      </c>
      <c r="B108" t="s">
        <v>2145</v>
      </c>
      <c r="C108" t="s">
        <v>462</v>
      </c>
      <c r="E108" t="s">
        <v>2145</v>
      </c>
      <c r="I108" t="s">
        <v>463</v>
      </c>
    </row>
    <row r="109" spans="1:9" x14ac:dyDescent="0.25">
      <c r="A109" s="128">
        <v>1208051</v>
      </c>
      <c r="B109" t="s">
        <v>528</v>
      </c>
      <c r="C109" t="s">
        <v>462</v>
      </c>
      <c r="E109" t="s">
        <v>528</v>
      </c>
      <c r="I109" t="s">
        <v>463</v>
      </c>
    </row>
    <row r="110" spans="1:9" x14ac:dyDescent="0.25">
      <c r="A110" s="128">
        <v>1208052</v>
      </c>
      <c r="B110" t="s">
        <v>529</v>
      </c>
      <c r="C110" t="s">
        <v>462</v>
      </c>
      <c r="E110" t="s">
        <v>529</v>
      </c>
      <c r="I110" t="s">
        <v>463</v>
      </c>
    </row>
    <row r="111" spans="1:9" x14ac:dyDescent="0.25">
      <c r="A111" s="128">
        <v>1208053</v>
      </c>
      <c r="B111" t="s">
        <v>530</v>
      </c>
      <c r="C111" t="s">
        <v>462</v>
      </c>
      <c r="E111" t="s">
        <v>530</v>
      </c>
      <c r="I111" t="s">
        <v>463</v>
      </c>
    </row>
    <row r="112" spans="1:9" x14ac:dyDescent="0.25">
      <c r="A112" s="128">
        <v>1208054</v>
      </c>
      <c r="B112" t="s">
        <v>531</v>
      </c>
      <c r="C112" t="s">
        <v>462</v>
      </c>
      <c r="E112" t="s">
        <v>531</v>
      </c>
      <c r="I112" t="s">
        <v>463</v>
      </c>
    </row>
    <row r="113" spans="1:9" x14ac:dyDescent="0.25">
      <c r="A113" s="128">
        <v>1209001</v>
      </c>
      <c r="B113" t="s">
        <v>532</v>
      </c>
      <c r="C113" t="s">
        <v>462</v>
      </c>
      <c r="E113" t="s">
        <v>532</v>
      </c>
      <c r="I113" t="s">
        <v>463</v>
      </c>
    </row>
    <row r="114" spans="1:9" x14ac:dyDescent="0.25">
      <c r="A114" s="128">
        <v>1209002</v>
      </c>
      <c r="B114" t="s">
        <v>533</v>
      </c>
      <c r="C114" t="s">
        <v>462</v>
      </c>
      <c r="E114" t="s">
        <v>533</v>
      </c>
      <c r="I114" t="s">
        <v>463</v>
      </c>
    </row>
    <row r="115" spans="1:9" x14ac:dyDescent="0.25">
      <c r="A115" s="128">
        <v>1209003</v>
      </c>
      <c r="B115" t="s">
        <v>534</v>
      </c>
      <c r="C115" t="s">
        <v>462</v>
      </c>
      <c r="E115" t="s">
        <v>534</v>
      </c>
      <c r="I115" t="s">
        <v>463</v>
      </c>
    </row>
    <row r="116" spans="1:9" x14ac:dyDescent="0.25">
      <c r="A116" s="128">
        <v>1209004</v>
      </c>
      <c r="B116" t="s">
        <v>535</v>
      </c>
      <c r="C116" t="s">
        <v>462</v>
      </c>
      <c r="E116" t="s">
        <v>535</v>
      </c>
      <c r="I116" t="s">
        <v>463</v>
      </c>
    </row>
    <row r="117" spans="1:9" x14ac:dyDescent="0.25">
      <c r="A117" s="128">
        <v>1209005</v>
      </c>
      <c r="B117" t="s">
        <v>2191</v>
      </c>
      <c r="C117" t="s">
        <v>462</v>
      </c>
      <c r="E117" t="s">
        <v>2191</v>
      </c>
      <c r="I117" t="s">
        <v>463</v>
      </c>
    </row>
    <row r="118" spans="1:9" x14ac:dyDescent="0.25">
      <c r="A118" s="128">
        <v>1209006</v>
      </c>
      <c r="B118" t="s">
        <v>536</v>
      </c>
      <c r="C118" t="s">
        <v>462</v>
      </c>
      <c r="E118" t="s">
        <v>536</v>
      </c>
      <c r="I118" t="s">
        <v>463</v>
      </c>
    </row>
    <row r="119" spans="1:9" x14ac:dyDescent="0.25">
      <c r="A119" s="128">
        <v>1209007</v>
      </c>
      <c r="B119" t="s">
        <v>2146</v>
      </c>
      <c r="C119" t="s">
        <v>462</v>
      </c>
      <c r="E119" t="s">
        <v>2146</v>
      </c>
      <c r="I119" t="s">
        <v>463</v>
      </c>
    </row>
    <row r="120" spans="1:9" x14ac:dyDescent="0.25">
      <c r="A120" s="128">
        <v>1209008</v>
      </c>
      <c r="B120" t="s">
        <v>537</v>
      </c>
      <c r="C120" t="s">
        <v>462</v>
      </c>
      <c r="E120" t="s">
        <v>537</v>
      </c>
      <c r="I120" t="s">
        <v>463</v>
      </c>
    </row>
    <row r="121" spans="1:9" x14ac:dyDescent="0.25">
      <c r="A121" s="128">
        <v>1210001</v>
      </c>
      <c r="B121" t="s">
        <v>2192</v>
      </c>
      <c r="C121" t="s">
        <v>462</v>
      </c>
      <c r="E121" t="s">
        <v>2192</v>
      </c>
      <c r="I121" t="s">
        <v>463</v>
      </c>
    </row>
    <row r="122" spans="1:9" x14ac:dyDescent="0.25">
      <c r="A122" s="128">
        <v>1210002</v>
      </c>
      <c r="B122" t="s">
        <v>2193</v>
      </c>
      <c r="C122" t="s">
        <v>462</v>
      </c>
      <c r="E122" t="s">
        <v>2193</v>
      </c>
      <c r="I122" t="s">
        <v>463</v>
      </c>
    </row>
    <row r="123" spans="1:9" x14ac:dyDescent="0.25">
      <c r="A123" s="128">
        <v>1211001</v>
      </c>
      <c r="B123" t="s">
        <v>2053</v>
      </c>
      <c r="C123" t="s">
        <v>462</v>
      </c>
      <c r="E123" t="s">
        <v>2053</v>
      </c>
      <c r="I123" t="s">
        <v>463</v>
      </c>
    </row>
    <row r="124" spans="1:9" x14ac:dyDescent="0.25">
      <c r="A124" s="128">
        <v>1212001</v>
      </c>
      <c r="B124" t="s">
        <v>2194</v>
      </c>
      <c r="C124" t="s">
        <v>462</v>
      </c>
      <c r="E124" t="s">
        <v>2194</v>
      </c>
      <c r="I124" t="s">
        <v>463</v>
      </c>
    </row>
    <row r="125" spans="1:9" x14ac:dyDescent="0.25">
      <c r="A125" s="128">
        <v>1212002</v>
      </c>
      <c r="B125" t="s">
        <v>2195</v>
      </c>
      <c r="C125" t="s">
        <v>462</v>
      </c>
      <c r="E125" t="s">
        <v>2195</v>
      </c>
      <c r="I125" t="s">
        <v>463</v>
      </c>
    </row>
    <row r="126" spans="1:9" x14ac:dyDescent="0.25">
      <c r="A126" s="128">
        <v>1212003</v>
      </c>
      <c r="B126" t="s">
        <v>2196</v>
      </c>
      <c r="C126" t="s">
        <v>462</v>
      </c>
      <c r="E126" t="s">
        <v>2196</v>
      </c>
      <c r="I126" t="s">
        <v>463</v>
      </c>
    </row>
    <row r="127" spans="1:9" x14ac:dyDescent="0.25">
      <c r="A127" s="128">
        <v>1212004</v>
      </c>
      <c r="B127" t="s">
        <v>470</v>
      </c>
      <c r="C127" t="s">
        <v>462</v>
      </c>
      <c r="E127" t="s">
        <v>470</v>
      </c>
      <c r="I127" t="s">
        <v>463</v>
      </c>
    </row>
    <row r="128" spans="1:9" x14ac:dyDescent="0.25">
      <c r="A128" s="128">
        <v>1212005</v>
      </c>
      <c r="B128" t="s">
        <v>2054</v>
      </c>
      <c r="C128" t="s">
        <v>462</v>
      </c>
      <c r="E128" t="s">
        <v>2054</v>
      </c>
      <c r="I128" t="s">
        <v>463</v>
      </c>
    </row>
    <row r="129" spans="1:9" x14ac:dyDescent="0.25">
      <c r="A129" s="128">
        <v>1212006</v>
      </c>
      <c r="B129" t="s">
        <v>538</v>
      </c>
      <c r="C129" t="s">
        <v>462</v>
      </c>
      <c r="E129" t="s">
        <v>538</v>
      </c>
      <c r="I129" t="s">
        <v>463</v>
      </c>
    </row>
    <row r="130" spans="1:9" x14ac:dyDescent="0.25">
      <c r="A130" s="128">
        <v>1212007</v>
      </c>
      <c r="B130" t="s">
        <v>473</v>
      </c>
      <c r="C130" t="s">
        <v>462</v>
      </c>
      <c r="E130" t="s">
        <v>473</v>
      </c>
      <c r="I130" t="s">
        <v>463</v>
      </c>
    </row>
    <row r="131" spans="1:9" x14ac:dyDescent="0.25">
      <c r="A131" s="128">
        <v>1212008</v>
      </c>
      <c r="B131" t="s">
        <v>472</v>
      </c>
      <c r="C131" t="s">
        <v>462</v>
      </c>
      <c r="E131" t="s">
        <v>472</v>
      </c>
      <c r="I131" t="s">
        <v>463</v>
      </c>
    </row>
    <row r="132" spans="1:9" x14ac:dyDescent="0.25">
      <c r="A132" s="128">
        <v>1212009</v>
      </c>
      <c r="B132" t="s">
        <v>539</v>
      </c>
      <c r="C132" t="s">
        <v>462</v>
      </c>
      <c r="E132" t="s">
        <v>539</v>
      </c>
      <c r="I132" t="s">
        <v>463</v>
      </c>
    </row>
    <row r="133" spans="1:9" x14ac:dyDescent="0.25">
      <c r="A133" s="128">
        <v>1212010</v>
      </c>
      <c r="B133" t="s">
        <v>540</v>
      </c>
      <c r="C133" t="s">
        <v>462</v>
      </c>
      <c r="E133" t="s">
        <v>540</v>
      </c>
      <c r="I133" t="s">
        <v>463</v>
      </c>
    </row>
    <row r="134" spans="1:9" x14ac:dyDescent="0.25">
      <c r="A134" s="128">
        <v>1212011</v>
      </c>
      <c r="B134" t="s">
        <v>541</v>
      </c>
      <c r="C134" t="s">
        <v>462</v>
      </c>
      <c r="E134" t="s">
        <v>541</v>
      </c>
      <c r="I134" t="s">
        <v>463</v>
      </c>
    </row>
    <row r="135" spans="1:9" x14ac:dyDescent="0.25">
      <c r="A135" s="128">
        <v>1212012</v>
      </c>
      <c r="B135" t="s">
        <v>542</v>
      </c>
      <c r="C135" t="s">
        <v>462</v>
      </c>
      <c r="E135" t="s">
        <v>542</v>
      </c>
      <c r="I135" t="s">
        <v>463</v>
      </c>
    </row>
    <row r="136" spans="1:9" x14ac:dyDescent="0.25">
      <c r="A136" s="128">
        <v>1212013</v>
      </c>
      <c r="B136" t="s">
        <v>543</v>
      </c>
      <c r="C136" t="s">
        <v>462</v>
      </c>
      <c r="E136" t="s">
        <v>543</v>
      </c>
      <c r="I136" t="s">
        <v>463</v>
      </c>
    </row>
    <row r="137" spans="1:9" x14ac:dyDescent="0.25">
      <c r="A137" s="128">
        <v>1212014</v>
      </c>
      <c r="B137" t="s">
        <v>544</v>
      </c>
      <c r="C137" t="s">
        <v>462</v>
      </c>
      <c r="E137" t="s">
        <v>544</v>
      </c>
      <c r="I137" t="s">
        <v>463</v>
      </c>
    </row>
    <row r="138" spans="1:9" x14ac:dyDescent="0.25">
      <c r="A138" s="128">
        <v>1212015</v>
      </c>
      <c r="B138" t="s">
        <v>545</v>
      </c>
      <c r="C138" t="s">
        <v>462</v>
      </c>
      <c r="E138" t="s">
        <v>545</v>
      </c>
      <c r="I138" t="s">
        <v>463</v>
      </c>
    </row>
    <row r="139" spans="1:9" x14ac:dyDescent="0.25">
      <c r="A139" s="128">
        <v>1212016</v>
      </c>
      <c r="B139" t="s">
        <v>546</v>
      </c>
      <c r="C139" t="s">
        <v>462</v>
      </c>
      <c r="E139" t="s">
        <v>546</v>
      </c>
      <c r="I139" t="s">
        <v>463</v>
      </c>
    </row>
    <row r="140" spans="1:9" x14ac:dyDescent="0.25">
      <c r="A140" s="128">
        <v>1212017</v>
      </c>
      <c r="B140" t="s">
        <v>468</v>
      </c>
      <c r="C140" t="s">
        <v>462</v>
      </c>
      <c r="E140" t="s">
        <v>468</v>
      </c>
      <c r="I140" t="s">
        <v>463</v>
      </c>
    </row>
    <row r="141" spans="1:9" x14ac:dyDescent="0.25">
      <c r="A141" s="128">
        <v>1212018</v>
      </c>
      <c r="B141" t="s">
        <v>469</v>
      </c>
      <c r="C141" t="s">
        <v>462</v>
      </c>
      <c r="E141" t="s">
        <v>469</v>
      </c>
      <c r="I141" t="s">
        <v>463</v>
      </c>
    </row>
    <row r="142" spans="1:9" x14ac:dyDescent="0.25">
      <c r="A142" s="128">
        <v>1212019</v>
      </c>
      <c r="B142" t="s">
        <v>547</v>
      </c>
      <c r="C142" t="s">
        <v>462</v>
      </c>
      <c r="E142" t="s">
        <v>547</v>
      </c>
      <c r="I142" t="s">
        <v>463</v>
      </c>
    </row>
    <row r="143" spans="1:9" x14ac:dyDescent="0.25">
      <c r="A143" s="128">
        <v>1212020</v>
      </c>
      <c r="B143" t="s">
        <v>548</v>
      </c>
      <c r="C143" t="s">
        <v>462</v>
      </c>
      <c r="E143" t="s">
        <v>548</v>
      </c>
      <c r="I143" t="s">
        <v>463</v>
      </c>
    </row>
    <row r="144" spans="1:9" x14ac:dyDescent="0.25">
      <c r="A144" s="128">
        <v>1212021</v>
      </c>
      <c r="B144" t="s">
        <v>549</v>
      </c>
      <c r="C144" t="s">
        <v>462</v>
      </c>
      <c r="E144" t="s">
        <v>549</v>
      </c>
      <c r="I144" t="s">
        <v>463</v>
      </c>
    </row>
    <row r="145" spans="1:9" x14ac:dyDescent="0.25">
      <c r="A145" s="128">
        <v>1212022</v>
      </c>
      <c r="B145" t="s">
        <v>550</v>
      </c>
      <c r="C145" t="s">
        <v>462</v>
      </c>
      <c r="E145" t="s">
        <v>550</v>
      </c>
      <c r="I145" t="s">
        <v>463</v>
      </c>
    </row>
    <row r="146" spans="1:9" x14ac:dyDescent="0.25">
      <c r="A146" s="128">
        <v>1212023</v>
      </c>
      <c r="B146" t="s">
        <v>551</v>
      </c>
      <c r="C146" t="s">
        <v>462</v>
      </c>
      <c r="E146" t="s">
        <v>551</v>
      </c>
      <c r="I146" t="s">
        <v>463</v>
      </c>
    </row>
    <row r="147" spans="1:9" x14ac:dyDescent="0.25">
      <c r="A147" s="128">
        <v>1212024</v>
      </c>
      <c r="B147" t="s">
        <v>552</v>
      </c>
      <c r="C147" t="s">
        <v>462</v>
      </c>
      <c r="E147" t="s">
        <v>552</v>
      </c>
      <c r="I147" t="s">
        <v>463</v>
      </c>
    </row>
    <row r="148" spans="1:9" x14ac:dyDescent="0.25">
      <c r="A148" s="128">
        <v>1213001</v>
      </c>
      <c r="B148" t="s">
        <v>553</v>
      </c>
      <c r="C148" t="s">
        <v>462</v>
      </c>
      <c r="E148" t="s">
        <v>553</v>
      </c>
      <c r="I148" t="s">
        <v>463</v>
      </c>
    </row>
    <row r="149" spans="1:9" x14ac:dyDescent="0.25">
      <c r="A149" s="128">
        <v>1213002</v>
      </c>
      <c r="B149" t="s">
        <v>554</v>
      </c>
      <c r="C149" t="s">
        <v>462</v>
      </c>
      <c r="E149" t="s">
        <v>554</v>
      </c>
      <c r="I149" t="s">
        <v>463</v>
      </c>
    </row>
    <row r="150" spans="1:9" x14ac:dyDescent="0.25">
      <c r="A150" s="128">
        <v>1213003</v>
      </c>
      <c r="B150" t="s">
        <v>2197</v>
      </c>
      <c r="C150" t="s">
        <v>462</v>
      </c>
      <c r="E150" t="s">
        <v>2197</v>
      </c>
      <c r="I150" t="s">
        <v>463</v>
      </c>
    </row>
    <row r="151" spans="1:9" x14ac:dyDescent="0.25">
      <c r="A151" s="128">
        <v>1213004</v>
      </c>
      <c r="B151" t="s">
        <v>555</v>
      </c>
      <c r="C151" t="s">
        <v>462</v>
      </c>
      <c r="E151" t="s">
        <v>555</v>
      </c>
      <c r="I151" t="s">
        <v>463</v>
      </c>
    </row>
    <row r="152" spans="1:9" x14ac:dyDescent="0.25">
      <c r="A152" s="128">
        <v>1213005</v>
      </c>
      <c r="B152" t="s">
        <v>2198</v>
      </c>
      <c r="C152" t="s">
        <v>462</v>
      </c>
      <c r="E152" t="s">
        <v>2198</v>
      </c>
      <c r="I152" t="s">
        <v>463</v>
      </c>
    </row>
    <row r="153" spans="1:9" x14ac:dyDescent="0.25">
      <c r="A153" s="128">
        <v>1213006</v>
      </c>
      <c r="B153" t="s">
        <v>481</v>
      </c>
      <c r="C153" t="s">
        <v>462</v>
      </c>
      <c r="E153" t="s">
        <v>481</v>
      </c>
      <c r="I153" t="s">
        <v>463</v>
      </c>
    </row>
    <row r="154" spans="1:9" x14ac:dyDescent="0.25">
      <c r="A154" s="128">
        <v>1213007</v>
      </c>
      <c r="B154" t="s">
        <v>556</v>
      </c>
      <c r="C154" t="s">
        <v>462</v>
      </c>
      <c r="E154" t="s">
        <v>556</v>
      </c>
      <c r="I154" t="s">
        <v>463</v>
      </c>
    </row>
    <row r="155" spans="1:9" x14ac:dyDescent="0.25">
      <c r="A155" s="128">
        <v>1213008</v>
      </c>
      <c r="B155" t="s">
        <v>2199</v>
      </c>
      <c r="C155" t="s">
        <v>462</v>
      </c>
      <c r="E155" t="s">
        <v>2199</v>
      </c>
      <c r="I155" t="s">
        <v>463</v>
      </c>
    </row>
    <row r="156" spans="1:9" x14ac:dyDescent="0.25">
      <c r="A156" s="128">
        <v>1213009</v>
      </c>
      <c r="B156" t="s">
        <v>2200</v>
      </c>
      <c r="C156" t="s">
        <v>462</v>
      </c>
      <c r="E156" t="s">
        <v>2200</v>
      </c>
      <c r="I156" t="s">
        <v>463</v>
      </c>
    </row>
    <row r="157" spans="1:9" x14ac:dyDescent="0.25">
      <c r="A157" s="128">
        <v>1213010</v>
      </c>
      <c r="B157" t="s">
        <v>557</v>
      </c>
      <c r="C157" t="s">
        <v>462</v>
      </c>
      <c r="E157" t="s">
        <v>557</v>
      </c>
      <c r="I157" t="s">
        <v>463</v>
      </c>
    </row>
    <row r="158" spans="1:9" x14ac:dyDescent="0.25">
      <c r="A158" s="128">
        <v>1213011</v>
      </c>
      <c r="B158" t="s">
        <v>2123</v>
      </c>
      <c r="C158" t="s">
        <v>462</v>
      </c>
      <c r="E158" t="s">
        <v>2123</v>
      </c>
      <c r="I158" t="s">
        <v>463</v>
      </c>
    </row>
    <row r="159" spans="1:9" x14ac:dyDescent="0.25">
      <c r="A159" s="128">
        <v>1213012</v>
      </c>
      <c r="B159" t="s">
        <v>2124</v>
      </c>
      <c r="C159" t="s">
        <v>462</v>
      </c>
      <c r="E159" t="s">
        <v>2124</v>
      </c>
      <c r="I159" t="s">
        <v>463</v>
      </c>
    </row>
    <row r="160" spans="1:9" x14ac:dyDescent="0.25">
      <c r="A160" s="128">
        <v>1213013</v>
      </c>
      <c r="B160" t="s">
        <v>2055</v>
      </c>
      <c r="C160" t="s">
        <v>462</v>
      </c>
      <c r="E160" t="s">
        <v>2055</v>
      </c>
      <c r="I160" t="s">
        <v>463</v>
      </c>
    </row>
    <row r="161" spans="1:9" x14ac:dyDescent="0.25">
      <c r="A161" s="128">
        <v>1213014</v>
      </c>
      <c r="B161" t="s">
        <v>2056</v>
      </c>
      <c r="C161" t="s">
        <v>462</v>
      </c>
      <c r="E161" t="s">
        <v>2056</v>
      </c>
      <c r="I161" t="s">
        <v>463</v>
      </c>
    </row>
    <row r="162" spans="1:9" x14ac:dyDescent="0.25">
      <c r="A162" s="128">
        <v>1213015</v>
      </c>
      <c r="B162" t="s">
        <v>2057</v>
      </c>
      <c r="C162" t="s">
        <v>462</v>
      </c>
      <c r="E162" t="s">
        <v>2057</v>
      </c>
      <c r="I162" t="s">
        <v>463</v>
      </c>
    </row>
    <row r="163" spans="1:9" x14ac:dyDescent="0.25">
      <c r="A163" s="128">
        <v>1213016</v>
      </c>
      <c r="B163" t="s">
        <v>2201</v>
      </c>
      <c r="C163" t="s">
        <v>462</v>
      </c>
      <c r="E163" t="s">
        <v>2201</v>
      </c>
      <c r="I163" t="s">
        <v>463</v>
      </c>
    </row>
    <row r="164" spans="1:9" x14ac:dyDescent="0.25">
      <c r="A164" s="128">
        <v>1213017</v>
      </c>
      <c r="B164" t="s">
        <v>2202</v>
      </c>
      <c r="C164" t="s">
        <v>462</v>
      </c>
      <c r="E164" t="s">
        <v>2202</v>
      </c>
      <c r="I164" t="s">
        <v>463</v>
      </c>
    </row>
    <row r="165" spans="1:9" x14ac:dyDescent="0.25">
      <c r="A165" s="128">
        <v>1213018</v>
      </c>
      <c r="B165" t="s">
        <v>2147</v>
      </c>
      <c r="C165" t="s">
        <v>462</v>
      </c>
      <c r="E165" t="s">
        <v>2147</v>
      </c>
      <c r="I165" t="s">
        <v>463</v>
      </c>
    </row>
    <row r="166" spans="1:9" x14ac:dyDescent="0.25">
      <c r="A166" s="128">
        <v>1213019</v>
      </c>
      <c r="B166" t="s">
        <v>2203</v>
      </c>
      <c r="C166" t="s">
        <v>462</v>
      </c>
      <c r="E166" t="s">
        <v>2203</v>
      </c>
      <c r="I166" t="s">
        <v>463</v>
      </c>
    </row>
    <row r="167" spans="1:9" x14ac:dyDescent="0.25">
      <c r="A167" s="128">
        <v>1213020</v>
      </c>
      <c r="B167" t="s">
        <v>2058</v>
      </c>
      <c r="C167" t="s">
        <v>462</v>
      </c>
      <c r="E167" t="s">
        <v>2058</v>
      </c>
      <c r="I167" t="s">
        <v>463</v>
      </c>
    </row>
    <row r="168" spans="1:9" x14ac:dyDescent="0.25">
      <c r="A168" s="128">
        <v>1213021</v>
      </c>
      <c r="B168" t="s">
        <v>558</v>
      </c>
      <c r="C168" t="s">
        <v>462</v>
      </c>
      <c r="E168" t="s">
        <v>558</v>
      </c>
      <c r="I168" t="s">
        <v>463</v>
      </c>
    </row>
    <row r="169" spans="1:9" x14ac:dyDescent="0.25">
      <c r="A169" s="128">
        <v>1213022</v>
      </c>
      <c r="B169" t="s">
        <v>2204</v>
      </c>
      <c r="C169" t="s">
        <v>462</v>
      </c>
      <c r="E169" t="s">
        <v>2204</v>
      </c>
      <c r="I169" t="s">
        <v>463</v>
      </c>
    </row>
    <row r="170" spans="1:9" x14ac:dyDescent="0.25">
      <c r="A170" s="128">
        <v>1213023</v>
      </c>
      <c r="B170" t="s">
        <v>2148</v>
      </c>
      <c r="C170" t="s">
        <v>462</v>
      </c>
      <c r="E170" t="s">
        <v>2148</v>
      </c>
      <c r="I170" t="s">
        <v>463</v>
      </c>
    </row>
    <row r="171" spans="1:9" x14ac:dyDescent="0.25">
      <c r="A171" s="128">
        <v>1213024</v>
      </c>
      <c r="B171" t="s">
        <v>2149</v>
      </c>
      <c r="C171" t="s">
        <v>462</v>
      </c>
      <c r="E171" t="s">
        <v>2149</v>
      </c>
      <c r="I171" t="s">
        <v>463</v>
      </c>
    </row>
    <row r="172" spans="1:9" x14ac:dyDescent="0.25">
      <c r="A172" s="128">
        <v>1213025</v>
      </c>
      <c r="B172" t="s">
        <v>559</v>
      </c>
      <c r="C172" t="s">
        <v>462</v>
      </c>
      <c r="E172" t="s">
        <v>559</v>
      </c>
      <c r="I172" t="s">
        <v>463</v>
      </c>
    </row>
    <row r="173" spans="1:9" x14ac:dyDescent="0.25">
      <c r="A173" s="128">
        <v>1213026</v>
      </c>
      <c r="B173" t="s">
        <v>560</v>
      </c>
      <c r="C173" t="s">
        <v>462</v>
      </c>
      <c r="E173" t="s">
        <v>560</v>
      </c>
      <c r="I173" t="s">
        <v>463</v>
      </c>
    </row>
    <row r="174" spans="1:9" x14ac:dyDescent="0.25">
      <c r="A174" s="128">
        <v>1213027</v>
      </c>
      <c r="B174" t="s">
        <v>561</v>
      </c>
      <c r="C174" t="s">
        <v>462</v>
      </c>
      <c r="E174" t="s">
        <v>561</v>
      </c>
      <c r="I174" t="s">
        <v>463</v>
      </c>
    </row>
    <row r="175" spans="1:9" x14ac:dyDescent="0.25">
      <c r="A175" s="128">
        <v>1213028</v>
      </c>
      <c r="B175" t="s">
        <v>562</v>
      </c>
      <c r="C175" t="s">
        <v>462</v>
      </c>
      <c r="E175" t="s">
        <v>562</v>
      </c>
      <c r="I175" t="s">
        <v>463</v>
      </c>
    </row>
    <row r="176" spans="1:9" x14ac:dyDescent="0.25">
      <c r="A176" s="128">
        <v>1213029</v>
      </c>
      <c r="B176" t="s">
        <v>2205</v>
      </c>
      <c r="C176" t="s">
        <v>462</v>
      </c>
      <c r="E176" t="s">
        <v>2205</v>
      </c>
      <c r="I176" t="s">
        <v>463</v>
      </c>
    </row>
    <row r="177" spans="1:9" x14ac:dyDescent="0.25">
      <c r="A177" s="128">
        <v>1213030</v>
      </c>
      <c r="B177" t="s">
        <v>563</v>
      </c>
      <c r="C177" t="s">
        <v>462</v>
      </c>
      <c r="E177" t="s">
        <v>563</v>
      </c>
      <c r="I177" t="s">
        <v>463</v>
      </c>
    </row>
    <row r="178" spans="1:9" x14ac:dyDescent="0.25">
      <c r="A178" s="128">
        <v>1213031</v>
      </c>
      <c r="B178" t="s">
        <v>2206</v>
      </c>
      <c r="C178" t="s">
        <v>462</v>
      </c>
      <c r="E178" t="s">
        <v>2206</v>
      </c>
      <c r="I178" t="s">
        <v>463</v>
      </c>
    </row>
    <row r="179" spans="1:9" x14ac:dyDescent="0.25">
      <c r="A179" s="128">
        <v>1213032</v>
      </c>
      <c r="B179" t="s">
        <v>2207</v>
      </c>
      <c r="C179" t="s">
        <v>462</v>
      </c>
      <c r="E179" t="s">
        <v>2207</v>
      </c>
      <c r="I179" t="s">
        <v>463</v>
      </c>
    </row>
    <row r="180" spans="1:9" x14ac:dyDescent="0.25">
      <c r="A180" s="128">
        <v>1213033</v>
      </c>
      <c r="B180" t="s">
        <v>2059</v>
      </c>
      <c r="C180" t="s">
        <v>462</v>
      </c>
      <c r="E180" t="s">
        <v>2059</v>
      </c>
      <c r="I180" t="s">
        <v>463</v>
      </c>
    </row>
    <row r="181" spans="1:9" x14ac:dyDescent="0.25">
      <c r="A181" s="128">
        <v>1213034</v>
      </c>
      <c r="B181" t="s">
        <v>564</v>
      </c>
      <c r="C181" t="s">
        <v>462</v>
      </c>
      <c r="E181" t="s">
        <v>564</v>
      </c>
      <c r="I181" t="s">
        <v>463</v>
      </c>
    </row>
    <row r="182" spans="1:9" x14ac:dyDescent="0.25">
      <c r="A182" s="128">
        <v>1213035</v>
      </c>
      <c r="B182" t="s">
        <v>565</v>
      </c>
      <c r="C182" t="s">
        <v>462</v>
      </c>
      <c r="E182" t="s">
        <v>565</v>
      </c>
      <c r="I182" t="s">
        <v>463</v>
      </c>
    </row>
    <row r="183" spans="1:9" x14ac:dyDescent="0.25">
      <c r="A183" s="128">
        <v>1213036</v>
      </c>
      <c r="B183" t="s">
        <v>464</v>
      </c>
      <c r="C183" t="s">
        <v>462</v>
      </c>
      <c r="E183" t="s">
        <v>464</v>
      </c>
      <c r="I183" t="s">
        <v>463</v>
      </c>
    </row>
    <row r="184" spans="1:9" x14ac:dyDescent="0.25">
      <c r="A184" s="128">
        <v>1213037</v>
      </c>
      <c r="B184" t="s">
        <v>2208</v>
      </c>
      <c r="C184" t="s">
        <v>462</v>
      </c>
      <c r="E184" t="s">
        <v>2208</v>
      </c>
      <c r="I184" t="s">
        <v>463</v>
      </c>
    </row>
    <row r="185" spans="1:9" x14ac:dyDescent="0.25">
      <c r="A185" s="128">
        <v>1213038</v>
      </c>
      <c r="B185" t="s">
        <v>2209</v>
      </c>
      <c r="C185" t="s">
        <v>462</v>
      </c>
      <c r="E185" t="s">
        <v>2209</v>
      </c>
      <c r="I185" t="s">
        <v>463</v>
      </c>
    </row>
    <row r="186" spans="1:9" x14ac:dyDescent="0.25">
      <c r="A186" s="128">
        <v>1213039</v>
      </c>
      <c r="B186" t="s">
        <v>566</v>
      </c>
      <c r="C186" t="s">
        <v>462</v>
      </c>
      <c r="E186" t="s">
        <v>566</v>
      </c>
      <c r="I186" t="s">
        <v>463</v>
      </c>
    </row>
    <row r="187" spans="1:9" x14ac:dyDescent="0.25">
      <c r="A187" s="128">
        <v>1213040</v>
      </c>
      <c r="B187" t="s">
        <v>567</v>
      </c>
      <c r="C187" t="s">
        <v>462</v>
      </c>
      <c r="E187" t="s">
        <v>567</v>
      </c>
      <c r="I187" t="s">
        <v>463</v>
      </c>
    </row>
    <row r="188" spans="1:9" x14ac:dyDescent="0.25">
      <c r="A188" s="128">
        <v>1213041</v>
      </c>
      <c r="B188" t="s">
        <v>568</v>
      </c>
      <c r="C188" t="s">
        <v>462</v>
      </c>
      <c r="E188" t="s">
        <v>568</v>
      </c>
      <c r="I188" t="s">
        <v>463</v>
      </c>
    </row>
    <row r="189" spans="1:9" x14ac:dyDescent="0.25">
      <c r="A189" s="128">
        <v>1213042</v>
      </c>
      <c r="B189" t="s">
        <v>2210</v>
      </c>
      <c r="C189" t="s">
        <v>462</v>
      </c>
      <c r="E189" t="s">
        <v>2210</v>
      </c>
      <c r="I189" t="s">
        <v>463</v>
      </c>
    </row>
    <row r="190" spans="1:9" x14ac:dyDescent="0.25">
      <c r="A190" s="128">
        <v>1213043</v>
      </c>
      <c r="B190" t="s">
        <v>569</v>
      </c>
      <c r="C190" t="s">
        <v>462</v>
      </c>
      <c r="E190" t="s">
        <v>569</v>
      </c>
      <c r="I190" t="s">
        <v>463</v>
      </c>
    </row>
    <row r="191" spans="1:9" x14ac:dyDescent="0.25">
      <c r="A191" s="128">
        <v>1213044</v>
      </c>
      <c r="B191" t="s">
        <v>2211</v>
      </c>
      <c r="C191" t="s">
        <v>462</v>
      </c>
      <c r="E191" t="s">
        <v>2211</v>
      </c>
      <c r="I191" t="s">
        <v>463</v>
      </c>
    </row>
    <row r="192" spans="1:9" x14ac:dyDescent="0.25">
      <c r="A192" s="128">
        <v>1213045</v>
      </c>
      <c r="B192" t="s">
        <v>2135</v>
      </c>
      <c r="C192" t="s">
        <v>462</v>
      </c>
      <c r="E192" t="s">
        <v>2135</v>
      </c>
      <c r="I192" t="s">
        <v>463</v>
      </c>
    </row>
    <row r="193" spans="1:9" x14ac:dyDescent="0.25">
      <c r="A193" s="128">
        <v>1213046</v>
      </c>
      <c r="B193" t="s">
        <v>474</v>
      </c>
      <c r="C193" t="s">
        <v>462</v>
      </c>
      <c r="E193" t="s">
        <v>474</v>
      </c>
      <c r="I193" t="s">
        <v>463</v>
      </c>
    </row>
    <row r="194" spans="1:9" x14ac:dyDescent="0.25">
      <c r="A194" s="128">
        <v>1213047</v>
      </c>
      <c r="B194" t="s">
        <v>570</v>
      </c>
      <c r="C194" t="s">
        <v>462</v>
      </c>
      <c r="E194" t="s">
        <v>570</v>
      </c>
      <c r="I194" t="s">
        <v>463</v>
      </c>
    </row>
    <row r="195" spans="1:9" x14ac:dyDescent="0.25">
      <c r="A195" s="128">
        <v>1213048</v>
      </c>
      <c r="B195" t="s">
        <v>2150</v>
      </c>
      <c r="C195" t="s">
        <v>462</v>
      </c>
      <c r="E195" t="s">
        <v>2150</v>
      </c>
      <c r="I195" t="s">
        <v>463</v>
      </c>
    </row>
    <row r="196" spans="1:9" x14ac:dyDescent="0.25">
      <c r="A196" s="128">
        <v>1213050</v>
      </c>
      <c r="B196" t="s">
        <v>2212</v>
      </c>
      <c r="C196" t="s">
        <v>462</v>
      </c>
      <c r="E196" t="s">
        <v>2212</v>
      </c>
      <c r="I196" t="s">
        <v>463</v>
      </c>
    </row>
    <row r="197" spans="1:9" x14ac:dyDescent="0.25">
      <c r="A197" s="128">
        <v>1213051</v>
      </c>
      <c r="B197" t="s">
        <v>2213</v>
      </c>
      <c r="C197" t="s">
        <v>462</v>
      </c>
      <c r="E197" t="s">
        <v>2213</v>
      </c>
      <c r="I197" t="s">
        <v>463</v>
      </c>
    </row>
    <row r="198" spans="1:9" x14ac:dyDescent="0.25">
      <c r="A198" s="128">
        <v>1213052</v>
      </c>
      <c r="B198" t="s">
        <v>571</v>
      </c>
      <c r="C198" t="s">
        <v>462</v>
      </c>
      <c r="E198" t="s">
        <v>571</v>
      </c>
      <c r="I198" t="s">
        <v>463</v>
      </c>
    </row>
    <row r="199" spans="1:9" x14ac:dyDescent="0.25">
      <c r="A199" s="128">
        <v>1213053</v>
      </c>
      <c r="B199" t="s">
        <v>2214</v>
      </c>
      <c r="C199" t="s">
        <v>462</v>
      </c>
      <c r="E199" t="s">
        <v>2214</v>
      </c>
      <c r="I199" t="s">
        <v>463</v>
      </c>
    </row>
    <row r="200" spans="1:9" x14ac:dyDescent="0.25">
      <c r="A200" s="128">
        <v>1213054</v>
      </c>
      <c r="B200" t="s">
        <v>2151</v>
      </c>
      <c r="C200" t="s">
        <v>462</v>
      </c>
      <c r="E200" t="s">
        <v>2151</v>
      </c>
      <c r="I200" t="s">
        <v>463</v>
      </c>
    </row>
    <row r="201" spans="1:9" x14ac:dyDescent="0.25">
      <c r="A201" s="128">
        <v>1213055</v>
      </c>
      <c r="B201" t="s">
        <v>2152</v>
      </c>
      <c r="C201" t="s">
        <v>462</v>
      </c>
      <c r="E201" t="s">
        <v>2152</v>
      </c>
      <c r="I201" t="s">
        <v>463</v>
      </c>
    </row>
    <row r="202" spans="1:9" x14ac:dyDescent="0.25">
      <c r="A202" s="128">
        <v>1213056</v>
      </c>
      <c r="B202" t="s">
        <v>572</v>
      </c>
      <c r="C202" t="s">
        <v>462</v>
      </c>
      <c r="E202" t="s">
        <v>572</v>
      </c>
      <c r="I202" t="s">
        <v>463</v>
      </c>
    </row>
    <row r="203" spans="1:9" x14ac:dyDescent="0.25">
      <c r="A203" s="128">
        <v>1213057</v>
      </c>
      <c r="B203" t="s">
        <v>573</v>
      </c>
      <c r="C203" t="s">
        <v>462</v>
      </c>
      <c r="E203" t="s">
        <v>573</v>
      </c>
      <c r="I203" t="s">
        <v>463</v>
      </c>
    </row>
    <row r="204" spans="1:9" x14ac:dyDescent="0.25">
      <c r="A204" s="128">
        <v>1214001</v>
      </c>
      <c r="B204" t="s">
        <v>574</v>
      </c>
      <c r="C204" t="s">
        <v>462</v>
      </c>
      <c r="E204" t="s">
        <v>574</v>
      </c>
      <c r="I204" t="s">
        <v>463</v>
      </c>
    </row>
    <row r="205" spans="1:9" x14ac:dyDescent="0.25">
      <c r="A205" s="128">
        <v>1215001</v>
      </c>
      <c r="B205" t="s">
        <v>575</v>
      </c>
      <c r="C205" t="s">
        <v>462</v>
      </c>
      <c r="E205" t="s">
        <v>575</v>
      </c>
      <c r="I205" t="s">
        <v>463</v>
      </c>
    </row>
    <row r="206" spans="1:9" x14ac:dyDescent="0.25">
      <c r="A206" s="128">
        <v>1215002</v>
      </c>
      <c r="B206" t="s">
        <v>2060</v>
      </c>
      <c r="C206" t="s">
        <v>462</v>
      </c>
      <c r="E206" t="s">
        <v>2060</v>
      </c>
      <c r="I206" t="s">
        <v>463</v>
      </c>
    </row>
    <row r="207" spans="1:9" x14ac:dyDescent="0.25">
      <c r="A207" s="128">
        <v>1215003</v>
      </c>
      <c r="B207" t="s">
        <v>576</v>
      </c>
      <c r="C207" t="s">
        <v>462</v>
      </c>
      <c r="E207" t="s">
        <v>576</v>
      </c>
      <c r="I207" t="s">
        <v>463</v>
      </c>
    </row>
    <row r="208" spans="1:9" x14ac:dyDescent="0.25">
      <c r="A208" s="128">
        <v>1215004</v>
      </c>
      <c r="B208" t="s">
        <v>577</v>
      </c>
      <c r="C208" t="s">
        <v>462</v>
      </c>
      <c r="E208" t="s">
        <v>577</v>
      </c>
      <c r="I208" t="s">
        <v>463</v>
      </c>
    </row>
    <row r="209" spans="1:9" x14ac:dyDescent="0.25">
      <c r="A209" s="128">
        <v>1215005</v>
      </c>
      <c r="B209" t="s">
        <v>2061</v>
      </c>
      <c r="C209" t="s">
        <v>462</v>
      </c>
      <c r="E209" t="s">
        <v>2061</v>
      </c>
      <c r="I209" t="s">
        <v>463</v>
      </c>
    </row>
    <row r="210" spans="1:9" x14ac:dyDescent="0.25">
      <c r="A210" s="128">
        <v>1215006</v>
      </c>
      <c r="B210" t="s">
        <v>578</v>
      </c>
      <c r="C210" t="s">
        <v>462</v>
      </c>
      <c r="E210" t="s">
        <v>578</v>
      </c>
      <c r="I210" t="s">
        <v>463</v>
      </c>
    </row>
    <row r="211" spans="1:9" x14ac:dyDescent="0.25">
      <c r="A211" s="128">
        <v>1215007</v>
      </c>
      <c r="B211" t="s">
        <v>579</v>
      </c>
      <c r="C211" t="s">
        <v>462</v>
      </c>
      <c r="E211" t="s">
        <v>579</v>
      </c>
      <c r="I211" t="s">
        <v>463</v>
      </c>
    </row>
    <row r="212" spans="1:9" x14ac:dyDescent="0.25">
      <c r="A212" s="128">
        <v>1216001</v>
      </c>
      <c r="B212" t="s">
        <v>2197</v>
      </c>
      <c r="C212" t="s">
        <v>462</v>
      </c>
      <c r="E212" t="s">
        <v>2197</v>
      </c>
      <c r="I212" t="s">
        <v>463</v>
      </c>
    </row>
    <row r="213" spans="1:9" x14ac:dyDescent="0.25">
      <c r="A213" s="128">
        <v>1216002</v>
      </c>
      <c r="B213" t="s">
        <v>580</v>
      </c>
      <c r="C213" t="s">
        <v>462</v>
      </c>
      <c r="E213" t="s">
        <v>580</v>
      </c>
      <c r="I213" t="s">
        <v>463</v>
      </c>
    </row>
    <row r="214" spans="1:9" x14ac:dyDescent="0.25">
      <c r="A214" s="128">
        <v>1216003</v>
      </c>
      <c r="B214" t="s">
        <v>2215</v>
      </c>
      <c r="C214" t="s">
        <v>462</v>
      </c>
      <c r="E214" t="s">
        <v>2215</v>
      </c>
      <c r="I214" t="s">
        <v>463</v>
      </c>
    </row>
    <row r="215" spans="1:9" x14ac:dyDescent="0.25">
      <c r="A215" s="128">
        <v>1216004</v>
      </c>
      <c r="B215" t="s">
        <v>2216</v>
      </c>
      <c r="C215" t="s">
        <v>462</v>
      </c>
      <c r="E215" t="s">
        <v>2216</v>
      </c>
      <c r="I215" t="s">
        <v>463</v>
      </c>
    </row>
    <row r="216" spans="1:9" x14ac:dyDescent="0.25">
      <c r="A216" s="128">
        <v>1216005</v>
      </c>
      <c r="B216" t="s">
        <v>581</v>
      </c>
      <c r="C216" t="s">
        <v>462</v>
      </c>
      <c r="E216" t="s">
        <v>581</v>
      </c>
      <c r="I216" t="s">
        <v>463</v>
      </c>
    </row>
    <row r="217" spans="1:9" x14ac:dyDescent="0.25">
      <c r="A217" s="128">
        <v>1216006</v>
      </c>
      <c r="B217" t="s">
        <v>582</v>
      </c>
      <c r="C217" t="s">
        <v>462</v>
      </c>
      <c r="E217" t="s">
        <v>582</v>
      </c>
      <c r="I217" t="s">
        <v>463</v>
      </c>
    </row>
    <row r="218" spans="1:9" x14ac:dyDescent="0.25">
      <c r="A218" s="128">
        <v>1216007</v>
      </c>
      <c r="B218" t="s">
        <v>583</v>
      </c>
      <c r="C218" t="s">
        <v>462</v>
      </c>
      <c r="E218" t="s">
        <v>583</v>
      </c>
      <c r="I218" t="s">
        <v>463</v>
      </c>
    </row>
    <row r="219" spans="1:9" x14ac:dyDescent="0.25">
      <c r="A219" s="128">
        <v>1216008</v>
      </c>
      <c r="B219" t="s">
        <v>584</v>
      </c>
      <c r="C219" t="s">
        <v>462</v>
      </c>
      <c r="E219" t="s">
        <v>584</v>
      </c>
      <c r="I219" t="s">
        <v>463</v>
      </c>
    </row>
    <row r="220" spans="1:9" x14ac:dyDescent="0.25">
      <c r="A220" s="128">
        <v>1216009</v>
      </c>
      <c r="B220" t="s">
        <v>585</v>
      </c>
      <c r="C220" t="s">
        <v>462</v>
      </c>
      <c r="E220" t="s">
        <v>585</v>
      </c>
      <c r="I220" t="s">
        <v>463</v>
      </c>
    </row>
    <row r="221" spans="1:9" x14ac:dyDescent="0.25">
      <c r="A221" s="128">
        <v>1216010</v>
      </c>
      <c r="B221" t="s">
        <v>586</v>
      </c>
      <c r="C221" t="s">
        <v>462</v>
      </c>
      <c r="E221" t="s">
        <v>586</v>
      </c>
      <c r="I221" t="s">
        <v>463</v>
      </c>
    </row>
    <row r="222" spans="1:9" x14ac:dyDescent="0.25">
      <c r="A222" s="128">
        <v>1216011</v>
      </c>
      <c r="B222" t="s">
        <v>587</v>
      </c>
      <c r="C222" t="s">
        <v>462</v>
      </c>
      <c r="E222" t="s">
        <v>587</v>
      </c>
      <c r="I222" t="s">
        <v>463</v>
      </c>
    </row>
    <row r="223" spans="1:9" x14ac:dyDescent="0.25">
      <c r="A223" s="128">
        <v>1216012</v>
      </c>
      <c r="B223" t="s">
        <v>588</v>
      </c>
      <c r="C223" t="s">
        <v>462</v>
      </c>
      <c r="E223" t="s">
        <v>588</v>
      </c>
      <c r="I223" t="s">
        <v>463</v>
      </c>
    </row>
    <row r="224" spans="1:9" x14ac:dyDescent="0.25">
      <c r="A224" s="128">
        <v>1216013</v>
      </c>
      <c r="B224" t="s">
        <v>589</v>
      </c>
      <c r="C224" t="s">
        <v>462</v>
      </c>
      <c r="E224" t="s">
        <v>589</v>
      </c>
      <c r="I224" t="s">
        <v>463</v>
      </c>
    </row>
    <row r="225" spans="1:9" x14ac:dyDescent="0.25">
      <c r="A225" s="128">
        <v>1216014</v>
      </c>
      <c r="B225" t="s">
        <v>590</v>
      </c>
      <c r="C225" t="s">
        <v>462</v>
      </c>
      <c r="E225" t="s">
        <v>590</v>
      </c>
      <c r="I225" t="s">
        <v>463</v>
      </c>
    </row>
    <row r="226" spans="1:9" x14ac:dyDescent="0.25">
      <c r="A226" s="128">
        <v>1216015</v>
      </c>
      <c r="B226" t="s">
        <v>2062</v>
      </c>
      <c r="C226" t="s">
        <v>462</v>
      </c>
      <c r="E226" t="s">
        <v>2062</v>
      </c>
      <c r="I226" t="s">
        <v>463</v>
      </c>
    </row>
    <row r="227" spans="1:9" x14ac:dyDescent="0.25">
      <c r="A227" s="128">
        <v>1216016</v>
      </c>
      <c r="B227" t="s">
        <v>2063</v>
      </c>
      <c r="C227" t="s">
        <v>462</v>
      </c>
      <c r="E227" t="s">
        <v>2063</v>
      </c>
      <c r="I227" t="s">
        <v>463</v>
      </c>
    </row>
    <row r="228" spans="1:9" x14ac:dyDescent="0.25">
      <c r="A228" s="128">
        <v>1216017</v>
      </c>
      <c r="B228" t="s">
        <v>2064</v>
      </c>
      <c r="C228" t="s">
        <v>462</v>
      </c>
      <c r="E228" t="s">
        <v>2064</v>
      </c>
      <c r="I228" t="s">
        <v>463</v>
      </c>
    </row>
    <row r="229" spans="1:9" x14ac:dyDescent="0.25">
      <c r="A229" s="128">
        <v>1216018</v>
      </c>
      <c r="B229" t="s">
        <v>2065</v>
      </c>
      <c r="C229" t="s">
        <v>462</v>
      </c>
      <c r="E229" t="s">
        <v>2065</v>
      </c>
      <c r="I229" t="s">
        <v>463</v>
      </c>
    </row>
    <row r="230" spans="1:9" x14ac:dyDescent="0.25">
      <c r="A230" s="128">
        <v>1216019</v>
      </c>
      <c r="B230" t="s">
        <v>2217</v>
      </c>
      <c r="C230" t="s">
        <v>462</v>
      </c>
      <c r="E230" t="s">
        <v>2217</v>
      </c>
      <c r="I230" t="s">
        <v>463</v>
      </c>
    </row>
    <row r="231" spans="1:9" x14ac:dyDescent="0.25">
      <c r="A231" s="128">
        <v>1216020</v>
      </c>
      <c r="B231" t="s">
        <v>591</v>
      </c>
      <c r="C231" t="s">
        <v>462</v>
      </c>
      <c r="E231" t="s">
        <v>591</v>
      </c>
      <c r="I231" t="s">
        <v>463</v>
      </c>
    </row>
    <row r="232" spans="1:9" x14ac:dyDescent="0.25">
      <c r="A232" s="128">
        <v>1216021</v>
      </c>
      <c r="B232" t="s">
        <v>592</v>
      </c>
      <c r="C232" t="s">
        <v>462</v>
      </c>
      <c r="E232" t="s">
        <v>592</v>
      </c>
      <c r="I232" t="s">
        <v>463</v>
      </c>
    </row>
    <row r="233" spans="1:9" x14ac:dyDescent="0.25">
      <c r="A233" s="128">
        <v>1216022</v>
      </c>
      <c r="B233" t="s">
        <v>593</v>
      </c>
      <c r="C233" t="s">
        <v>462</v>
      </c>
      <c r="E233" t="s">
        <v>593</v>
      </c>
      <c r="I233" t="s">
        <v>463</v>
      </c>
    </row>
    <row r="234" spans="1:9" x14ac:dyDescent="0.25">
      <c r="A234" s="128">
        <v>1216023</v>
      </c>
      <c r="B234" t="s">
        <v>594</v>
      </c>
      <c r="C234" t="s">
        <v>462</v>
      </c>
      <c r="E234" t="s">
        <v>594</v>
      </c>
      <c r="I234" t="s">
        <v>463</v>
      </c>
    </row>
    <row r="235" spans="1:9" x14ac:dyDescent="0.25">
      <c r="A235" s="128">
        <v>1217001</v>
      </c>
      <c r="B235" t="s">
        <v>2066</v>
      </c>
      <c r="C235" t="s">
        <v>462</v>
      </c>
      <c r="E235" t="s">
        <v>2066</v>
      </c>
      <c r="I235" t="s">
        <v>463</v>
      </c>
    </row>
    <row r="236" spans="1:9" x14ac:dyDescent="0.25">
      <c r="A236" s="128">
        <v>1217002</v>
      </c>
      <c r="B236" t="s">
        <v>2066</v>
      </c>
      <c r="C236" t="s">
        <v>462</v>
      </c>
      <c r="E236" t="s">
        <v>2066</v>
      </c>
      <c r="I236" t="s">
        <v>463</v>
      </c>
    </row>
    <row r="237" spans="1:9" x14ac:dyDescent="0.25">
      <c r="A237" s="128">
        <v>1218001</v>
      </c>
      <c r="B237" t="s">
        <v>595</v>
      </c>
      <c r="C237" t="s">
        <v>462</v>
      </c>
      <c r="E237" t="s">
        <v>595</v>
      </c>
      <c r="I237" t="s">
        <v>463</v>
      </c>
    </row>
    <row r="238" spans="1:9" x14ac:dyDescent="0.25">
      <c r="A238" s="128">
        <v>1218002</v>
      </c>
      <c r="B238" t="s">
        <v>596</v>
      </c>
      <c r="C238" t="s">
        <v>462</v>
      </c>
      <c r="E238" t="s">
        <v>596</v>
      </c>
      <c r="I238" t="s">
        <v>463</v>
      </c>
    </row>
    <row r="239" spans="1:9" x14ac:dyDescent="0.25">
      <c r="A239" s="128">
        <v>1218003</v>
      </c>
      <c r="B239" t="s">
        <v>597</v>
      </c>
      <c r="C239" t="s">
        <v>462</v>
      </c>
      <c r="E239" t="s">
        <v>597</v>
      </c>
      <c r="I239" t="s">
        <v>463</v>
      </c>
    </row>
    <row r="240" spans="1:9" x14ac:dyDescent="0.25">
      <c r="A240" s="128">
        <v>1218004</v>
      </c>
      <c r="B240" t="s">
        <v>2134</v>
      </c>
      <c r="C240" t="s">
        <v>462</v>
      </c>
      <c r="E240" t="s">
        <v>2134</v>
      </c>
      <c r="I240" t="s">
        <v>463</v>
      </c>
    </row>
    <row r="241" spans="1:9" x14ac:dyDescent="0.25">
      <c r="A241" s="128">
        <v>1218005</v>
      </c>
      <c r="B241" t="s">
        <v>2153</v>
      </c>
      <c r="C241" t="s">
        <v>462</v>
      </c>
      <c r="E241" t="s">
        <v>2153</v>
      </c>
      <c r="I241" t="s">
        <v>463</v>
      </c>
    </row>
    <row r="242" spans="1:9" x14ac:dyDescent="0.25">
      <c r="A242" s="128">
        <v>1218006</v>
      </c>
      <c r="B242" t="s">
        <v>2154</v>
      </c>
      <c r="C242" t="s">
        <v>462</v>
      </c>
      <c r="E242" t="s">
        <v>2154</v>
      </c>
      <c r="I242" t="s">
        <v>463</v>
      </c>
    </row>
    <row r="243" spans="1:9" x14ac:dyDescent="0.25">
      <c r="A243" s="128">
        <v>1218007</v>
      </c>
      <c r="B243" t="s">
        <v>598</v>
      </c>
      <c r="C243" t="s">
        <v>462</v>
      </c>
      <c r="E243" t="s">
        <v>598</v>
      </c>
      <c r="I243" t="s">
        <v>463</v>
      </c>
    </row>
    <row r="244" spans="1:9" x14ac:dyDescent="0.25">
      <c r="A244" s="128">
        <v>1218008</v>
      </c>
      <c r="B244" t="s">
        <v>599</v>
      </c>
      <c r="C244" t="s">
        <v>462</v>
      </c>
      <c r="E244" t="s">
        <v>599</v>
      </c>
      <c r="I244" t="s">
        <v>463</v>
      </c>
    </row>
    <row r="245" spans="1:9" x14ac:dyDescent="0.25">
      <c r="A245" s="128">
        <v>1219001</v>
      </c>
      <c r="B245" t="s">
        <v>600</v>
      </c>
      <c r="C245" t="s">
        <v>462</v>
      </c>
      <c r="E245" t="s">
        <v>600</v>
      </c>
      <c r="I245" t="s">
        <v>463</v>
      </c>
    </row>
    <row r="246" spans="1:9" x14ac:dyDescent="0.25">
      <c r="A246" s="128">
        <v>1219002</v>
      </c>
      <c r="B246" t="s">
        <v>601</v>
      </c>
      <c r="C246" t="s">
        <v>462</v>
      </c>
      <c r="E246" t="s">
        <v>601</v>
      </c>
      <c r="I246" t="s">
        <v>463</v>
      </c>
    </row>
    <row r="247" spans="1:9" x14ac:dyDescent="0.25">
      <c r="A247" s="128">
        <v>1219003</v>
      </c>
      <c r="B247" t="s">
        <v>602</v>
      </c>
      <c r="C247" t="s">
        <v>462</v>
      </c>
      <c r="E247" t="s">
        <v>602</v>
      </c>
      <c r="I247" t="s">
        <v>463</v>
      </c>
    </row>
    <row r="248" spans="1:9" x14ac:dyDescent="0.25">
      <c r="A248" s="128">
        <v>1219004</v>
      </c>
      <c r="B248" t="s">
        <v>603</v>
      </c>
      <c r="C248" t="s">
        <v>462</v>
      </c>
      <c r="E248" t="s">
        <v>603</v>
      </c>
      <c r="I248" t="s">
        <v>463</v>
      </c>
    </row>
    <row r="249" spans="1:9" x14ac:dyDescent="0.25">
      <c r="A249" s="128">
        <v>1219005</v>
      </c>
      <c r="B249" t="s">
        <v>604</v>
      </c>
      <c r="C249" t="s">
        <v>462</v>
      </c>
      <c r="E249" t="s">
        <v>604</v>
      </c>
      <c r="I249" t="s">
        <v>463</v>
      </c>
    </row>
    <row r="250" spans="1:9" x14ac:dyDescent="0.25">
      <c r="A250" s="128">
        <v>1219006</v>
      </c>
      <c r="B250" t="s">
        <v>605</v>
      </c>
      <c r="C250" t="s">
        <v>462</v>
      </c>
      <c r="E250" t="s">
        <v>605</v>
      </c>
      <c r="I250" t="s">
        <v>463</v>
      </c>
    </row>
    <row r="251" spans="1:9" x14ac:dyDescent="0.25">
      <c r="A251" s="128">
        <v>1219007</v>
      </c>
      <c r="B251" t="s">
        <v>606</v>
      </c>
      <c r="C251" t="s">
        <v>462</v>
      </c>
      <c r="E251" t="s">
        <v>606</v>
      </c>
      <c r="I251" t="s">
        <v>463</v>
      </c>
    </row>
    <row r="252" spans="1:9" x14ac:dyDescent="0.25">
      <c r="A252" s="128">
        <v>1219008</v>
      </c>
      <c r="B252" t="s">
        <v>2218</v>
      </c>
      <c r="C252" t="s">
        <v>462</v>
      </c>
      <c r="E252" t="s">
        <v>2218</v>
      </c>
      <c r="I252" t="s">
        <v>463</v>
      </c>
    </row>
    <row r="253" spans="1:9" x14ac:dyDescent="0.25">
      <c r="A253" s="128">
        <v>1220001</v>
      </c>
      <c r="B253" t="s">
        <v>2219</v>
      </c>
      <c r="C253" t="s">
        <v>462</v>
      </c>
      <c r="E253" t="s">
        <v>2219</v>
      </c>
      <c r="I253" t="s">
        <v>463</v>
      </c>
    </row>
    <row r="254" spans="1:9" x14ac:dyDescent="0.25">
      <c r="A254" s="128">
        <v>1220002</v>
      </c>
      <c r="B254" t="s">
        <v>607</v>
      </c>
      <c r="C254" t="s">
        <v>462</v>
      </c>
      <c r="E254" t="s">
        <v>607</v>
      </c>
      <c r="I254" t="s">
        <v>463</v>
      </c>
    </row>
    <row r="255" spans="1:9" x14ac:dyDescent="0.25">
      <c r="A255" s="128">
        <v>1220003</v>
      </c>
      <c r="B255" t="s">
        <v>608</v>
      </c>
      <c r="C255" t="s">
        <v>462</v>
      </c>
      <c r="E255" t="s">
        <v>608</v>
      </c>
      <c r="I255" t="s">
        <v>463</v>
      </c>
    </row>
    <row r="256" spans="1:9" x14ac:dyDescent="0.25">
      <c r="A256" s="128">
        <v>1220004</v>
      </c>
      <c r="B256" t="s">
        <v>609</v>
      </c>
      <c r="C256" t="s">
        <v>462</v>
      </c>
      <c r="E256" t="s">
        <v>609</v>
      </c>
      <c r="I256" t="s">
        <v>463</v>
      </c>
    </row>
    <row r="257" spans="1:9" x14ac:dyDescent="0.25">
      <c r="A257" s="128">
        <v>1220005</v>
      </c>
      <c r="B257" t="s">
        <v>2067</v>
      </c>
      <c r="C257" t="s">
        <v>462</v>
      </c>
      <c r="E257" t="s">
        <v>2067</v>
      </c>
      <c r="I257" t="s">
        <v>463</v>
      </c>
    </row>
    <row r="258" spans="1:9" x14ac:dyDescent="0.25">
      <c r="A258" s="128">
        <v>1220006</v>
      </c>
      <c r="B258" t="s">
        <v>610</v>
      </c>
      <c r="C258" t="s">
        <v>462</v>
      </c>
      <c r="E258" t="s">
        <v>610</v>
      </c>
      <c r="I258" t="s">
        <v>463</v>
      </c>
    </row>
    <row r="259" spans="1:9" x14ac:dyDescent="0.25">
      <c r="A259" s="128">
        <v>1220007</v>
      </c>
      <c r="B259" t="s">
        <v>611</v>
      </c>
      <c r="C259" t="s">
        <v>462</v>
      </c>
      <c r="E259" t="s">
        <v>611</v>
      </c>
      <c r="I259" t="s">
        <v>463</v>
      </c>
    </row>
    <row r="260" spans="1:9" x14ac:dyDescent="0.25">
      <c r="A260" s="128">
        <v>1221001</v>
      </c>
      <c r="B260" t="s">
        <v>612</v>
      </c>
      <c r="C260" t="s">
        <v>462</v>
      </c>
      <c r="E260" t="s">
        <v>612</v>
      </c>
      <c r="I260" t="s">
        <v>463</v>
      </c>
    </row>
    <row r="261" spans="1:9" x14ac:dyDescent="0.25">
      <c r="A261" s="128">
        <v>1221002</v>
      </c>
      <c r="B261" t="s">
        <v>613</v>
      </c>
      <c r="C261" t="s">
        <v>462</v>
      </c>
      <c r="E261" t="s">
        <v>613</v>
      </c>
      <c r="I261" t="s">
        <v>463</v>
      </c>
    </row>
    <row r="262" spans="1:9" x14ac:dyDescent="0.25">
      <c r="A262" s="128">
        <v>1221003</v>
      </c>
      <c r="B262" t="s">
        <v>614</v>
      </c>
      <c r="C262" t="s">
        <v>462</v>
      </c>
      <c r="E262" t="s">
        <v>614</v>
      </c>
      <c r="I262" t="s">
        <v>463</v>
      </c>
    </row>
    <row r="263" spans="1:9" x14ac:dyDescent="0.25">
      <c r="A263" s="128">
        <v>1221004</v>
      </c>
      <c r="B263" t="s">
        <v>615</v>
      </c>
      <c r="C263" t="s">
        <v>462</v>
      </c>
      <c r="E263" t="s">
        <v>615</v>
      </c>
      <c r="I263" t="s">
        <v>463</v>
      </c>
    </row>
    <row r="264" spans="1:9" x14ac:dyDescent="0.25">
      <c r="A264" s="128">
        <v>1221005</v>
      </c>
      <c r="B264" t="s">
        <v>616</v>
      </c>
      <c r="C264" t="s">
        <v>462</v>
      </c>
      <c r="E264" t="s">
        <v>616</v>
      </c>
      <c r="I264" t="s">
        <v>463</v>
      </c>
    </row>
    <row r="265" spans="1:9" x14ac:dyDescent="0.25">
      <c r="A265" s="128">
        <v>1221006</v>
      </c>
      <c r="B265" t="s">
        <v>617</v>
      </c>
      <c r="C265" t="s">
        <v>462</v>
      </c>
      <c r="E265" t="s">
        <v>617</v>
      </c>
      <c r="I265" t="s">
        <v>463</v>
      </c>
    </row>
    <row r="266" spans="1:9" x14ac:dyDescent="0.25">
      <c r="A266" s="128">
        <v>1221007</v>
      </c>
      <c r="B266" t="s">
        <v>618</v>
      </c>
      <c r="C266" t="s">
        <v>462</v>
      </c>
      <c r="E266" t="s">
        <v>618</v>
      </c>
      <c r="I266" t="s">
        <v>463</v>
      </c>
    </row>
    <row r="267" spans="1:9" x14ac:dyDescent="0.25">
      <c r="A267" s="128">
        <v>1221008</v>
      </c>
      <c r="B267" t="s">
        <v>619</v>
      </c>
      <c r="C267" t="s">
        <v>462</v>
      </c>
      <c r="E267" t="s">
        <v>619</v>
      </c>
      <c r="I267" t="s">
        <v>463</v>
      </c>
    </row>
    <row r="268" spans="1:9" x14ac:dyDescent="0.25">
      <c r="A268" s="128">
        <v>1221009</v>
      </c>
      <c r="B268" t="s">
        <v>620</v>
      </c>
      <c r="C268" t="s">
        <v>462</v>
      </c>
      <c r="E268" t="s">
        <v>620</v>
      </c>
      <c r="I268" t="s">
        <v>463</v>
      </c>
    </row>
    <row r="269" spans="1:9" x14ac:dyDescent="0.25">
      <c r="A269" s="128">
        <v>1221010</v>
      </c>
      <c r="B269" t="s">
        <v>621</v>
      </c>
      <c r="C269" t="s">
        <v>462</v>
      </c>
      <c r="E269" t="s">
        <v>621</v>
      </c>
      <c r="I269" t="s">
        <v>463</v>
      </c>
    </row>
    <row r="270" spans="1:9" x14ac:dyDescent="0.25">
      <c r="A270" s="128">
        <v>1221011</v>
      </c>
      <c r="B270" t="s">
        <v>622</v>
      </c>
      <c r="C270" t="s">
        <v>462</v>
      </c>
      <c r="E270" t="s">
        <v>622</v>
      </c>
      <c r="I270" t="s">
        <v>463</v>
      </c>
    </row>
    <row r="271" spans="1:9" x14ac:dyDescent="0.25">
      <c r="A271" s="128">
        <v>1221012</v>
      </c>
      <c r="B271" t="s">
        <v>623</v>
      </c>
      <c r="C271" t="s">
        <v>462</v>
      </c>
      <c r="E271" t="s">
        <v>623</v>
      </c>
      <c r="I271" t="s">
        <v>463</v>
      </c>
    </row>
    <row r="272" spans="1:9" x14ac:dyDescent="0.25">
      <c r="A272" s="128">
        <v>1221013</v>
      </c>
      <c r="B272" t="s">
        <v>624</v>
      </c>
      <c r="C272" t="s">
        <v>462</v>
      </c>
      <c r="E272" t="s">
        <v>624</v>
      </c>
      <c r="I272" t="s">
        <v>463</v>
      </c>
    </row>
    <row r="273" spans="1:9" x14ac:dyDescent="0.25">
      <c r="A273" s="128">
        <v>1221014</v>
      </c>
      <c r="B273" t="s">
        <v>625</v>
      </c>
      <c r="C273" t="s">
        <v>462</v>
      </c>
      <c r="E273" t="s">
        <v>625</v>
      </c>
      <c r="I273" t="s">
        <v>463</v>
      </c>
    </row>
    <row r="274" spans="1:9" x14ac:dyDescent="0.25">
      <c r="A274" s="128">
        <v>1221015</v>
      </c>
      <c r="B274" t="s">
        <v>626</v>
      </c>
      <c r="C274" t="s">
        <v>462</v>
      </c>
      <c r="E274" t="s">
        <v>626</v>
      </c>
      <c r="I274" t="s">
        <v>463</v>
      </c>
    </row>
    <row r="275" spans="1:9" x14ac:dyDescent="0.25">
      <c r="A275" s="128">
        <v>1221016</v>
      </c>
      <c r="B275" t="s">
        <v>627</v>
      </c>
      <c r="C275" t="s">
        <v>462</v>
      </c>
      <c r="E275" t="s">
        <v>627</v>
      </c>
      <c r="I275" t="s">
        <v>463</v>
      </c>
    </row>
    <row r="276" spans="1:9" x14ac:dyDescent="0.25">
      <c r="A276" s="128">
        <v>1221017</v>
      </c>
      <c r="B276" t="s">
        <v>628</v>
      </c>
      <c r="C276" t="s">
        <v>462</v>
      </c>
      <c r="E276" t="s">
        <v>628</v>
      </c>
      <c r="I276" t="s">
        <v>463</v>
      </c>
    </row>
    <row r="277" spans="1:9" x14ac:dyDescent="0.25">
      <c r="A277" s="128">
        <v>1221018</v>
      </c>
      <c r="B277" t="s">
        <v>2068</v>
      </c>
      <c r="C277" t="s">
        <v>462</v>
      </c>
      <c r="E277" t="s">
        <v>2068</v>
      </c>
      <c r="I277" t="s">
        <v>463</v>
      </c>
    </row>
    <row r="278" spans="1:9" x14ac:dyDescent="0.25">
      <c r="A278" s="128">
        <v>1221019</v>
      </c>
      <c r="B278" t="s">
        <v>629</v>
      </c>
      <c r="C278" t="s">
        <v>462</v>
      </c>
      <c r="E278" t="s">
        <v>629</v>
      </c>
      <c r="I278" t="s">
        <v>463</v>
      </c>
    </row>
    <row r="279" spans="1:9" x14ac:dyDescent="0.25">
      <c r="A279" s="128">
        <v>1221020</v>
      </c>
      <c r="B279" t="s">
        <v>630</v>
      </c>
      <c r="C279" t="s">
        <v>462</v>
      </c>
      <c r="E279" t="s">
        <v>630</v>
      </c>
      <c r="I279" t="s">
        <v>463</v>
      </c>
    </row>
    <row r="280" spans="1:9" x14ac:dyDescent="0.25">
      <c r="A280" s="128">
        <v>1221021</v>
      </c>
      <c r="B280" t="s">
        <v>631</v>
      </c>
      <c r="C280" t="s">
        <v>462</v>
      </c>
      <c r="E280" t="s">
        <v>631</v>
      </c>
      <c r="I280" t="s">
        <v>463</v>
      </c>
    </row>
    <row r="281" spans="1:9" x14ac:dyDescent="0.25">
      <c r="A281" s="128">
        <v>1221022</v>
      </c>
      <c r="B281" t="s">
        <v>632</v>
      </c>
      <c r="C281" t="s">
        <v>462</v>
      </c>
      <c r="E281" t="s">
        <v>632</v>
      </c>
      <c r="I281" t="s">
        <v>463</v>
      </c>
    </row>
    <row r="282" spans="1:9" x14ac:dyDescent="0.25">
      <c r="A282" s="128">
        <v>1221023</v>
      </c>
      <c r="B282" t="s">
        <v>633</v>
      </c>
      <c r="C282" t="s">
        <v>462</v>
      </c>
      <c r="E282" t="s">
        <v>633</v>
      </c>
      <c r="I282" t="s">
        <v>463</v>
      </c>
    </row>
    <row r="283" spans="1:9" x14ac:dyDescent="0.25">
      <c r="A283" s="128">
        <v>1221024</v>
      </c>
      <c r="B283" t="s">
        <v>634</v>
      </c>
      <c r="C283" t="s">
        <v>462</v>
      </c>
      <c r="E283" t="s">
        <v>634</v>
      </c>
      <c r="I283" t="s">
        <v>463</v>
      </c>
    </row>
    <row r="284" spans="1:9" x14ac:dyDescent="0.25">
      <c r="A284" s="128">
        <v>1221025</v>
      </c>
      <c r="B284" t="s">
        <v>635</v>
      </c>
      <c r="C284" t="s">
        <v>462</v>
      </c>
      <c r="E284" t="s">
        <v>635</v>
      </c>
      <c r="I284" t="s">
        <v>463</v>
      </c>
    </row>
    <row r="285" spans="1:9" x14ac:dyDescent="0.25">
      <c r="A285" s="128">
        <v>1221026</v>
      </c>
      <c r="B285" t="s">
        <v>636</v>
      </c>
      <c r="C285" t="s">
        <v>462</v>
      </c>
      <c r="E285" t="s">
        <v>636</v>
      </c>
      <c r="I285" t="s">
        <v>463</v>
      </c>
    </row>
    <row r="286" spans="1:9" x14ac:dyDescent="0.25">
      <c r="A286" s="128">
        <v>1221027</v>
      </c>
      <c r="B286" t="s">
        <v>637</v>
      </c>
      <c r="C286" t="s">
        <v>462</v>
      </c>
      <c r="E286" t="s">
        <v>637</v>
      </c>
      <c r="I286" t="s">
        <v>463</v>
      </c>
    </row>
    <row r="287" spans="1:9" x14ac:dyDescent="0.25">
      <c r="A287" s="128">
        <v>1221028</v>
      </c>
      <c r="B287" t="s">
        <v>638</v>
      </c>
      <c r="C287" t="s">
        <v>462</v>
      </c>
      <c r="E287" t="s">
        <v>638</v>
      </c>
      <c r="I287" t="s">
        <v>463</v>
      </c>
    </row>
    <row r="288" spans="1:9" x14ac:dyDescent="0.25">
      <c r="A288" s="128">
        <v>1221029</v>
      </c>
      <c r="B288" t="s">
        <v>639</v>
      </c>
      <c r="C288" t="s">
        <v>462</v>
      </c>
      <c r="E288" t="s">
        <v>639</v>
      </c>
      <c r="I288" t="s">
        <v>463</v>
      </c>
    </row>
    <row r="289" spans="1:9" x14ac:dyDescent="0.25">
      <c r="A289" s="128">
        <v>1221030</v>
      </c>
      <c r="B289" t="s">
        <v>640</v>
      </c>
      <c r="C289" t="s">
        <v>462</v>
      </c>
      <c r="E289" t="s">
        <v>640</v>
      </c>
      <c r="I289" t="s">
        <v>463</v>
      </c>
    </row>
    <row r="290" spans="1:9" x14ac:dyDescent="0.25">
      <c r="A290" s="128">
        <v>1222002</v>
      </c>
      <c r="B290" t="s">
        <v>2069</v>
      </c>
      <c r="C290" t="s">
        <v>462</v>
      </c>
      <c r="E290" t="s">
        <v>2069</v>
      </c>
      <c r="I290" t="s">
        <v>463</v>
      </c>
    </row>
    <row r="291" spans="1:9" x14ac:dyDescent="0.25">
      <c r="A291" s="128">
        <v>1222003</v>
      </c>
      <c r="B291" t="s">
        <v>2070</v>
      </c>
      <c r="C291" t="s">
        <v>462</v>
      </c>
      <c r="E291" t="s">
        <v>2070</v>
      </c>
      <c r="I291" t="s">
        <v>463</v>
      </c>
    </row>
    <row r="292" spans="1:9" x14ac:dyDescent="0.25">
      <c r="A292" s="128">
        <v>1222004</v>
      </c>
      <c r="B292" t="s">
        <v>2071</v>
      </c>
      <c r="C292" t="s">
        <v>462</v>
      </c>
      <c r="E292" t="s">
        <v>2071</v>
      </c>
      <c r="I292" t="s">
        <v>463</v>
      </c>
    </row>
    <row r="293" spans="1:9" x14ac:dyDescent="0.25">
      <c r="A293" s="128">
        <v>1222005</v>
      </c>
      <c r="B293" t="s">
        <v>2072</v>
      </c>
      <c r="C293" t="s">
        <v>462</v>
      </c>
      <c r="E293" t="s">
        <v>2072</v>
      </c>
      <c r="I293" t="s">
        <v>463</v>
      </c>
    </row>
    <row r="294" spans="1:9" x14ac:dyDescent="0.25">
      <c r="A294" s="128">
        <v>1222006</v>
      </c>
      <c r="B294" t="s">
        <v>2220</v>
      </c>
      <c r="C294" t="s">
        <v>462</v>
      </c>
      <c r="E294" t="s">
        <v>2220</v>
      </c>
      <c r="I294" t="s">
        <v>463</v>
      </c>
    </row>
    <row r="295" spans="1:9" x14ac:dyDescent="0.25">
      <c r="A295" s="128">
        <v>1222007</v>
      </c>
      <c r="B295" t="s">
        <v>2221</v>
      </c>
      <c r="C295" t="s">
        <v>462</v>
      </c>
      <c r="E295" t="s">
        <v>2221</v>
      </c>
      <c r="I295" t="s">
        <v>463</v>
      </c>
    </row>
    <row r="296" spans="1:9" x14ac:dyDescent="0.25">
      <c r="A296" s="128">
        <v>1222008</v>
      </c>
      <c r="B296" t="s">
        <v>2222</v>
      </c>
      <c r="C296" t="s">
        <v>462</v>
      </c>
      <c r="E296" t="s">
        <v>2222</v>
      </c>
      <c r="I296" t="s">
        <v>463</v>
      </c>
    </row>
    <row r="297" spans="1:9" x14ac:dyDescent="0.25">
      <c r="A297" s="128">
        <v>1222009</v>
      </c>
      <c r="B297" t="s">
        <v>2223</v>
      </c>
      <c r="C297" t="s">
        <v>462</v>
      </c>
      <c r="E297" t="s">
        <v>2223</v>
      </c>
      <c r="I297" t="s">
        <v>463</v>
      </c>
    </row>
    <row r="298" spans="1:9" x14ac:dyDescent="0.25">
      <c r="A298" s="128">
        <v>1222010</v>
      </c>
      <c r="B298" t="s">
        <v>2224</v>
      </c>
      <c r="C298" t="s">
        <v>462</v>
      </c>
      <c r="E298" t="s">
        <v>2224</v>
      </c>
      <c r="I298" t="s">
        <v>463</v>
      </c>
    </row>
    <row r="299" spans="1:9" x14ac:dyDescent="0.25">
      <c r="A299" s="128">
        <v>1222011</v>
      </c>
      <c r="B299" t="s">
        <v>2225</v>
      </c>
      <c r="C299" t="s">
        <v>462</v>
      </c>
      <c r="E299" t="s">
        <v>2225</v>
      </c>
      <c r="I299" t="s">
        <v>463</v>
      </c>
    </row>
    <row r="300" spans="1:9" x14ac:dyDescent="0.25">
      <c r="A300" s="128">
        <v>1222012</v>
      </c>
      <c r="B300" t="s">
        <v>2226</v>
      </c>
      <c r="C300" t="s">
        <v>462</v>
      </c>
      <c r="E300" t="s">
        <v>2226</v>
      </c>
      <c r="I300" t="s">
        <v>463</v>
      </c>
    </row>
    <row r="301" spans="1:9" x14ac:dyDescent="0.25">
      <c r="A301" s="128">
        <v>1222013</v>
      </c>
      <c r="B301" t="s">
        <v>2227</v>
      </c>
      <c r="C301" t="s">
        <v>462</v>
      </c>
      <c r="E301" t="s">
        <v>2227</v>
      </c>
      <c r="I301" t="s">
        <v>463</v>
      </c>
    </row>
    <row r="302" spans="1:9" x14ac:dyDescent="0.25">
      <c r="A302" s="128">
        <v>1222014</v>
      </c>
      <c r="B302" t="s">
        <v>2073</v>
      </c>
      <c r="C302" t="s">
        <v>462</v>
      </c>
      <c r="E302" t="s">
        <v>2073</v>
      </c>
      <c r="I302" t="s">
        <v>463</v>
      </c>
    </row>
    <row r="303" spans="1:9" x14ac:dyDescent="0.25">
      <c r="A303" s="128">
        <v>1222015</v>
      </c>
      <c r="B303" t="s">
        <v>2228</v>
      </c>
      <c r="C303" t="s">
        <v>462</v>
      </c>
      <c r="E303" t="s">
        <v>2228</v>
      </c>
      <c r="I303" t="s">
        <v>463</v>
      </c>
    </row>
    <row r="304" spans="1:9" x14ac:dyDescent="0.25">
      <c r="A304" s="128">
        <v>1222016</v>
      </c>
      <c r="B304" t="s">
        <v>641</v>
      </c>
      <c r="C304" t="s">
        <v>462</v>
      </c>
      <c r="E304" t="s">
        <v>641</v>
      </c>
      <c r="I304" t="s">
        <v>463</v>
      </c>
    </row>
    <row r="305" spans="1:9" x14ac:dyDescent="0.25">
      <c r="A305" s="128">
        <v>1223001</v>
      </c>
      <c r="B305" t="s">
        <v>357</v>
      </c>
      <c r="C305" t="s">
        <v>462</v>
      </c>
      <c r="E305" t="s">
        <v>357</v>
      </c>
      <c r="I305" t="s">
        <v>463</v>
      </c>
    </row>
    <row r="306" spans="1:9" x14ac:dyDescent="0.25">
      <c r="A306" s="128">
        <v>1223002</v>
      </c>
      <c r="B306" t="s">
        <v>2229</v>
      </c>
      <c r="C306" t="s">
        <v>462</v>
      </c>
      <c r="E306" t="s">
        <v>2229</v>
      </c>
      <c r="I306" t="s">
        <v>463</v>
      </c>
    </row>
    <row r="307" spans="1:9" x14ac:dyDescent="0.25">
      <c r="A307" s="128">
        <v>1223003</v>
      </c>
      <c r="B307" t="s">
        <v>2230</v>
      </c>
      <c r="C307" t="s">
        <v>462</v>
      </c>
      <c r="E307" t="s">
        <v>2230</v>
      </c>
      <c r="I307" t="s">
        <v>463</v>
      </c>
    </row>
    <row r="308" spans="1:9" x14ac:dyDescent="0.25">
      <c r="A308" s="128">
        <v>1223004</v>
      </c>
      <c r="B308" t="s">
        <v>2231</v>
      </c>
      <c r="C308" t="s">
        <v>462</v>
      </c>
      <c r="E308" t="s">
        <v>2231</v>
      </c>
      <c r="I308" t="s">
        <v>463</v>
      </c>
    </row>
    <row r="309" spans="1:9" x14ac:dyDescent="0.25">
      <c r="A309" s="128">
        <v>1223005</v>
      </c>
      <c r="B309" t="s">
        <v>2232</v>
      </c>
      <c r="C309" t="s">
        <v>462</v>
      </c>
      <c r="E309" t="s">
        <v>2232</v>
      </c>
      <c r="I309" t="s">
        <v>463</v>
      </c>
    </row>
    <row r="310" spans="1:9" x14ac:dyDescent="0.25">
      <c r="A310" s="128">
        <v>1223006</v>
      </c>
      <c r="B310" t="s">
        <v>2233</v>
      </c>
      <c r="C310" t="s">
        <v>462</v>
      </c>
      <c r="E310" t="s">
        <v>2233</v>
      </c>
      <c r="I310" t="s">
        <v>463</v>
      </c>
    </row>
    <row r="311" spans="1:9" x14ac:dyDescent="0.25">
      <c r="A311" s="128">
        <v>1223007</v>
      </c>
      <c r="B311" t="s">
        <v>2234</v>
      </c>
      <c r="C311" t="s">
        <v>462</v>
      </c>
      <c r="E311" t="s">
        <v>2234</v>
      </c>
      <c r="I311" t="s">
        <v>463</v>
      </c>
    </row>
    <row r="312" spans="1:9" x14ac:dyDescent="0.25">
      <c r="A312" s="128">
        <v>1223008</v>
      </c>
      <c r="B312" t="s">
        <v>465</v>
      </c>
      <c r="C312" t="s">
        <v>462</v>
      </c>
      <c r="E312" t="s">
        <v>465</v>
      </c>
      <c r="I312" t="s">
        <v>463</v>
      </c>
    </row>
    <row r="313" spans="1:9" x14ac:dyDescent="0.25">
      <c r="A313" s="128">
        <v>1223009</v>
      </c>
      <c r="B313" t="s">
        <v>358</v>
      </c>
      <c r="C313" t="s">
        <v>462</v>
      </c>
      <c r="E313" t="s">
        <v>358</v>
      </c>
      <c r="I313" t="s">
        <v>463</v>
      </c>
    </row>
    <row r="314" spans="1:9" x14ac:dyDescent="0.25">
      <c r="A314" s="128">
        <v>1223010</v>
      </c>
      <c r="B314" t="s">
        <v>2074</v>
      </c>
      <c r="C314" t="s">
        <v>462</v>
      </c>
      <c r="E314" t="s">
        <v>2074</v>
      </c>
      <c r="I314" t="s">
        <v>463</v>
      </c>
    </row>
    <row r="315" spans="1:9" x14ac:dyDescent="0.25">
      <c r="A315" s="128">
        <v>1223011</v>
      </c>
      <c r="B315" t="s">
        <v>2235</v>
      </c>
      <c r="C315" t="s">
        <v>462</v>
      </c>
      <c r="E315" t="s">
        <v>2235</v>
      </c>
      <c r="I315" t="s">
        <v>463</v>
      </c>
    </row>
    <row r="316" spans="1:9" x14ac:dyDescent="0.25">
      <c r="A316" s="128">
        <v>1223012</v>
      </c>
      <c r="B316" t="s">
        <v>466</v>
      </c>
      <c r="C316" t="s">
        <v>462</v>
      </c>
      <c r="E316" t="s">
        <v>466</v>
      </c>
      <c r="I316" t="s">
        <v>463</v>
      </c>
    </row>
    <row r="317" spans="1:9" x14ac:dyDescent="0.25">
      <c r="A317" s="128">
        <v>1223013</v>
      </c>
      <c r="B317" t="s">
        <v>642</v>
      </c>
      <c r="C317" t="s">
        <v>462</v>
      </c>
      <c r="E317" t="s">
        <v>642</v>
      </c>
      <c r="I317" t="s">
        <v>463</v>
      </c>
    </row>
    <row r="318" spans="1:9" x14ac:dyDescent="0.25">
      <c r="A318" s="128">
        <v>1223014</v>
      </c>
      <c r="B318" t="s">
        <v>643</v>
      </c>
      <c r="C318" t="s">
        <v>462</v>
      </c>
      <c r="E318" t="s">
        <v>643</v>
      </c>
      <c r="I318" t="s">
        <v>463</v>
      </c>
    </row>
    <row r="319" spans="1:9" x14ac:dyDescent="0.25">
      <c r="A319" s="128">
        <v>1223015</v>
      </c>
      <c r="B319" t="s">
        <v>2075</v>
      </c>
      <c r="C319" t="s">
        <v>462</v>
      </c>
      <c r="E319" t="s">
        <v>2075</v>
      </c>
      <c r="I319" t="s">
        <v>463</v>
      </c>
    </row>
    <row r="320" spans="1:9" x14ac:dyDescent="0.25">
      <c r="A320" s="128">
        <v>1223016</v>
      </c>
      <c r="B320" t="s">
        <v>644</v>
      </c>
      <c r="C320" t="s">
        <v>462</v>
      </c>
      <c r="E320" t="s">
        <v>644</v>
      </c>
      <c r="I320" t="s">
        <v>463</v>
      </c>
    </row>
    <row r="321" spans="1:9" x14ac:dyDescent="0.25">
      <c r="A321" s="128">
        <v>1223017</v>
      </c>
      <c r="B321" t="s">
        <v>645</v>
      </c>
      <c r="C321" t="s">
        <v>462</v>
      </c>
      <c r="E321" t="s">
        <v>645</v>
      </c>
      <c r="I321" t="s">
        <v>463</v>
      </c>
    </row>
    <row r="322" spans="1:9" x14ac:dyDescent="0.25">
      <c r="A322" s="128">
        <v>1223018</v>
      </c>
      <c r="B322" t="s">
        <v>646</v>
      </c>
      <c r="C322" t="s">
        <v>462</v>
      </c>
      <c r="E322" t="s">
        <v>646</v>
      </c>
      <c r="I322" t="s">
        <v>463</v>
      </c>
    </row>
    <row r="323" spans="1:9" x14ac:dyDescent="0.25">
      <c r="A323" s="128">
        <v>1223019</v>
      </c>
      <c r="B323" t="s">
        <v>647</v>
      </c>
      <c r="C323" t="s">
        <v>462</v>
      </c>
      <c r="E323" t="s">
        <v>647</v>
      </c>
      <c r="I323" t="s">
        <v>463</v>
      </c>
    </row>
    <row r="324" spans="1:9" x14ac:dyDescent="0.25">
      <c r="A324" s="128">
        <v>1223020</v>
      </c>
      <c r="B324" t="s">
        <v>648</v>
      </c>
      <c r="C324" t="s">
        <v>462</v>
      </c>
      <c r="E324" t="s">
        <v>648</v>
      </c>
      <c r="I324" t="s">
        <v>463</v>
      </c>
    </row>
    <row r="325" spans="1:9" x14ac:dyDescent="0.25">
      <c r="A325" s="128">
        <v>1223021</v>
      </c>
      <c r="B325" t="s">
        <v>649</v>
      </c>
      <c r="C325" t="s">
        <v>462</v>
      </c>
      <c r="E325" t="s">
        <v>649</v>
      </c>
      <c r="I325" t="s">
        <v>463</v>
      </c>
    </row>
    <row r="326" spans="1:9" x14ac:dyDescent="0.25">
      <c r="A326" s="128">
        <v>1224001</v>
      </c>
      <c r="B326" t="s">
        <v>650</v>
      </c>
      <c r="C326" t="s">
        <v>462</v>
      </c>
      <c r="E326" t="s">
        <v>650</v>
      </c>
      <c r="I326" t="s">
        <v>463</v>
      </c>
    </row>
    <row r="327" spans="1:9" x14ac:dyDescent="0.25">
      <c r="A327" s="128">
        <v>1224002</v>
      </c>
      <c r="B327" t="s">
        <v>651</v>
      </c>
      <c r="C327" t="s">
        <v>462</v>
      </c>
      <c r="E327" t="s">
        <v>651</v>
      </c>
      <c r="I327" t="s">
        <v>463</v>
      </c>
    </row>
    <row r="328" spans="1:9" x14ac:dyDescent="0.25">
      <c r="A328" s="128">
        <v>1224003</v>
      </c>
      <c r="B328" t="s">
        <v>2076</v>
      </c>
      <c r="C328" t="s">
        <v>462</v>
      </c>
      <c r="E328" t="s">
        <v>2076</v>
      </c>
      <c r="I328" t="s">
        <v>463</v>
      </c>
    </row>
    <row r="329" spans="1:9" x14ac:dyDescent="0.25">
      <c r="A329" s="128">
        <v>1224004</v>
      </c>
      <c r="B329" t="s">
        <v>652</v>
      </c>
      <c r="C329" t="s">
        <v>462</v>
      </c>
      <c r="E329" t="s">
        <v>652</v>
      </c>
      <c r="I329" t="s">
        <v>463</v>
      </c>
    </row>
    <row r="330" spans="1:9" x14ac:dyDescent="0.25">
      <c r="A330" s="128">
        <v>1224005</v>
      </c>
      <c r="B330" t="s">
        <v>653</v>
      </c>
      <c r="C330" t="s">
        <v>462</v>
      </c>
      <c r="E330" t="s">
        <v>653</v>
      </c>
      <c r="I330" t="s">
        <v>463</v>
      </c>
    </row>
    <row r="331" spans="1:9" x14ac:dyDescent="0.25">
      <c r="A331" s="128">
        <v>1224006</v>
      </c>
      <c r="B331" t="s">
        <v>654</v>
      </c>
      <c r="C331" t="s">
        <v>462</v>
      </c>
      <c r="E331" t="s">
        <v>654</v>
      </c>
      <c r="I331" t="s">
        <v>463</v>
      </c>
    </row>
    <row r="332" spans="1:9" x14ac:dyDescent="0.25">
      <c r="A332" s="128">
        <v>1224007</v>
      </c>
      <c r="B332" t="s">
        <v>655</v>
      </c>
      <c r="C332" t="s">
        <v>462</v>
      </c>
      <c r="E332" t="s">
        <v>655</v>
      </c>
      <c r="I332" t="s">
        <v>463</v>
      </c>
    </row>
    <row r="333" spans="1:9" x14ac:dyDescent="0.25">
      <c r="A333" s="128">
        <v>1224008</v>
      </c>
      <c r="B333" t="s">
        <v>656</v>
      </c>
      <c r="C333" t="s">
        <v>462</v>
      </c>
      <c r="E333" t="s">
        <v>656</v>
      </c>
      <c r="I333" t="s">
        <v>463</v>
      </c>
    </row>
    <row r="334" spans="1:9" x14ac:dyDescent="0.25">
      <c r="A334" s="128">
        <v>1224009</v>
      </c>
      <c r="B334" t="s">
        <v>657</v>
      </c>
      <c r="C334" t="s">
        <v>462</v>
      </c>
      <c r="E334" t="s">
        <v>657</v>
      </c>
      <c r="I334" t="s">
        <v>463</v>
      </c>
    </row>
    <row r="335" spans="1:9" x14ac:dyDescent="0.25">
      <c r="A335" s="128">
        <v>1225001</v>
      </c>
      <c r="B335" t="s">
        <v>2077</v>
      </c>
      <c r="C335" t="s">
        <v>462</v>
      </c>
      <c r="E335" t="s">
        <v>2077</v>
      </c>
      <c r="I335" t="s">
        <v>463</v>
      </c>
    </row>
    <row r="336" spans="1:9" x14ac:dyDescent="0.25">
      <c r="A336" s="128">
        <v>1225002</v>
      </c>
      <c r="B336" t="s">
        <v>2078</v>
      </c>
      <c r="C336" t="s">
        <v>462</v>
      </c>
      <c r="E336" t="s">
        <v>2078</v>
      </c>
      <c r="I336" t="s">
        <v>463</v>
      </c>
    </row>
    <row r="337" spans="1:9" x14ac:dyDescent="0.25">
      <c r="A337" s="128">
        <v>1225003</v>
      </c>
      <c r="B337" t="s">
        <v>2079</v>
      </c>
      <c r="C337" t="s">
        <v>462</v>
      </c>
      <c r="E337" t="s">
        <v>2079</v>
      </c>
      <c r="I337" t="s">
        <v>463</v>
      </c>
    </row>
    <row r="338" spans="1:9" x14ac:dyDescent="0.25">
      <c r="A338" s="128">
        <v>1225004</v>
      </c>
      <c r="B338" t="s">
        <v>2080</v>
      </c>
      <c r="C338" t="s">
        <v>462</v>
      </c>
      <c r="E338" t="s">
        <v>2080</v>
      </c>
      <c r="I338" t="s">
        <v>463</v>
      </c>
    </row>
    <row r="339" spans="1:9" x14ac:dyDescent="0.25">
      <c r="A339" s="128">
        <v>1225005</v>
      </c>
      <c r="B339" t="s">
        <v>2081</v>
      </c>
      <c r="C339" t="s">
        <v>462</v>
      </c>
      <c r="E339" t="s">
        <v>2081</v>
      </c>
      <c r="I339" t="s">
        <v>463</v>
      </c>
    </row>
    <row r="340" spans="1:9" x14ac:dyDescent="0.25">
      <c r="A340" s="128">
        <v>1225006</v>
      </c>
      <c r="B340" t="s">
        <v>2082</v>
      </c>
      <c r="C340" t="s">
        <v>462</v>
      </c>
      <c r="E340" t="s">
        <v>2082</v>
      </c>
      <c r="I340" t="s">
        <v>463</v>
      </c>
    </row>
    <row r="341" spans="1:9" x14ac:dyDescent="0.25">
      <c r="A341" s="128">
        <v>1225007</v>
      </c>
      <c r="B341" t="s">
        <v>2083</v>
      </c>
      <c r="C341" t="s">
        <v>462</v>
      </c>
      <c r="E341" t="s">
        <v>2083</v>
      </c>
      <c r="I341" t="s">
        <v>463</v>
      </c>
    </row>
    <row r="342" spans="1:9" x14ac:dyDescent="0.25">
      <c r="A342" s="128">
        <v>1225008</v>
      </c>
      <c r="B342" t="s">
        <v>2084</v>
      </c>
      <c r="C342" t="s">
        <v>462</v>
      </c>
      <c r="E342" t="s">
        <v>2084</v>
      </c>
      <c r="I342" t="s">
        <v>463</v>
      </c>
    </row>
    <row r="343" spans="1:9" x14ac:dyDescent="0.25">
      <c r="A343" s="128">
        <v>1225009</v>
      </c>
      <c r="B343" t="s">
        <v>2085</v>
      </c>
      <c r="C343" t="s">
        <v>462</v>
      </c>
      <c r="E343" t="s">
        <v>2085</v>
      </c>
      <c r="I343" t="s">
        <v>463</v>
      </c>
    </row>
    <row r="344" spans="1:9" x14ac:dyDescent="0.25">
      <c r="A344" s="128">
        <v>1501001</v>
      </c>
      <c r="B344" t="s">
        <v>658</v>
      </c>
      <c r="C344" t="s">
        <v>462</v>
      </c>
      <c r="E344" t="s">
        <v>658</v>
      </c>
      <c r="I344" t="s">
        <v>463</v>
      </c>
    </row>
    <row r="345" spans="1:9" x14ac:dyDescent="0.25">
      <c r="A345" s="128">
        <v>1501002</v>
      </c>
      <c r="B345" t="s">
        <v>659</v>
      </c>
      <c r="C345" t="s">
        <v>462</v>
      </c>
      <c r="E345" t="s">
        <v>659</v>
      </c>
      <c r="I345" t="s">
        <v>463</v>
      </c>
    </row>
    <row r="346" spans="1:9" x14ac:dyDescent="0.25">
      <c r="A346" s="128">
        <v>1501003</v>
      </c>
      <c r="B346" t="s">
        <v>660</v>
      </c>
      <c r="C346" t="s">
        <v>462</v>
      </c>
      <c r="E346" t="s">
        <v>660</v>
      </c>
      <c r="I346" t="s">
        <v>463</v>
      </c>
    </row>
    <row r="347" spans="1:9" x14ac:dyDescent="0.25">
      <c r="A347" s="128">
        <v>1501004</v>
      </c>
      <c r="B347" t="s">
        <v>661</v>
      </c>
      <c r="C347" t="s">
        <v>462</v>
      </c>
      <c r="E347" t="s">
        <v>661</v>
      </c>
      <c r="I347" t="s">
        <v>463</v>
      </c>
    </row>
    <row r="348" spans="1:9" x14ac:dyDescent="0.25">
      <c r="A348" s="128">
        <v>1501005</v>
      </c>
      <c r="B348" t="s">
        <v>662</v>
      </c>
      <c r="C348" t="s">
        <v>462</v>
      </c>
      <c r="E348" t="s">
        <v>662</v>
      </c>
      <c r="I348" t="s">
        <v>463</v>
      </c>
    </row>
    <row r="349" spans="1:9" x14ac:dyDescent="0.25">
      <c r="A349" s="128">
        <v>1502001</v>
      </c>
      <c r="B349" t="s">
        <v>663</v>
      </c>
      <c r="C349" t="s">
        <v>462</v>
      </c>
      <c r="E349" t="s">
        <v>663</v>
      </c>
      <c r="I349" t="s">
        <v>463</v>
      </c>
    </row>
    <row r="350" spans="1:9" x14ac:dyDescent="0.25">
      <c r="A350" s="128">
        <v>1502002</v>
      </c>
      <c r="B350" t="s">
        <v>664</v>
      </c>
      <c r="C350" t="s">
        <v>462</v>
      </c>
      <c r="E350" t="s">
        <v>664</v>
      </c>
      <c r="I350" t="s">
        <v>463</v>
      </c>
    </row>
    <row r="351" spans="1:9" x14ac:dyDescent="0.25">
      <c r="A351" s="128">
        <v>1502003</v>
      </c>
      <c r="B351" t="s">
        <v>665</v>
      </c>
      <c r="C351" t="s">
        <v>462</v>
      </c>
      <c r="E351" t="s">
        <v>665</v>
      </c>
      <c r="I351" t="s">
        <v>463</v>
      </c>
    </row>
    <row r="352" spans="1:9" x14ac:dyDescent="0.25">
      <c r="A352" s="128">
        <v>1502004</v>
      </c>
      <c r="B352" t="s">
        <v>666</v>
      </c>
      <c r="C352" t="s">
        <v>462</v>
      </c>
      <c r="E352" t="s">
        <v>666</v>
      </c>
      <c r="I352" t="s">
        <v>463</v>
      </c>
    </row>
    <row r="353" spans="1:9" x14ac:dyDescent="0.25">
      <c r="A353" s="128">
        <v>1502005</v>
      </c>
      <c r="B353" t="s">
        <v>667</v>
      </c>
      <c r="C353" t="s">
        <v>462</v>
      </c>
      <c r="E353" t="s">
        <v>667</v>
      </c>
      <c r="I353" t="s">
        <v>463</v>
      </c>
    </row>
    <row r="354" spans="1:9" x14ac:dyDescent="0.25">
      <c r="A354" s="128">
        <v>1502006</v>
      </c>
      <c r="B354" t="s">
        <v>668</v>
      </c>
      <c r="C354" t="s">
        <v>462</v>
      </c>
      <c r="E354" t="s">
        <v>668</v>
      </c>
      <c r="I354" t="s">
        <v>463</v>
      </c>
    </row>
    <row r="355" spans="1:9" x14ac:dyDescent="0.25">
      <c r="A355" s="128">
        <v>1502007</v>
      </c>
      <c r="B355" t="s">
        <v>669</v>
      </c>
      <c r="C355" t="s">
        <v>462</v>
      </c>
      <c r="E355" t="s">
        <v>669</v>
      </c>
      <c r="I355" t="s">
        <v>463</v>
      </c>
    </row>
    <row r="356" spans="1:9" x14ac:dyDescent="0.25">
      <c r="A356" s="128">
        <v>1502008</v>
      </c>
      <c r="B356" t="s">
        <v>670</v>
      </c>
      <c r="C356" t="s">
        <v>462</v>
      </c>
      <c r="E356" t="s">
        <v>670</v>
      </c>
      <c r="I356" t="s">
        <v>463</v>
      </c>
    </row>
    <row r="357" spans="1:9" x14ac:dyDescent="0.25">
      <c r="A357" s="128">
        <v>1502009</v>
      </c>
      <c r="B357" t="s">
        <v>671</v>
      </c>
      <c r="C357" t="s">
        <v>462</v>
      </c>
      <c r="E357" t="s">
        <v>671</v>
      </c>
      <c r="I357" t="s">
        <v>463</v>
      </c>
    </row>
    <row r="358" spans="1:9" x14ac:dyDescent="0.25">
      <c r="A358" s="128">
        <v>1503001</v>
      </c>
      <c r="B358" t="s">
        <v>672</v>
      </c>
      <c r="C358" t="s">
        <v>462</v>
      </c>
      <c r="E358" t="s">
        <v>672</v>
      </c>
      <c r="I358" t="s">
        <v>463</v>
      </c>
    </row>
    <row r="359" spans="1:9" x14ac:dyDescent="0.25">
      <c r="A359" s="128">
        <v>1504001</v>
      </c>
      <c r="B359" t="s">
        <v>673</v>
      </c>
      <c r="C359" t="s">
        <v>462</v>
      </c>
      <c r="E359" t="s">
        <v>673</v>
      </c>
      <c r="I359" t="s">
        <v>463</v>
      </c>
    </row>
    <row r="360" spans="1:9" x14ac:dyDescent="0.25">
      <c r="A360" s="128">
        <v>1504002</v>
      </c>
      <c r="B360" t="s">
        <v>674</v>
      </c>
      <c r="C360" t="s">
        <v>462</v>
      </c>
      <c r="E360" t="s">
        <v>674</v>
      </c>
      <c r="I360" t="s">
        <v>463</v>
      </c>
    </row>
    <row r="361" spans="1:9" x14ac:dyDescent="0.25">
      <c r="A361" s="128">
        <v>1504003</v>
      </c>
      <c r="B361" t="s">
        <v>675</v>
      </c>
      <c r="C361" t="s">
        <v>462</v>
      </c>
      <c r="E361" t="s">
        <v>675</v>
      </c>
      <c r="I361" t="s">
        <v>463</v>
      </c>
    </row>
    <row r="362" spans="1:9" x14ac:dyDescent="0.25">
      <c r="A362" s="128">
        <v>1504004</v>
      </c>
      <c r="B362" t="s">
        <v>676</v>
      </c>
      <c r="C362" t="s">
        <v>462</v>
      </c>
      <c r="E362" t="s">
        <v>676</v>
      </c>
      <c r="I362" t="s">
        <v>463</v>
      </c>
    </row>
    <row r="363" spans="1:9" x14ac:dyDescent="0.25">
      <c r="A363" s="128">
        <v>1504005</v>
      </c>
      <c r="B363" t="s">
        <v>677</v>
      </c>
      <c r="C363" t="s">
        <v>462</v>
      </c>
      <c r="E363" t="s">
        <v>677</v>
      </c>
      <c r="I363" t="s">
        <v>463</v>
      </c>
    </row>
    <row r="364" spans="1:9" x14ac:dyDescent="0.25">
      <c r="A364" s="128">
        <v>1504006</v>
      </c>
      <c r="B364" t="s">
        <v>678</v>
      </c>
      <c r="C364" t="s">
        <v>462</v>
      </c>
      <c r="E364" t="s">
        <v>678</v>
      </c>
      <c r="I364" t="s">
        <v>463</v>
      </c>
    </row>
    <row r="365" spans="1:9" x14ac:dyDescent="0.25">
      <c r="A365" s="128">
        <v>1504007</v>
      </c>
      <c r="B365" t="s">
        <v>679</v>
      </c>
      <c r="C365" t="s">
        <v>462</v>
      </c>
      <c r="E365" t="s">
        <v>679</v>
      </c>
      <c r="I365" t="s">
        <v>463</v>
      </c>
    </row>
    <row r="366" spans="1:9" x14ac:dyDescent="0.25">
      <c r="A366" s="128">
        <v>1504008</v>
      </c>
      <c r="B366" t="s">
        <v>680</v>
      </c>
      <c r="C366" t="s">
        <v>462</v>
      </c>
      <c r="E366" t="s">
        <v>680</v>
      </c>
      <c r="I366" t="s">
        <v>463</v>
      </c>
    </row>
    <row r="367" spans="1:9" x14ac:dyDescent="0.25">
      <c r="A367" s="128">
        <v>1505001</v>
      </c>
      <c r="B367" t="s">
        <v>681</v>
      </c>
      <c r="C367" t="s">
        <v>462</v>
      </c>
      <c r="E367" t="s">
        <v>681</v>
      </c>
      <c r="I367" t="s">
        <v>463</v>
      </c>
    </row>
    <row r="368" spans="1:9" x14ac:dyDescent="0.25">
      <c r="A368" s="128">
        <v>1505002</v>
      </c>
      <c r="B368" t="s">
        <v>682</v>
      </c>
      <c r="C368" t="s">
        <v>462</v>
      </c>
      <c r="E368" t="s">
        <v>682</v>
      </c>
      <c r="I368" t="s">
        <v>463</v>
      </c>
    </row>
    <row r="369" spans="1:9" x14ac:dyDescent="0.25">
      <c r="A369" s="128">
        <v>1506001</v>
      </c>
      <c r="B369" t="s">
        <v>683</v>
      </c>
      <c r="C369" t="s">
        <v>462</v>
      </c>
      <c r="E369" t="s">
        <v>683</v>
      </c>
      <c r="I369" t="s">
        <v>463</v>
      </c>
    </row>
    <row r="370" spans="1:9" x14ac:dyDescent="0.25">
      <c r="A370" s="128">
        <v>1507001</v>
      </c>
      <c r="B370" t="s">
        <v>684</v>
      </c>
      <c r="C370" t="s">
        <v>462</v>
      </c>
      <c r="E370" t="s">
        <v>684</v>
      </c>
      <c r="I370" t="s">
        <v>463</v>
      </c>
    </row>
    <row r="371" spans="1:9" x14ac:dyDescent="0.25">
      <c r="A371" s="128">
        <v>1507002</v>
      </c>
      <c r="B371" t="s">
        <v>2086</v>
      </c>
      <c r="C371" t="s">
        <v>462</v>
      </c>
      <c r="E371" t="s">
        <v>2086</v>
      </c>
      <c r="I371" t="s">
        <v>463</v>
      </c>
    </row>
    <row r="372" spans="1:9" x14ac:dyDescent="0.25">
      <c r="A372" s="128">
        <v>1507003</v>
      </c>
      <c r="B372" t="s">
        <v>2236</v>
      </c>
      <c r="C372" t="s">
        <v>462</v>
      </c>
      <c r="E372" t="s">
        <v>2236</v>
      </c>
      <c r="I372" t="s">
        <v>463</v>
      </c>
    </row>
    <row r="373" spans="1:9" x14ac:dyDescent="0.25">
      <c r="A373" s="128">
        <v>1507004</v>
      </c>
      <c r="B373" t="s">
        <v>685</v>
      </c>
      <c r="C373" t="s">
        <v>462</v>
      </c>
      <c r="E373" t="s">
        <v>685</v>
      </c>
      <c r="I373" t="s">
        <v>463</v>
      </c>
    </row>
    <row r="374" spans="1:9" x14ac:dyDescent="0.25">
      <c r="A374" s="128">
        <v>1508001</v>
      </c>
      <c r="B374" t="s">
        <v>2237</v>
      </c>
      <c r="C374" t="s">
        <v>462</v>
      </c>
      <c r="E374" t="s">
        <v>2237</v>
      </c>
      <c r="I374" t="s">
        <v>463</v>
      </c>
    </row>
    <row r="375" spans="1:9" x14ac:dyDescent="0.25">
      <c r="A375" s="128">
        <v>1508002</v>
      </c>
      <c r="B375" t="s">
        <v>2238</v>
      </c>
      <c r="C375" t="s">
        <v>462</v>
      </c>
      <c r="E375" t="s">
        <v>2238</v>
      </c>
      <c r="I375" t="s">
        <v>463</v>
      </c>
    </row>
    <row r="376" spans="1:9" x14ac:dyDescent="0.25">
      <c r="A376" s="128">
        <v>1508003</v>
      </c>
      <c r="B376" t="s">
        <v>2087</v>
      </c>
      <c r="C376" t="s">
        <v>462</v>
      </c>
      <c r="E376" t="s">
        <v>2087</v>
      </c>
      <c r="I376" t="s">
        <v>463</v>
      </c>
    </row>
    <row r="377" spans="1:9" x14ac:dyDescent="0.25">
      <c r="A377" s="128">
        <v>1508004</v>
      </c>
      <c r="B377" t="s">
        <v>2239</v>
      </c>
      <c r="C377" t="s">
        <v>462</v>
      </c>
      <c r="E377" t="s">
        <v>2239</v>
      </c>
      <c r="I377" t="s">
        <v>463</v>
      </c>
    </row>
    <row r="378" spans="1:9" x14ac:dyDescent="0.25">
      <c r="A378" s="128">
        <v>1508005</v>
      </c>
      <c r="B378" t="s">
        <v>686</v>
      </c>
      <c r="C378" t="s">
        <v>462</v>
      </c>
      <c r="E378" t="s">
        <v>686</v>
      </c>
      <c r="I378" t="s">
        <v>463</v>
      </c>
    </row>
    <row r="379" spans="1:9" x14ac:dyDescent="0.25">
      <c r="A379" s="128">
        <v>1509001</v>
      </c>
      <c r="B379" t="s">
        <v>687</v>
      </c>
      <c r="C379" t="s">
        <v>462</v>
      </c>
      <c r="E379" t="s">
        <v>687</v>
      </c>
      <c r="I379" t="s">
        <v>463</v>
      </c>
    </row>
    <row r="380" spans="1:9" x14ac:dyDescent="0.25">
      <c r="A380" s="128">
        <v>1509002</v>
      </c>
      <c r="B380" t="s">
        <v>2155</v>
      </c>
      <c r="C380" t="s">
        <v>462</v>
      </c>
      <c r="E380" t="s">
        <v>2155</v>
      </c>
      <c r="I380" t="s">
        <v>463</v>
      </c>
    </row>
    <row r="381" spans="1:9" x14ac:dyDescent="0.25">
      <c r="A381" s="128">
        <v>1509003</v>
      </c>
      <c r="B381" t="s">
        <v>2156</v>
      </c>
      <c r="C381" t="s">
        <v>462</v>
      </c>
      <c r="E381" t="s">
        <v>2156</v>
      </c>
      <c r="I381" t="s">
        <v>463</v>
      </c>
    </row>
    <row r="382" spans="1:9" x14ac:dyDescent="0.25">
      <c r="A382" s="128">
        <v>1509004</v>
      </c>
      <c r="B382" t="s">
        <v>2157</v>
      </c>
      <c r="C382" t="s">
        <v>462</v>
      </c>
      <c r="E382" t="s">
        <v>2157</v>
      </c>
      <c r="I382" t="s">
        <v>463</v>
      </c>
    </row>
    <row r="383" spans="1:9" x14ac:dyDescent="0.25">
      <c r="A383" s="128">
        <v>1509005</v>
      </c>
      <c r="B383" t="s">
        <v>2158</v>
      </c>
      <c r="C383" t="s">
        <v>462</v>
      </c>
      <c r="E383" t="s">
        <v>2158</v>
      </c>
      <c r="I383" t="s">
        <v>463</v>
      </c>
    </row>
    <row r="384" spans="1:9" x14ac:dyDescent="0.25">
      <c r="A384" s="128">
        <v>1509006</v>
      </c>
      <c r="B384" t="s">
        <v>2159</v>
      </c>
      <c r="C384" t="s">
        <v>462</v>
      </c>
      <c r="E384" t="s">
        <v>2159</v>
      </c>
      <c r="I384" t="s">
        <v>463</v>
      </c>
    </row>
    <row r="385" spans="1:9" x14ac:dyDescent="0.25">
      <c r="A385" s="128">
        <v>1510001</v>
      </c>
      <c r="B385" t="s">
        <v>688</v>
      </c>
      <c r="C385" t="s">
        <v>462</v>
      </c>
      <c r="E385" t="s">
        <v>688</v>
      </c>
      <c r="I385" t="s">
        <v>463</v>
      </c>
    </row>
    <row r="386" spans="1:9" x14ac:dyDescent="0.25">
      <c r="A386" s="128">
        <v>1510002</v>
      </c>
      <c r="B386" t="s">
        <v>689</v>
      </c>
      <c r="C386" t="s">
        <v>462</v>
      </c>
      <c r="E386" t="s">
        <v>689</v>
      </c>
      <c r="I386" t="s">
        <v>463</v>
      </c>
    </row>
    <row r="387" spans="1:9" x14ac:dyDescent="0.25">
      <c r="A387" s="128">
        <v>1510003</v>
      </c>
      <c r="B387" t="s">
        <v>690</v>
      </c>
      <c r="C387" t="s">
        <v>462</v>
      </c>
      <c r="E387" t="s">
        <v>690</v>
      </c>
      <c r="I387" t="s">
        <v>463</v>
      </c>
    </row>
    <row r="388" spans="1:9" x14ac:dyDescent="0.25">
      <c r="A388" s="128">
        <v>1511001</v>
      </c>
      <c r="B388" t="s">
        <v>691</v>
      </c>
      <c r="C388" t="s">
        <v>462</v>
      </c>
      <c r="E388" t="s">
        <v>691</v>
      </c>
      <c r="I388" t="s">
        <v>463</v>
      </c>
    </row>
    <row r="389" spans="1:9" x14ac:dyDescent="0.25">
      <c r="A389" s="128">
        <v>1512001</v>
      </c>
      <c r="B389" t="s">
        <v>692</v>
      </c>
      <c r="C389" t="s">
        <v>462</v>
      </c>
      <c r="E389" t="s">
        <v>692</v>
      </c>
      <c r="I389" t="s">
        <v>463</v>
      </c>
    </row>
    <row r="390" spans="1:9" x14ac:dyDescent="0.25">
      <c r="A390" s="128">
        <v>1513001</v>
      </c>
      <c r="B390" t="s">
        <v>693</v>
      </c>
      <c r="C390" t="s">
        <v>462</v>
      </c>
      <c r="E390" t="s">
        <v>693</v>
      </c>
      <c r="I390" t="s">
        <v>463</v>
      </c>
    </row>
    <row r="391" spans="1:9" x14ac:dyDescent="0.25">
      <c r="A391" s="128">
        <v>1514001</v>
      </c>
      <c r="B391" t="s">
        <v>694</v>
      </c>
      <c r="C391" t="s">
        <v>462</v>
      </c>
      <c r="E391" t="s">
        <v>694</v>
      </c>
      <c r="I391" t="s">
        <v>463</v>
      </c>
    </row>
    <row r="392" spans="1:9" x14ac:dyDescent="0.25">
      <c r="A392" s="128">
        <v>1514002</v>
      </c>
      <c r="B392" t="s">
        <v>695</v>
      </c>
      <c r="C392" t="s">
        <v>462</v>
      </c>
      <c r="E392" t="s">
        <v>695</v>
      </c>
      <c r="I392" t="s">
        <v>463</v>
      </c>
    </row>
    <row r="393" spans="1:9" x14ac:dyDescent="0.25">
      <c r="A393" s="128">
        <v>1514003</v>
      </c>
      <c r="B393" t="s">
        <v>696</v>
      </c>
      <c r="C393" t="s">
        <v>462</v>
      </c>
      <c r="E393" t="s">
        <v>696</v>
      </c>
      <c r="I393" t="s">
        <v>463</v>
      </c>
    </row>
    <row r="394" spans="1:9" x14ac:dyDescent="0.25">
      <c r="A394" s="128">
        <v>1514004</v>
      </c>
      <c r="B394" t="s">
        <v>697</v>
      </c>
      <c r="C394" t="s">
        <v>462</v>
      </c>
      <c r="E394" t="s">
        <v>697</v>
      </c>
      <c r="I394" t="s">
        <v>463</v>
      </c>
    </row>
    <row r="395" spans="1:9" x14ac:dyDescent="0.25">
      <c r="A395" s="128">
        <v>1514005</v>
      </c>
      <c r="B395" t="s">
        <v>698</v>
      </c>
      <c r="C395" t="s">
        <v>462</v>
      </c>
      <c r="E395" t="s">
        <v>698</v>
      </c>
      <c r="I395" t="s">
        <v>463</v>
      </c>
    </row>
    <row r="396" spans="1:9" x14ac:dyDescent="0.25">
      <c r="A396" s="128">
        <v>1515001</v>
      </c>
      <c r="B396" t="s">
        <v>699</v>
      </c>
      <c r="C396" t="s">
        <v>462</v>
      </c>
      <c r="E396" t="s">
        <v>699</v>
      </c>
      <c r="I396" t="s">
        <v>463</v>
      </c>
    </row>
    <row r="397" spans="1:9" x14ac:dyDescent="0.25">
      <c r="A397" s="128">
        <v>1516001</v>
      </c>
      <c r="B397" t="s">
        <v>2088</v>
      </c>
      <c r="C397" t="s">
        <v>462</v>
      </c>
      <c r="E397" t="s">
        <v>2088</v>
      </c>
      <c r="I397" t="s">
        <v>463</v>
      </c>
    </row>
    <row r="398" spans="1:9" x14ac:dyDescent="0.25">
      <c r="A398" s="128">
        <v>1516002</v>
      </c>
      <c r="B398" t="s">
        <v>700</v>
      </c>
      <c r="C398" t="s">
        <v>462</v>
      </c>
      <c r="E398" t="s">
        <v>700</v>
      </c>
      <c r="I398" t="s">
        <v>463</v>
      </c>
    </row>
    <row r="399" spans="1:9" x14ac:dyDescent="0.25">
      <c r="A399" s="128">
        <v>1516003</v>
      </c>
      <c r="B399" t="s">
        <v>2240</v>
      </c>
      <c r="C399" t="s">
        <v>462</v>
      </c>
      <c r="E399" t="s">
        <v>2240</v>
      </c>
      <c r="I399" t="s">
        <v>463</v>
      </c>
    </row>
    <row r="400" spans="1:9" x14ac:dyDescent="0.25">
      <c r="A400" s="128">
        <v>1516004</v>
      </c>
      <c r="B400" t="s">
        <v>701</v>
      </c>
      <c r="C400" t="s">
        <v>462</v>
      </c>
      <c r="E400" t="s">
        <v>701</v>
      </c>
      <c r="I400" t="s">
        <v>463</v>
      </c>
    </row>
    <row r="401" spans="1:9" x14ac:dyDescent="0.25">
      <c r="A401" s="128">
        <v>1516005</v>
      </c>
      <c r="B401" t="s">
        <v>2241</v>
      </c>
      <c r="C401" t="s">
        <v>462</v>
      </c>
      <c r="E401" t="s">
        <v>2241</v>
      </c>
      <c r="I401" t="s">
        <v>463</v>
      </c>
    </row>
    <row r="402" spans="1:9" x14ac:dyDescent="0.25">
      <c r="A402" s="128">
        <v>1516006</v>
      </c>
      <c r="B402" t="s">
        <v>702</v>
      </c>
      <c r="C402" t="s">
        <v>462</v>
      </c>
      <c r="E402" t="s">
        <v>702</v>
      </c>
      <c r="I402" t="s">
        <v>463</v>
      </c>
    </row>
    <row r="403" spans="1:9" x14ac:dyDescent="0.25">
      <c r="A403" s="128">
        <v>1516007</v>
      </c>
      <c r="B403" t="s">
        <v>703</v>
      </c>
      <c r="C403" t="s">
        <v>462</v>
      </c>
      <c r="E403" t="s">
        <v>703</v>
      </c>
      <c r="I403" t="s">
        <v>463</v>
      </c>
    </row>
    <row r="404" spans="1:9" x14ac:dyDescent="0.25">
      <c r="A404" s="128">
        <v>1516008</v>
      </c>
      <c r="B404" t="s">
        <v>2089</v>
      </c>
      <c r="C404" t="s">
        <v>462</v>
      </c>
      <c r="E404" t="s">
        <v>2089</v>
      </c>
      <c r="I404" t="s">
        <v>463</v>
      </c>
    </row>
    <row r="405" spans="1:9" x14ac:dyDescent="0.25">
      <c r="A405" s="128">
        <v>1516009</v>
      </c>
      <c r="B405" t="s">
        <v>2242</v>
      </c>
      <c r="C405" t="s">
        <v>462</v>
      </c>
      <c r="E405" t="s">
        <v>2242</v>
      </c>
      <c r="I405" t="s">
        <v>463</v>
      </c>
    </row>
    <row r="406" spans="1:9" x14ac:dyDescent="0.25">
      <c r="A406" s="128">
        <v>1601001</v>
      </c>
      <c r="B406" t="s">
        <v>2243</v>
      </c>
      <c r="C406" t="s">
        <v>462</v>
      </c>
      <c r="E406" t="s">
        <v>2243</v>
      </c>
      <c r="I406" t="s">
        <v>463</v>
      </c>
    </row>
    <row r="407" spans="1:9" x14ac:dyDescent="0.25">
      <c r="A407" s="128">
        <v>1601002</v>
      </c>
      <c r="B407" t="s">
        <v>2190</v>
      </c>
      <c r="C407" t="s">
        <v>462</v>
      </c>
      <c r="E407" t="s">
        <v>2190</v>
      </c>
      <c r="I407" t="s">
        <v>463</v>
      </c>
    </row>
    <row r="408" spans="1:9" x14ac:dyDescent="0.25">
      <c r="A408" s="128" t="s">
        <v>704</v>
      </c>
      <c r="B408" t="s">
        <v>705</v>
      </c>
      <c r="C408" t="s">
        <v>706</v>
      </c>
      <c r="D408" t="s">
        <v>707</v>
      </c>
      <c r="E408" t="s">
        <v>705</v>
      </c>
      <c r="G408" t="s">
        <v>708</v>
      </c>
      <c r="H408" t="s">
        <v>709</v>
      </c>
      <c r="I408" t="s">
        <v>463</v>
      </c>
    </row>
    <row r="409" spans="1:9" x14ac:dyDescent="0.25">
      <c r="A409" s="128" t="s">
        <v>710</v>
      </c>
      <c r="B409" t="s">
        <v>711</v>
      </c>
      <c r="C409" t="s">
        <v>706</v>
      </c>
      <c r="D409" t="s">
        <v>712</v>
      </c>
      <c r="E409" t="s">
        <v>711</v>
      </c>
      <c r="G409" t="s">
        <v>708</v>
      </c>
      <c r="H409" t="s">
        <v>713</v>
      </c>
      <c r="I409" t="s">
        <v>463</v>
      </c>
    </row>
    <row r="410" spans="1:9" x14ac:dyDescent="0.25">
      <c r="A410" s="128" t="s">
        <v>714</v>
      </c>
      <c r="B410" t="s">
        <v>715</v>
      </c>
      <c r="C410" t="s">
        <v>706</v>
      </c>
      <c r="D410" t="s">
        <v>124</v>
      </c>
      <c r="E410" t="s">
        <v>715</v>
      </c>
      <c r="G410" t="s">
        <v>716</v>
      </c>
      <c r="H410" t="s">
        <v>713</v>
      </c>
      <c r="I410" t="s">
        <v>717</v>
      </c>
    </row>
    <row r="411" spans="1:9" x14ac:dyDescent="0.25">
      <c r="A411" s="128" t="s">
        <v>718</v>
      </c>
      <c r="B411" t="s">
        <v>719</v>
      </c>
      <c r="C411" t="s">
        <v>706</v>
      </c>
      <c r="D411" t="s">
        <v>720</v>
      </c>
      <c r="E411" t="s">
        <v>719</v>
      </c>
      <c r="G411" t="s">
        <v>721</v>
      </c>
      <c r="H411" t="s">
        <v>722</v>
      </c>
      <c r="I411" t="s">
        <v>463</v>
      </c>
    </row>
    <row r="412" spans="1:9" x14ac:dyDescent="0.25">
      <c r="A412" s="128" t="s">
        <v>723</v>
      </c>
      <c r="B412" t="s">
        <v>724</v>
      </c>
      <c r="C412" t="s">
        <v>706</v>
      </c>
      <c r="D412" t="s">
        <v>725</v>
      </c>
      <c r="E412" t="s">
        <v>724</v>
      </c>
      <c r="G412" t="s">
        <v>721</v>
      </c>
      <c r="H412" t="s">
        <v>713</v>
      </c>
      <c r="I412" t="s">
        <v>463</v>
      </c>
    </row>
    <row r="413" spans="1:9" x14ac:dyDescent="0.25">
      <c r="A413" s="128" t="s">
        <v>726</v>
      </c>
      <c r="B413" t="s">
        <v>727</v>
      </c>
      <c r="C413" t="s">
        <v>706</v>
      </c>
      <c r="D413" t="s">
        <v>728</v>
      </c>
      <c r="E413" t="s">
        <v>727</v>
      </c>
      <c r="G413" t="s">
        <v>721</v>
      </c>
      <c r="H413" t="s">
        <v>729</v>
      </c>
      <c r="I413" t="s">
        <v>463</v>
      </c>
    </row>
    <row r="414" spans="1:9" x14ac:dyDescent="0.25">
      <c r="A414" s="128" t="s">
        <v>730</v>
      </c>
      <c r="B414" t="s">
        <v>731</v>
      </c>
      <c r="C414" t="s">
        <v>706</v>
      </c>
      <c r="D414" t="s">
        <v>732</v>
      </c>
      <c r="E414" t="s">
        <v>731</v>
      </c>
      <c r="G414" t="s">
        <v>721</v>
      </c>
      <c r="H414" t="s">
        <v>722</v>
      </c>
      <c r="I414" t="s">
        <v>463</v>
      </c>
    </row>
    <row r="415" spans="1:9" x14ac:dyDescent="0.25">
      <c r="A415" s="128" t="s">
        <v>733</v>
      </c>
      <c r="B415" t="s">
        <v>734</v>
      </c>
      <c r="C415" t="s">
        <v>706</v>
      </c>
      <c r="D415" t="s">
        <v>735</v>
      </c>
      <c r="E415" t="s">
        <v>734</v>
      </c>
      <c r="G415" t="s">
        <v>721</v>
      </c>
      <c r="H415" t="s">
        <v>722</v>
      </c>
      <c r="I415" t="s">
        <v>463</v>
      </c>
    </row>
    <row r="416" spans="1:9" x14ac:dyDescent="0.25">
      <c r="A416" s="128" t="s">
        <v>736</v>
      </c>
      <c r="B416" t="s">
        <v>737</v>
      </c>
      <c r="C416" t="s">
        <v>706</v>
      </c>
      <c r="D416" t="s">
        <v>738</v>
      </c>
      <c r="E416" t="s">
        <v>737</v>
      </c>
      <c r="I416" t="s">
        <v>463</v>
      </c>
    </row>
    <row r="417" spans="1:9" x14ac:dyDescent="0.25">
      <c r="A417" s="128" t="s">
        <v>739</v>
      </c>
      <c r="B417" t="s">
        <v>740</v>
      </c>
      <c r="C417" t="s">
        <v>706</v>
      </c>
      <c r="D417" t="s">
        <v>741</v>
      </c>
      <c r="E417" t="s">
        <v>740</v>
      </c>
      <c r="I417" t="s">
        <v>463</v>
      </c>
    </row>
    <row r="418" spans="1:9" x14ac:dyDescent="0.25">
      <c r="A418" s="128" t="s">
        <v>742</v>
      </c>
      <c r="B418" t="s">
        <v>743</v>
      </c>
      <c r="C418" t="s">
        <v>706</v>
      </c>
      <c r="D418" t="s">
        <v>744</v>
      </c>
      <c r="E418" t="s">
        <v>743</v>
      </c>
      <c r="I418" t="s">
        <v>463</v>
      </c>
    </row>
    <row r="419" spans="1:9" x14ac:dyDescent="0.25">
      <c r="A419" s="128" t="s">
        <v>745</v>
      </c>
      <c r="B419" t="s">
        <v>746</v>
      </c>
      <c r="C419" t="s">
        <v>706</v>
      </c>
      <c r="D419" t="s">
        <v>747</v>
      </c>
      <c r="E419" t="s">
        <v>746</v>
      </c>
      <c r="I419" t="s">
        <v>463</v>
      </c>
    </row>
    <row r="420" spans="1:9" x14ac:dyDescent="0.25">
      <c r="A420" s="128" t="s">
        <v>748</v>
      </c>
      <c r="B420" t="s">
        <v>749</v>
      </c>
      <c r="C420" t="s">
        <v>750</v>
      </c>
      <c r="D420" t="s">
        <v>749</v>
      </c>
      <c r="I420" t="s">
        <v>463</v>
      </c>
    </row>
    <row r="421" spans="1:9" x14ac:dyDescent="0.25">
      <c r="A421" s="128" t="s">
        <v>751</v>
      </c>
      <c r="B421" t="s">
        <v>752</v>
      </c>
      <c r="C421" t="s">
        <v>750</v>
      </c>
      <c r="D421" t="s">
        <v>752</v>
      </c>
      <c r="I421" t="s">
        <v>463</v>
      </c>
    </row>
    <row r="422" spans="1:9" x14ac:dyDescent="0.25">
      <c r="A422" s="128" t="s">
        <v>753</v>
      </c>
      <c r="B422" t="s">
        <v>754</v>
      </c>
      <c r="C422" t="s">
        <v>750</v>
      </c>
      <c r="D422" t="s">
        <v>754</v>
      </c>
      <c r="H422" t="s">
        <v>713</v>
      </c>
      <c r="I422" t="s">
        <v>463</v>
      </c>
    </row>
    <row r="423" spans="1:9" x14ac:dyDescent="0.25">
      <c r="A423" s="128" t="s">
        <v>755</v>
      </c>
      <c r="B423" t="s">
        <v>756</v>
      </c>
      <c r="C423" t="s">
        <v>750</v>
      </c>
      <c r="D423" t="s">
        <v>756</v>
      </c>
      <c r="I423" t="s">
        <v>463</v>
      </c>
    </row>
    <row r="424" spans="1:9" x14ac:dyDescent="0.25">
      <c r="A424" s="128" t="s">
        <v>383</v>
      </c>
      <c r="B424" t="s">
        <v>2160</v>
      </c>
      <c r="C424" t="s">
        <v>706</v>
      </c>
      <c r="D424" t="s">
        <v>757</v>
      </c>
      <c r="E424" t="s">
        <v>2160</v>
      </c>
      <c r="G424" t="s">
        <v>344</v>
      </c>
      <c r="H424" t="s">
        <v>758</v>
      </c>
      <c r="I424" t="s">
        <v>717</v>
      </c>
    </row>
    <row r="425" spans="1:9" x14ac:dyDescent="0.25">
      <c r="A425" s="128" t="s">
        <v>408</v>
      </c>
      <c r="B425" t="s">
        <v>2244</v>
      </c>
      <c r="C425" t="s">
        <v>706</v>
      </c>
      <c r="D425" t="s">
        <v>759</v>
      </c>
      <c r="E425" t="s">
        <v>2244</v>
      </c>
      <c r="G425" t="s">
        <v>344</v>
      </c>
      <c r="H425" t="s">
        <v>760</v>
      </c>
      <c r="I425" t="s">
        <v>717</v>
      </c>
    </row>
    <row r="426" spans="1:9" x14ac:dyDescent="0.25">
      <c r="A426" s="128" t="s">
        <v>761</v>
      </c>
      <c r="B426" t="s">
        <v>762</v>
      </c>
      <c r="C426" t="s">
        <v>462</v>
      </c>
      <c r="E426" t="s">
        <v>762</v>
      </c>
      <c r="I426" t="s">
        <v>463</v>
      </c>
    </row>
    <row r="427" spans="1:9" x14ac:dyDescent="0.25">
      <c r="A427" s="128" t="s">
        <v>763</v>
      </c>
      <c r="B427" t="s">
        <v>764</v>
      </c>
      <c r="C427" t="s">
        <v>706</v>
      </c>
      <c r="D427" t="s">
        <v>765</v>
      </c>
      <c r="E427" t="s">
        <v>764</v>
      </c>
      <c r="G427" t="s">
        <v>6</v>
      </c>
      <c r="H427" t="s">
        <v>766</v>
      </c>
      <c r="I427" t="s">
        <v>717</v>
      </c>
    </row>
    <row r="428" spans="1:9" x14ac:dyDescent="0.25">
      <c r="A428" s="128" t="s">
        <v>767</v>
      </c>
      <c r="B428" t="s">
        <v>768</v>
      </c>
      <c r="C428" t="s">
        <v>706</v>
      </c>
      <c r="D428" t="s">
        <v>769</v>
      </c>
      <c r="E428" t="s">
        <v>768</v>
      </c>
      <c r="G428" t="s">
        <v>113</v>
      </c>
      <c r="H428" t="s">
        <v>770</v>
      </c>
      <c r="I428" t="s">
        <v>717</v>
      </c>
    </row>
    <row r="429" spans="1:9" x14ac:dyDescent="0.25">
      <c r="A429" s="128" t="s">
        <v>771</v>
      </c>
      <c r="B429" t="s">
        <v>772</v>
      </c>
      <c r="C429" t="s">
        <v>706</v>
      </c>
      <c r="D429" t="s">
        <v>773</v>
      </c>
      <c r="E429" t="s">
        <v>772</v>
      </c>
      <c r="I429" t="s">
        <v>717</v>
      </c>
    </row>
    <row r="430" spans="1:9" x14ac:dyDescent="0.25">
      <c r="A430" s="128" t="s">
        <v>774</v>
      </c>
      <c r="B430" t="s">
        <v>775</v>
      </c>
      <c r="C430" t="s">
        <v>706</v>
      </c>
      <c r="D430" t="s">
        <v>776</v>
      </c>
      <c r="E430" t="s">
        <v>775</v>
      </c>
      <c r="I430" t="s">
        <v>717</v>
      </c>
    </row>
    <row r="431" spans="1:9" x14ac:dyDescent="0.25">
      <c r="A431" s="128" t="s">
        <v>777</v>
      </c>
      <c r="B431" t="s">
        <v>778</v>
      </c>
      <c r="C431" t="s">
        <v>706</v>
      </c>
      <c r="D431" t="s">
        <v>779</v>
      </c>
      <c r="E431" t="s">
        <v>778</v>
      </c>
      <c r="F431" t="s">
        <v>780</v>
      </c>
      <c r="G431" t="s">
        <v>781</v>
      </c>
      <c r="H431" t="s">
        <v>709</v>
      </c>
      <c r="I431" t="s">
        <v>463</v>
      </c>
    </row>
    <row r="432" spans="1:9" x14ac:dyDescent="0.25">
      <c r="A432" s="128" t="s">
        <v>782</v>
      </c>
      <c r="B432" t="s">
        <v>783</v>
      </c>
      <c r="C432" t="s">
        <v>750</v>
      </c>
      <c r="D432" t="s">
        <v>783</v>
      </c>
      <c r="F432" t="s">
        <v>784</v>
      </c>
      <c r="G432" t="s">
        <v>785</v>
      </c>
      <c r="H432" t="s">
        <v>709</v>
      </c>
      <c r="I432" t="s">
        <v>463</v>
      </c>
    </row>
    <row r="433" spans="1:9" x14ac:dyDescent="0.25">
      <c r="A433" s="128" t="s">
        <v>786</v>
      </c>
      <c r="B433" t="s">
        <v>787</v>
      </c>
      <c r="C433" t="s">
        <v>750</v>
      </c>
      <c r="D433" t="s">
        <v>787</v>
      </c>
      <c r="G433" t="s">
        <v>785</v>
      </c>
      <c r="H433" t="s">
        <v>709</v>
      </c>
      <c r="I433" t="s">
        <v>463</v>
      </c>
    </row>
    <row r="434" spans="1:9" x14ac:dyDescent="0.25">
      <c r="A434" s="128" t="s">
        <v>788</v>
      </c>
      <c r="B434" t="s">
        <v>789</v>
      </c>
      <c r="C434" t="s">
        <v>706</v>
      </c>
      <c r="D434" t="s">
        <v>790</v>
      </c>
      <c r="E434" t="s">
        <v>789</v>
      </c>
      <c r="G434" t="s">
        <v>785</v>
      </c>
      <c r="H434" t="s">
        <v>709</v>
      </c>
      <c r="I434" t="s">
        <v>717</v>
      </c>
    </row>
    <row r="435" spans="1:9" x14ac:dyDescent="0.25">
      <c r="A435" s="128" t="s">
        <v>791</v>
      </c>
      <c r="B435" t="s">
        <v>792</v>
      </c>
      <c r="C435" t="s">
        <v>750</v>
      </c>
      <c r="D435" t="s">
        <v>792</v>
      </c>
      <c r="G435" t="s">
        <v>785</v>
      </c>
      <c r="H435" t="s">
        <v>709</v>
      </c>
      <c r="I435" t="s">
        <v>463</v>
      </c>
    </row>
    <row r="436" spans="1:9" x14ac:dyDescent="0.25">
      <c r="A436" s="128" t="s">
        <v>793</v>
      </c>
      <c r="B436" t="s">
        <v>794</v>
      </c>
      <c r="C436" t="s">
        <v>706</v>
      </c>
      <c r="D436" t="s">
        <v>795</v>
      </c>
      <c r="E436" t="s">
        <v>794</v>
      </c>
      <c r="G436" t="s">
        <v>785</v>
      </c>
      <c r="H436" t="s">
        <v>709</v>
      </c>
      <c r="I436" t="s">
        <v>463</v>
      </c>
    </row>
    <row r="437" spans="1:9" x14ac:dyDescent="0.25">
      <c r="A437" s="128" t="s">
        <v>796</v>
      </c>
      <c r="B437" t="s">
        <v>797</v>
      </c>
      <c r="C437" t="s">
        <v>706</v>
      </c>
      <c r="D437" t="s">
        <v>798</v>
      </c>
      <c r="E437" t="s">
        <v>797</v>
      </c>
      <c r="G437" t="s">
        <v>785</v>
      </c>
      <c r="H437" t="s">
        <v>709</v>
      </c>
      <c r="I437" t="s">
        <v>463</v>
      </c>
    </row>
    <row r="438" spans="1:9" x14ac:dyDescent="0.25">
      <c r="A438" s="128" t="s">
        <v>799</v>
      </c>
      <c r="B438" t="s">
        <v>800</v>
      </c>
      <c r="C438" t="s">
        <v>706</v>
      </c>
      <c r="D438" t="s">
        <v>801</v>
      </c>
      <c r="E438" t="s">
        <v>800</v>
      </c>
      <c r="G438" t="s">
        <v>785</v>
      </c>
      <c r="H438" t="s">
        <v>722</v>
      </c>
      <c r="I438" t="s">
        <v>463</v>
      </c>
    </row>
    <row r="439" spans="1:9" x14ac:dyDescent="0.25">
      <c r="A439" s="128" t="s">
        <v>802</v>
      </c>
      <c r="B439" t="s">
        <v>803</v>
      </c>
      <c r="C439" t="s">
        <v>706</v>
      </c>
      <c r="D439" t="s">
        <v>804</v>
      </c>
      <c r="E439" t="s">
        <v>803</v>
      </c>
      <c r="G439" t="s">
        <v>785</v>
      </c>
      <c r="H439" t="s">
        <v>722</v>
      </c>
      <c r="I439" t="s">
        <v>463</v>
      </c>
    </row>
    <row r="440" spans="1:9" x14ac:dyDescent="0.25">
      <c r="A440" s="128" t="s">
        <v>805</v>
      </c>
      <c r="B440" t="s">
        <v>806</v>
      </c>
      <c r="C440" t="s">
        <v>706</v>
      </c>
      <c r="D440" t="s">
        <v>807</v>
      </c>
      <c r="E440" t="s">
        <v>806</v>
      </c>
      <c r="G440" t="s">
        <v>785</v>
      </c>
      <c r="H440" t="s">
        <v>722</v>
      </c>
      <c r="I440" t="s">
        <v>463</v>
      </c>
    </row>
    <row r="441" spans="1:9" x14ac:dyDescent="0.25">
      <c r="A441" s="128" t="s">
        <v>808</v>
      </c>
      <c r="B441" t="s">
        <v>809</v>
      </c>
      <c r="C441" t="s">
        <v>706</v>
      </c>
      <c r="D441" t="s">
        <v>810</v>
      </c>
      <c r="E441" t="s">
        <v>809</v>
      </c>
      <c r="G441" t="s">
        <v>785</v>
      </c>
      <c r="H441" t="s">
        <v>722</v>
      </c>
      <c r="I441" t="s">
        <v>463</v>
      </c>
    </row>
    <row r="442" spans="1:9" x14ac:dyDescent="0.25">
      <c r="A442" s="128" t="s">
        <v>811</v>
      </c>
      <c r="B442" t="s">
        <v>812</v>
      </c>
      <c r="C442" t="s">
        <v>706</v>
      </c>
      <c r="D442" t="s">
        <v>813</v>
      </c>
      <c r="E442" t="s">
        <v>812</v>
      </c>
      <c r="G442" t="s">
        <v>785</v>
      </c>
      <c r="H442" t="s">
        <v>722</v>
      </c>
      <c r="I442" t="s">
        <v>463</v>
      </c>
    </row>
    <row r="443" spans="1:9" x14ac:dyDescent="0.25">
      <c r="A443" s="128" t="s">
        <v>814</v>
      </c>
      <c r="B443" t="s">
        <v>815</v>
      </c>
      <c r="C443" t="s">
        <v>706</v>
      </c>
      <c r="D443" t="s">
        <v>816</v>
      </c>
      <c r="E443" t="s">
        <v>815</v>
      </c>
      <c r="G443" t="s">
        <v>785</v>
      </c>
      <c r="H443" t="s">
        <v>722</v>
      </c>
      <c r="I443" t="s">
        <v>463</v>
      </c>
    </row>
    <row r="444" spans="1:9" x14ac:dyDescent="0.25">
      <c r="A444" s="128" t="s">
        <v>817</v>
      </c>
      <c r="B444" t="s">
        <v>818</v>
      </c>
      <c r="C444" t="s">
        <v>706</v>
      </c>
      <c r="D444" t="s">
        <v>790</v>
      </c>
      <c r="E444" t="s">
        <v>818</v>
      </c>
      <c r="G444" t="s">
        <v>785</v>
      </c>
      <c r="H444" t="s">
        <v>722</v>
      </c>
      <c r="I444" t="s">
        <v>717</v>
      </c>
    </row>
    <row r="445" spans="1:9" x14ac:dyDescent="0.25">
      <c r="A445" s="128" t="s">
        <v>819</v>
      </c>
      <c r="B445" t="s">
        <v>820</v>
      </c>
      <c r="C445" t="s">
        <v>750</v>
      </c>
      <c r="D445" t="s">
        <v>820</v>
      </c>
      <c r="H445" t="s">
        <v>722</v>
      </c>
      <c r="I445" t="s">
        <v>463</v>
      </c>
    </row>
    <row r="446" spans="1:9" x14ac:dyDescent="0.25">
      <c r="A446" s="128" t="s">
        <v>821</v>
      </c>
      <c r="B446" t="s">
        <v>822</v>
      </c>
      <c r="C446" t="s">
        <v>750</v>
      </c>
      <c r="D446" t="s">
        <v>822</v>
      </c>
      <c r="I446" t="s">
        <v>463</v>
      </c>
    </row>
    <row r="447" spans="1:9" x14ac:dyDescent="0.25">
      <c r="A447" s="128" t="s">
        <v>823</v>
      </c>
      <c r="B447" t="s">
        <v>824</v>
      </c>
      <c r="C447" t="s">
        <v>750</v>
      </c>
      <c r="D447" t="s">
        <v>824</v>
      </c>
      <c r="I447" t="s">
        <v>463</v>
      </c>
    </row>
    <row r="448" spans="1:9" x14ac:dyDescent="0.25">
      <c r="A448" s="128" t="s">
        <v>825</v>
      </c>
      <c r="B448" t="s">
        <v>826</v>
      </c>
      <c r="C448" t="s">
        <v>706</v>
      </c>
      <c r="D448" t="s">
        <v>827</v>
      </c>
      <c r="E448" t="s">
        <v>826</v>
      </c>
      <c r="G448" t="s">
        <v>828</v>
      </c>
      <c r="H448" t="s">
        <v>709</v>
      </c>
      <c r="I448" t="s">
        <v>463</v>
      </c>
    </row>
    <row r="449" spans="1:9" x14ac:dyDescent="0.25">
      <c r="A449" s="128" t="s">
        <v>829</v>
      </c>
      <c r="B449" t="s">
        <v>830</v>
      </c>
      <c r="C449" t="s">
        <v>706</v>
      </c>
      <c r="D449" t="s">
        <v>831</v>
      </c>
      <c r="E449" t="s">
        <v>830</v>
      </c>
      <c r="G449" t="s">
        <v>832</v>
      </c>
      <c r="H449" t="s">
        <v>709</v>
      </c>
      <c r="I449" t="s">
        <v>463</v>
      </c>
    </row>
    <row r="450" spans="1:9" x14ac:dyDescent="0.25">
      <c r="A450" s="128" t="s">
        <v>833</v>
      </c>
      <c r="B450" t="s">
        <v>834</v>
      </c>
      <c r="C450" t="s">
        <v>706</v>
      </c>
      <c r="D450" t="s">
        <v>835</v>
      </c>
      <c r="E450" t="s">
        <v>834</v>
      </c>
      <c r="G450" t="s">
        <v>832</v>
      </c>
      <c r="H450" t="s">
        <v>722</v>
      </c>
      <c r="I450" t="s">
        <v>717</v>
      </c>
    </row>
    <row r="451" spans="1:9" x14ac:dyDescent="0.25">
      <c r="A451" s="128" t="s">
        <v>836</v>
      </c>
      <c r="B451" t="s">
        <v>837</v>
      </c>
      <c r="C451" t="s">
        <v>706</v>
      </c>
      <c r="D451" t="s">
        <v>838</v>
      </c>
      <c r="E451" t="s">
        <v>837</v>
      </c>
      <c r="G451" t="s">
        <v>832</v>
      </c>
      <c r="H451" t="s">
        <v>713</v>
      </c>
      <c r="I451" t="s">
        <v>463</v>
      </c>
    </row>
    <row r="452" spans="1:9" x14ac:dyDescent="0.25">
      <c r="A452" s="128" t="s">
        <v>839</v>
      </c>
      <c r="B452" t="s">
        <v>840</v>
      </c>
      <c r="C452" t="s">
        <v>706</v>
      </c>
      <c r="D452" t="s">
        <v>841</v>
      </c>
      <c r="E452" t="s">
        <v>840</v>
      </c>
      <c r="G452" t="s">
        <v>832</v>
      </c>
      <c r="H452" t="s">
        <v>842</v>
      </c>
      <c r="I452" t="s">
        <v>463</v>
      </c>
    </row>
    <row r="453" spans="1:9" x14ac:dyDescent="0.25">
      <c r="A453" s="128" t="s">
        <v>843</v>
      </c>
      <c r="B453" t="s">
        <v>844</v>
      </c>
      <c r="C453" t="s">
        <v>706</v>
      </c>
      <c r="D453" t="s">
        <v>845</v>
      </c>
      <c r="E453" t="s">
        <v>844</v>
      </c>
      <c r="G453" t="s">
        <v>832</v>
      </c>
      <c r="H453" t="s">
        <v>842</v>
      </c>
      <c r="I453" t="s">
        <v>463</v>
      </c>
    </row>
    <row r="454" spans="1:9" x14ac:dyDescent="0.25">
      <c r="A454" s="128" t="s">
        <v>846</v>
      </c>
      <c r="B454" t="s">
        <v>847</v>
      </c>
      <c r="C454" t="s">
        <v>706</v>
      </c>
      <c r="D454" t="s">
        <v>848</v>
      </c>
      <c r="E454" t="s">
        <v>847</v>
      </c>
      <c r="G454" t="s">
        <v>291</v>
      </c>
      <c r="H454" t="s">
        <v>849</v>
      </c>
      <c r="I454" t="s">
        <v>463</v>
      </c>
    </row>
    <row r="455" spans="1:9" x14ac:dyDescent="0.25">
      <c r="A455" s="128" t="s">
        <v>434</v>
      </c>
      <c r="B455" t="s">
        <v>850</v>
      </c>
      <c r="C455" t="s">
        <v>706</v>
      </c>
      <c r="D455" t="s">
        <v>851</v>
      </c>
      <c r="E455" t="s">
        <v>850</v>
      </c>
      <c r="G455" t="s">
        <v>113</v>
      </c>
      <c r="H455" t="s">
        <v>852</v>
      </c>
      <c r="I455" t="s">
        <v>717</v>
      </c>
    </row>
    <row r="456" spans="1:9" x14ac:dyDescent="0.25">
      <c r="A456" s="128" t="s">
        <v>391</v>
      </c>
      <c r="B456" t="s">
        <v>853</v>
      </c>
      <c r="C456" t="s">
        <v>706</v>
      </c>
      <c r="D456" t="s">
        <v>854</v>
      </c>
      <c r="E456" t="s">
        <v>853</v>
      </c>
      <c r="G456" t="s">
        <v>113</v>
      </c>
      <c r="H456" t="s">
        <v>855</v>
      </c>
      <c r="I456" t="s">
        <v>717</v>
      </c>
    </row>
    <row r="457" spans="1:9" x14ac:dyDescent="0.25">
      <c r="A457" s="128" t="s">
        <v>856</v>
      </c>
      <c r="B457" t="s">
        <v>857</v>
      </c>
      <c r="C457" t="s">
        <v>706</v>
      </c>
      <c r="D457" t="s">
        <v>858</v>
      </c>
      <c r="E457" t="s">
        <v>857</v>
      </c>
      <c r="G457" t="s">
        <v>859</v>
      </c>
      <c r="H457" t="s">
        <v>119</v>
      </c>
      <c r="I457" t="s">
        <v>717</v>
      </c>
    </row>
    <row r="458" spans="1:9" x14ac:dyDescent="0.25">
      <c r="A458" s="128" t="s">
        <v>860</v>
      </c>
      <c r="B458" t="s">
        <v>2161</v>
      </c>
      <c r="C458" t="s">
        <v>706</v>
      </c>
      <c r="D458" t="s">
        <v>861</v>
      </c>
      <c r="E458" t="s">
        <v>2161</v>
      </c>
      <c r="G458" t="s">
        <v>785</v>
      </c>
      <c r="H458" t="s">
        <v>709</v>
      </c>
      <c r="I458" t="s">
        <v>717</v>
      </c>
    </row>
    <row r="459" spans="1:9" x14ac:dyDescent="0.25">
      <c r="A459" s="128" t="s">
        <v>862</v>
      </c>
      <c r="B459" t="s">
        <v>2162</v>
      </c>
      <c r="C459" t="s">
        <v>706</v>
      </c>
      <c r="D459" t="s">
        <v>863</v>
      </c>
      <c r="E459" t="s">
        <v>2162</v>
      </c>
      <c r="G459" t="s">
        <v>785</v>
      </c>
      <c r="H459" t="s">
        <v>709</v>
      </c>
      <c r="I459" t="s">
        <v>717</v>
      </c>
    </row>
    <row r="460" spans="1:9" x14ac:dyDescent="0.25">
      <c r="A460" s="128" t="s">
        <v>864</v>
      </c>
      <c r="B460" t="s">
        <v>2163</v>
      </c>
      <c r="C460" t="s">
        <v>706</v>
      </c>
      <c r="D460" t="s">
        <v>865</v>
      </c>
      <c r="E460" t="s">
        <v>2163</v>
      </c>
      <c r="G460" t="s">
        <v>785</v>
      </c>
      <c r="H460" t="s">
        <v>722</v>
      </c>
      <c r="I460" t="s">
        <v>717</v>
      </c>
    </row>
    <row r="461" spans="1:9" x14ac:dyDescent="0.25">
      <c r="A461" s="128" t="s">
        <v>866</v>
      </c>
      <c r="B461" t="s">
        <v>2164</v>
      </c>
      <c r="C461" t="s">
        <v>706</v>
      </c>
      <c r="D461" t="s">
        <v>867</v>
      </c>
      <c r="E461" t="s">
        <v>2164</v>
      </c>
      <c r="G461" t="s">
        <v>785</v>
      </c>
      <c r="H461" t="s">
        <v>722</v>
      </c>
      <c r="I461" t="s">
        <v>717</v>
      </c>
    </row>
    <row r="462" spans="1:9" x14ac:dyDescent="0.25">
      <c r="A462" s="128" t="s">
        <v>868</v>
      </c>
      <c r="B462" t="s">
        <v>869</v>
      </c>
      <c r="C462" t="s">
        <v>750</v>
      </c>
      <c r="D462" t="s">
        <v>869</v>
      </c>
      <c r="F462" t="s">
        <v>870</v>
      </c>
      <c r="H462" t="s">
        <v>842</v>
      </c>
      <c r="I462" t="s">
        <v>463</v>
      </c>
    </row>
    <row r="463" spans="1:9" x14ac:dyDescent="0.25">
      <c r="A463" s="128" t="s">
        <v>871</v>
      </c>
      <c r="B463" t="s">
        <v>872</v>
      </c>
      <c r="C463" t="s">
        <v>706</v>
      </c>
      <c r="D463" t="s">
        <v>873</v>
      </c>
      <c r="E463" t="s">
        <v>872</v>
      </c>
      <c r="G463" t="s">
        <v>874</v>
      </c>
      <c r="H463" t="s">
        <v>875</v>
      </c>
      <c r="I463" t="s">
        <v>463</v>
      </c>
    </row>
    <row r="464" spans="1:9" x14ac:dyDescent="0.25">
      <c r="A464" s="128" t="s">
        <v>876</v>
      </c>
      <c r="B464" t="s">
        <v>877</v>
      </c>
      <c r="C464" t="s">
        <v>462</v>
      </c>
      <c r="E464" t="s">
        <v>877</v>
      </c>
      <c r="I464" t="s">
        <v>463</v>
      </c>
    </row>
    <row r="465" spans="1:9" x14ac:dyDescent="0.25">
      <c r="A465" s="128" t="s">
        <v>878</v>
      </c>
      <c r="B465" t="s">
        <v>879</v>
      </c>
      <c r="C465" t="s">
        <v>706</v>
      </c>
      <c r="D465" t="s">
        <v>880</v>
      </c>
      <c r="E465" t="s">
        <v>879</v>
      </c>
      <c r="G465" t="s">
        <v>785</v>
      </c>
      <c r="H465" t="s">
        <v>709</v>
      </c>
      <c r="I465" t="s">
        <v>463</v>
      </c>
    </row>
    <row r="466" spans="1:9" x14ac:dyDescent="0.25">
      <c r="A466" s="128" t="s">
        <v>881</v>
      </c>
      <c r="B466" t="s">
        <v>882</v>
      </c>
      <c r="C466" t="s">
        <v>706</v>
      </c>
      <c r="D466" t="s">
        <v>883</v>
      </c>
      <c r="E466" t="s">
        <v>882</v>
      </c>
      <c r="G466" t="s">
        <v>785</v>
      </c>
      <c r="H466" t="s">
        <v>709</v>
      </c>
      <c r="I466" t="s">
        <v>463</v>
      </c>
    </row>
    <row r="467" spans="1:9" x14ac:dyDescent="0.25">
      <c r="A467" s="128" t="s">
        <v>884</v>
      </c>
      <c r="B467" t="s">
        <v>885</v>
      </c>
      <c r="C467" t="s">
        <v>706</v>
      </c>
      <c r="D467" t="s">
        <v>886</v>
      </c>
      <c r="E467" t="s">
        <v>885</v>
      </c>
      <c r="G467" t="s">
        <v>785</v>
      </c>
      <c r="H467" t="s">
        <v>709</v>
      </c>
      <c r="I467" t="s">
        <v>463</v>
      </c>
    </row>
    <row r="468" spans="1:9" x14ac:dyDescent="0.25">
      <c r="A468" s="128" t="s">
        <v>887</v>
      </c>
      <c r="B468" t="s">
        <v>888</v>
      </c>
      <c r="C468" t="s">
        <v>706</v>
      </c>
      <c r="D468" t="s">
        <v>889</v>
      </c>
      <c r="E468" t="s">
        <v>888</v>
      </c>
      <c r="G468" t="s">
        <v>785</v>
      </c>
      <c r="H468" t="s">
        <v>709</v>
      </c>
      <c r="I468" t="s">
        <v>463</v>
      </c>
    </row>
    <row r="469" spans="1:9" x14ac:dyDescent="0.25">
      <c r="A469" s="128" t="s">
        <v>890</v>
      </c>
      <c r="B469" t="s">
        <v>891</v>
      </c>
      <c r="C469" t="s">
        <v>706</v>
      </c>
      <c r="D469" t="s">
        <v>892</v>
      </c>
      <c r="E469" t="s">
        <v>891</v>
      </c>
      <c r="G469" t="s">
        <v>785</v>
      </c>
      <c r="H469" t="s">
        <v>722</v>
      </c>
      <c r="I469" t="s">
        <v>463</v>
      </c>
    </row>
    <row r="470" spans="1:9" x14ac:dyDescent="0.25">
      <c r="A470" s="128" t="s">
        <v>893</v>
      </c>
      <c r="B470" t="s">
        <v>894</v>
      </c>
      <c r="C470" t="s">
        <v>706</v>
      </c>
      <c r="D470" t="s">
        <v>895</v>
      </c>
      <c r="E470" t="s">
        <v>894</v>
      </c>
      <c r="G470" t="s">
        <v>785</v>
      </c>
      <c r="H470" t="s">
        <v>722</v>
      </c>
      <c r="I470" t="s">
        <v>463</v>
      </c>
    </row>
    <row r="471" spans="1:9" x14ac:dyDescent="0.25">
      <c r="A471" s="128" t="s">
        <v>896</v>
      </c>
      <c r="B471" t="s">
        <v>897</v>
      </c>
      <c r="C471" t="s">
        <v>706</v>
      </c>
      <c r="D471" t="s">
        <v>898</v>
      </c>
      <c r="E471" t="s">
        <v>897</v>
      </c>
      <c r="G471" t="s">
        <v>785</v>
      </c>
      <c r="H471" t="s">
        <v>722</v>
      </c>
      <c r="I471" t="s">
        <v>463</v>
      </c>
    </row>
    <row r="472" spans="1:9" x14ac:dyDescent="0.25">
      <c r="A472" s="128" t="s">
        <v>899</v>
      </c>
      <c r="B472" t="s">
        <v>900</v>
      </c>
      <c r="C472" t="s">
        <v>750</v>
      </c>
      <c r="D472" t="s">
        <v>900</v>
      </c>
      <c r="G472" t="s">
        <v>785</v>
      </c>
      <c r="H472" t="s">
        <v>722</v>
      </c>
      <c r="I472" t="s">
        <v>463</v>
      </c>
    </row>
    <row r="473" spans="1:9" x14ac:dyDescent="0.25">
      <c r="A473" s="128" t="s">
        <v>901</v>
      </c>
      <c r="B473" t="s">
        <v>902</v>
      </c>
      <c r="C473" t="s">
        <v>706</v>
      </c>
      <c r="D473" t="s">
        <v>903</v>
      </c>
      <c r="E473" t="s">
        <v>902</v>
      </c>
      <c r="G473" t="s">
        <v>904</v>
      </c>
      <c r="H473" t="s">
        <v>709</v>
      </c>
      <c r="I473" t="s">
        <v>717</v>
      </c>
    </row>
    <row r="474" spans="1:9" x14ac:dyDescent="0.25">
      <c r="A474" s="128" t="s">
        <v>905</v>
      </c>
      <c r="B474" t="s">
        <v>906</v>
      </c>
      <c r="C474" t="s">
        <v>706</v>
      </c>
      <c r="D474" t="s">
        <v>907</v>
      </c>
      <c r="E474" t="s">
        <v>906</v>
      </c>
      <c r="G474" t="s">
        <v>61</v>
      </c>
      <c r="H474" t="s">
        <v>709</v>
      </c>
      <c r="I474" t="s">
        <v>463</v>
      </c>
    </row>
    <row r="475" spans="1:9" x14ac:dyDescent="0.25">
      <c r="A475" s="128" t="s">
        <v>908</v>
      </c>
      <c r="B475" t="s">
        <v>909</v>
      </c>
      <c r="C475" t="s">
        <v>706</v>
      </c>
      <c r="D475" t="s">
        <v>910</v>
      </c>
      <c r="E475" t="s">
        <v>909</v>
      </c>
      <c r="G475" t="s">
        <v>61</v>
      </c>
      <c r="H475" t="s">
        <v>709</v>
      </c>
      <c r="I475" t="s">
        <v>717</v>
      </c>
    </row>
    <row r="476" spans="1:9" x14ac:dyDescent="0.25">
      <c r="A476" s="128" t="s">
        <v>911</v>
      </c>
      <c r="B476" t="s">
        <v>912</v>
      </c>
      <c r="C476" t="s">
        <v>706</v>
      </c>
      <c r="D476" t="s">
        <v>913</v>
      </c>
      <c r="E476" t="s">
        <v>912</v>
      </c>
      <c r="G476" t="s">
        <v>61</v>
      </c>
      <c r="H476" t="s">
        <v>709</v>
      </c>
      <c r="I476" t="s">
        <v>463</v>
      </c>
    </row>
    <row r="477" spans="1:9" x14ac:dyDescent="0.25">
      <c r="A477" s="128" t="s">
        <v>914</v>
      </c>
      <c r="B477" t="s">
        <v>2125</v>
      </c>
      <c r="C477" t="s">
        <v>706</v>
      </c>
      <c r="D477" t="s">
        <v>915</v>
      </c>
      <c r="E477" t="s">
        <v>2125</v>
      </c>
      <c r="G477" t="s">
        <v>61</v>
      </c>
      <c r="H477" t="s">
        <v>709</v>
      </c>
      <c r="I477" t="s">
        <v>717</v>
      </c>
    </row>
    <row r="478" spans="1:9" x14ac:dyDescent="0.25">
      <c r="A478" s="128" t="s">
        <v>916</v>
      </c>
      <c r="B478" t="s">
        <v>917</v>
      </c>
      <c r="C478" t="s">
        <v>750</v>
      </c>
      <c r="D478" t="s">
        <v>917</v>
      </c>
      <c r="G478" t="s">
        <v>61</v>
      </c>
      <c r="H478" t="s">
        <v>918</v>
      </c>
      <c r="I478" t="s">
        <v>463</v>
      </c>
    </row>
    <row r="479" spans="1:9" x14ac:dyDescent="0.25">
      <c r="A479" s="128" t="s">
        <v>919</v>
      </c>
      <c r="B479" t="s">
        <v>920</v>
      </c>
      <c r="C479" t="s">
        <v>706</v>
      </c>
      <c r="D479" t="s">
        <v>921</v>
      </c>
      <c r="E479" t="s">
        <v>920</v>
      </c>
      <c r="G479" t="s">
        <v>61</v>
      </c>
      <c r="H479" t="s">
        <v>722</v>
      </c>
      <c r="I479" t="s">
        <v>463</v>
      </c>
    </row>
    <row r="480" spans="1:9" x14ac:dyDescent="0.25">
      <c r="A480" s="128" t="s">
        <v>922</v>
      </c>
      <c r="B480" t="s">
        <v>923</v>
      </c>
      <c r="C480" t="s">
        <v>706</v>
      </c>
      <c r="D480" t="s">
        <v>924</v>
      </c>
      <c r="E480" t="s">
        <v>923</v>
      </c>
      <c r="G480" t="s">
        <v>61</v>
      </c>
      <c r="H480" t="s">
        <v>722</v>
      </c>
      <c r="I480" t="s">
        <v>717</v>
      </c>
    </row>
    <row r="481" spans="1:9" x14ac:dyDescent="0.25">
      <c r="A481" s="128" t="s">
        <v>925</v>
      </c>
      <c r="B481" t="s">
        <v>926</v>
      </c>
      <c r="C481" t="s">
        <v>706</v>
      </c>
      <c r="D481" t="s">
        <v>927</v>
      </c>
      <c r="E481" t="s">
        <v>926</v>
      </c>
      <c r="G481" t="s">
        <v>61</v>
      </c>
      <c r="H481" t="s">
        <v>722</v>
      </c>
      <c r="I481" t="s">
        <v>717</v>
      </c>
    </row>
    <row r="482" spans="1:9" x14ac:dyDescent="0.25">
      <c r="A482" s="128" t="s">
        <v>928</v>
      </c>
      <c r="B482" t="s">
        <v>2245</v>
      </c>
      <c r="C482" t="s">
        <v>706</v>
      </c>
      <c r="D482" t="s">
        <v>929</v>
      </c>
      <c r="E482" t="s">
        <v>2245</v>
      </c>
      <c r="G482" t="s">
        <v>61</v>
      </c>
      <c r="H482" t="s">
        <v>722</v>
      </c>
      <c r="I482" t="s">
        <v>717</v>
      </c>
    </row>
    <row r="483" spans="1:9" x14ac:dyDescent="0.25">
      <c r="A483" s="128" t="s">
        <v>930</v>
      </c>
      <c r="B483" t="s">
        <v>931</v>
      </c>
      <c r="C483" t="s">
        <v>706</v>
      </c>
      <c r="D483" t="s">
        <v>932</v>
      </c>
      <c r="E483" t="s">
        <v>931</v>
      </c>
      <c r="G483" t="s">
        <v>61</v>
      </c>
      <c r="H483" t="s">
        <v>709</v>
      </c>
      <c r="I483" t="s">
        <v>717</v>
      </c>
    </row>
    <row r="484" spans="1:9" x14ac:dyDescent="0.25">
      <c r="A484" s="128" t="s">
        <v>933</v>
      </c>
      <c r="B484" t="s">
        <v>934</v>
      </c>
      <c r="C484" t="s">
        <v>706</v>
      </c>
      <c r="D484" t="s">
        <v>935</v>
      </c>
      <c r="E484" t="s">
        <v>934</v>
      </c>
      <c r="G484" t="s">
        <v>61</v>
      </c>
      <c r="H484" t="s">
        <v>709</v>
      </c>
      <c r="I484" t="s">
        <v>717</v>
      </c>
    </row>
    <row r="485" spans="1:9" x14ac:dyDescent="0.25">
      <c r="A485" s="128" t="s">
        <v>936</v>
      </c>
      <c r="B485" t="s">
        <v>937</v>
      </c>
      <c r="C485" t="s">
        <v>706</v>
      </c>
      <c r="D485" t="s">
        <v>938</v>
      </c>
      <c r="E485" t="s">
        <v>937</v>
      </c>
      <c r="G485" t="s">
        <v>61</v>
      </c>
      <c r="H485" t="s">
        <v>709</v>
      </c>
      <c r="I485" t="s">
        <v>717</v>
      </c>
    </row>
    <row r="486" spans="1:9" x14ac:dyDescent="0.25">
      <c r="A486" s="128" t="s">
        <v>939</v>
      </c>
      <c r="B486" t="s">
        <v>940</v>
      </c>
      <c r="C486" t="s">
        <v>706</v>
      </c>
      <c r="D486" t="s">
        <v>927</v>
      </c>
      <c r="E486" t="s">
        <v>940</v>
      </c>
      <c r="G486" t="s">
        <v>61</v>
      </c>
      <c r="H486" t="s">
        <v>713</v>
      </c>
      <c r="I486" t="s">
        <v>717</v>
      </c>
    </row>
    <row r="487" spans="1:9" x14ac:dyDescent="0.25">
      <c r="A487" s="128" t="s">
        <v>941</v>
      </c>
      <c r="B487" t="s">
        <v>942</v>
      </c>
      <c r="C487" t="s">
        <v>706</v>
      </c>
      <c r="D487" t="s">
        <v>903</v>
      </c>
      <c r="E487" t="s">
        <v>942</v>
      </c>
      <c r="G487" t="s">
        <v>61</v>
      </c>
      <c r="H487" t="s">
        <v>713</v>
      </c>
      <c r="I487" t="s">
        <v>717</v>
      </c>
    </row>
    <row r="488" spans="1:9" x14ac:dyDescent="0.25">
      <c r="A488" s="128" t="s">
        <v>943</v>
      </c>
      <c r="B488" t="s">
        <v>2246</v>
      </c>
      <c r="C488" t="s">
        <v>706</v>
      </c>
      <c r="D488" t="s">
        <v>944</v>
      </c>
      <c r="E488" t="s">
        <v>2246</v>
      </c>
      <c r="G488" t="s">
        <v>61</v>
      </c>
      <c r="H488" t="s">
        <v>713</v>
      </c>
      <c r="I488" t="s">
        <v>717</v>
      </c>
    </row>
    <row r="489" spans="1:9" x14ac:dyDescent="0.25">
      <c r="A489" s="128" t="s">
        <v>945</v>
      </c>
      <c r="B489" t="s">
        <v>2126</v>
      </c>
      <c r="C489" t="s">
        <v>706</v>
      </c>
      <c r="D489" t="s">
        <v>946</v>
      </c>
      <c r="E489" t="s">
        <v>2126</v>
      </c>
      <c r="G489" t="s">
        <v>61</v>
      </c>
      <c r="H489" t="s">
        <v>713</v>
      </c>
      <c r="I489" t="s">
        <v>717</v>
      </c>
    </row>
    <row r="490" spans="1:9" x14ac:dyDescent="0.25">
      <c r="A490" s="128" t="s">
        <v>947</v>
      </c>
      <c r="B490" t="s">
        <v>948</v>
      </c>
      <c r="C490" t="s">
        <v>706</v>
      </c>
      <c r="D490" t="s">
        <v>949</v>
      </c>
      <c r="E490" t="s">
        <v>948</v>
      </c>
      <c r="G490" t="s">
        <v>61</v>
      </c>
      <c r="H490" t="s">
        <v>713</v>
      </c>
      <c r="I490" t="s">
        <v>717</v>
      </c>
    </row>
    <row r="491" spans="1:9" x14ac:dyDescent="0.25">
      <c r="A491" s="128" t="s">
        <v>950</v>
      </c>
      <c r="B491" t="s">
        <v>951</v>
      </c>
      <c r="C491" t="s">
        <v>706</v>
      </c>
      <c r="D491" t="s">
        <v>952</v>
      </c>
      <c r="E491" t="s">
        <v>951</v>
      </c>
      <c r="G491" t="s">
        <v>61</v>
      </c>
      <c r="H491" t="s">
        <v>713</v>
      </c>
      <c r="I491" t="s">
        <v>463</v>
      </c>
    </row>
    <row r="492" spans="1:9" x14ac:dyDescent="0.25">
      <c r="A492" s="128" t="s">
        <v>953</v>
      </c>
      <c r="B492" t="s">
        <v>954</v>
      </c>
      <c r="C492" t="s">
        <v>706</v>
      </c>
      <c r="D492" t="s">
        <v>955</v>
      </c>
      <c r="E492" t="s">
        <v>954</v>
      </c>
      <c r="G492" t="s">
        <v>61</v>
      </c>
      <c r="H492" t="s">
        <v>956</v>
      </c>
      <c r="I492" t="s">
        <v>463</v>
      </c>
    </row>
    <row r="493" spans="1:9" x14ac:dyDescent="0.25">
      <c r="A493" s="128" t="s">
        <v>957</v>
      </c>
      <c r="B493" t="s">
        <v>2247</v>
      </c>
      <c r="C493" t="s">
        <v>706</v>
      </c>
      <c r="D493" t="s">
        <v>958</v>
      </c>
      <c r="E493" t="s">
        <v>2247</v>
      </c>
      <c r="G493" t="s">
        <v>61</v>
      </c>
      <c r="H493" t="s">
        <v>956</v>
      </c>
      <c r="I493" t="s">
        <v>717</v>
      </c>
    </row>
    <row r="494" spans="1:9" x14ac:dyDescent="0.25">
      <c r="A494" s="128" t="s">
        <v>959</v>
      </c>
      <c r="B494" t="s">
        <v>960</v>
      </c>
      <c r="C494" t="s">
        <v>706</v>
      </c>
      <c r="D494" t="s">
        <v>961</v>
      </c>
      <c r="E494" t="s">
        <v>960</v>
      </c>
      <c r="G494" t="s">
        <v>61</v>
      </c>
      <c r="H494" t="s">
        <v>956</v>
      </c>
      <c r="I494" t="s">
        <v>717</v>
      </c>
    </row>
    <row r="495" spans="1:9" x14ac:dyDescent="0.25">
      <c r="A495" s="128" t="s">
        <v>962</v>
      </c>
      <c r="B495" t="s">
        <v>963</v>
      </c>
      <c r="C495" t="s">
        <v>706</v>
      </c>
      <c r="D495" t="s">
        <v>964</v>
      </c>
      <c r="E495" t="s">
        <v>963</v>
      </c>
      <c r="G495" t="s">
        <v>61</v>
      </c>
      <c r="H495" t="s">
        <v>956</v>
      </c>
      <c r="I495" t="s">
        <v>463</v>
      </c>
    </row>
    <row r="496" spans="1:9" x14ac:dyDescent="0.25">
      <c r="A496" s="128" t="s">
        <v>965</v>
      </c>
      <c r="B496" t="s">
        <v>966</v>
      </c>
      <c r="C496" t="s">
        <v>706</v>
      </c>
      <c r="D496" t="s">
        <v>967</v>
      </c>
      <c r="E496" t="s">
        <v>966</v>
      </c>
      <c r="G496" t="s">
        <v>61</v>
      </c>
      <c r="H496" t="s">
        <v>956</v>
      </c>
      <c r="I496" t="s">
        <v>717</v>
      </c>
    </row>
    <row r="497" spans="1:9" x14ac:dyDescent="0.25">
      <c r="A497" s="128" t="s">
        <v>968</v>
      </c>
      <c r="B497" t="s">
        <v>2248</v>
      </c>
      <c r="C497" t="s">
        <v>706</v>
      </c>
      <c r="D497" t="s">
        <v>969</v>
      </c>
      <c r="E497" t="s">
        <v>2248</v>
      </c>
      <c r="G497" t="s">
        <v>61</v>
      </c>
      <c r="H497" t="s">
        <v>956</v>
      </c>
      <c r="I497" t="s">
        <v>717</v>
      </c>
    </row>
    <row r="498" spans="1:9" x14ac:dyDescent="0.25">
      <c r="A498" s="128" t="s">
        <v>970</v>
      </c>
      <c r="B498" t="s">
        <v>971</v>
      </c>
      <c r="C498" t="s">
        <v>706</v>
      </c>
      <c r="D498" t="s">
        <v>972</v>
      </c>
      <c r="E498" t="s">
        <v>971</v>
      </c>
      <c r="G498" t="s">
        <v>973</v>
      </c>
      <c r="H498" t="s">
        <v>974</v>
      </c>
      <c r="I498" t="s">
        <v>463</v>
      </c>
    </row>
    <row r="499" spans="1:9" x14ac:dyDescent="0.25">
      <c r="A499" s="128" t="s">
        <v>975</v>
      </c>
      <c r="B499" t="s">
        <v>2249</v>
      </c>
      <c r="C499" t="s">
        <v>706</v>
      </c>
      <c r="D499" t="s">
        <v>976</v>
      </c>
      <c r="E499" t="s">
        <v>2249</v>
      </c>
      <c r="G499" t="s">
        <v>973</v>
      </c>
      <c r="H499" t="s">
        <v>974</v>
      </c>
      <c r="I499" t="s">
        <v>717</v>
      </c>
    </row>
    <row r="500" spans="1:9" x14ac:dyDescent="0.25">
      <c r="A500" s="128" t="s">
        <v>977</v>
      </c>
      <c r="B500" t="s">
        <v>2127</v>
      </c>
      <c r="C500" t="s">
        <v>706</v>
      </c>
      <c r="D500" t="s">
        <v>978</v>
      </c>
      <c r="E500" t="s">
        <v>2127</v>
      </c>
      <c r="G500" t="s">
        <v>61</v>
      </c>
      <c r="H500" t="s">
        <v>974</v>
      </c>
      <c r="I500" t="s">
        <v>717</v>
      </c>
    </row>
    <row r="501" spans="1:9" x14ac:dyDescent="0.25">
      <c r="A501" s="128" t="s">
        <v>979</v>
      </c>
      <c r="B501" t="s">
        <v>2250</v>
      </c>
      <c r="C501" t="s">
        <v>706</v>
      </c>
      <c r="D501" t="s">
        <v>980</v>
      </c>
      <c r="E501" t="s">
        <v>2250</v>
      </c>
      <c r="G501" t="s">
        <v>973</v>
      </c>
      <c r="H501" t="s">
        <v>974</v>
      </c>
      <c r="I501" t="s">
        <v>717</v>
      </c>
    </row>
    <row r="502" spans="1:9" x14ac:dyDescent="0.25">
      <c r="A502" s="128" t="s">
        <v>981</v>
      </c>
      <c r="B502" t="s">
        <v>2251</v>
      </c>
      <c r="C502" t="s">
        <v>706</v>
      </c>
      <c r="D502" t="s">
        <v>982</v>
      </c>
      <c r="E502" t="s">
        <v>2251</v>
      </c>
      <c r="G502" t="s">
        <v>973</v>
      </c>
      <c r="H502" t="s">
        <v>974</v>
      </c>
      <c r="I502" t="s">
        <v>717</v>
      </c>
    </row>
    <row r="503" spans="1:9" x14ac:dyDescent="0.25">
      <c r="A503" s="128" t="s">
        <v>983</v>
      </c>
      <c r="B503" t="s">
        <v>2252</v>
      </c>
      <c r="C503" t="s">
        <v>706</v>
      </c>
      <c r="D503" t="s">
        <v>984</v>
      </c>
      <c r="E503" t="s">
        <v>2252</v>
      </c>
      <c r="G503" t="s">
        <v>973</v>
      </c>
      <c r="H503" t="s">
        <v>974</v>
      </c>
      <c r="I503" t="s">
        <v>717</v>
      </c>
    </row>
    <row r="504" spans="1:9" x14ac:dyDescent="0.25">
      <c r="A504" s="128" t="s">
        <v>985</v>
      </c>
      <c r="B504" t="s">
        <v>2253</v>
      </c>
      <c r="C504" t="s">
        <v>706</v>
      </c>
      <c r="D504" t="s">
        <v>986</v>
      </c>
      <c r="E504" t="s">
        <v>2253</v>
      </c>
      <c r="G504" t="s">
        <v>973</v>
      </c>
      <c r="H504" t="s">
        <v>974</v>
      </c>
      <c r="I504" t="s">
        <v>717</v>
      </c>
    </row>
    <row r="505" spans="1:9" x14ac:dyDescent="0.25">
      <c r="A505" s="128" t="s">
        <v>431</v>
      </c>
      <c r="B505" t="s">
        <v>2254</v>
      </c>
      <c r="C505" t="s">
        <v>706</v>
      </c>
      <c r="D505" t="s">
        <v>987</v>
      </c>
      <c r="E505" t="s">
        <v>2254</v>
      </c>
      <c r="G505" t="s">
        <v>17</v>
      </c>
      <c r="H505" t="s">
        <v>988</v>
      </c>
      <c r="I505" t="s">
        <v>717</v>
      </c>
    </row>
    <row r="506" spans="1:9" x14ac:dyDescent="0.25">
      <c r="A506" s="128" t="s">
        <v>417</v>
      </c>
      <c r="B506" t="s">
        <v>989</v>
      </c>
      <c r="C506" t="s">
        <v>706</v>
      </c>
      <c r="D506" t="s">
        <v>990</v>
      </c>
      <c r="E506" t="s">
        <v>989</v>
      </c>
      <c r="G506" t="s">
        <v>6</v>
      </c>
      <c r="H506" t="s">
        <v>766</v>
      </c>
      <c r="I506" t="s">
        <v>717</v>
      </c>
    </row>
    <row r="507" spans="1:9" x14ac:dyDescent="0.25">
      <c r="A507" s="128" t="s">
        <v>376</v>
      </c>
      <c r="B507" t="s">
        <v>991</v>
      </c>
      <c r="C507" t="s">
        <v>750</v>
      </c>
      <c r="D507" t="s">
        <v>991</v>
      </c>
      <c r="G507" t="s">
        <v>6</v>
      </c>
      <c r="H507" t="s">
        <v>766</v>
      </c>
      <c r="I507" t="s">
        <v>463</v>
      </c>
    </row>
    <row r="508" spans="1:9" x14ac:dyDescent="0.25">
      <c r="A508" s="128" t="s">
        <v>394</v>
      </c>
      <c r="B508" t="s">
        <v>992</v>
      </c>
      <c r="C508" t="s">
        <v>706</v>
      </c>
      <c r="D508" t="s">
        <v>992</v>
      </c>
      <c r="E508" t="s">
        <v>2165</v>
      </c>
      <c r="G508" t="s">
        <v>282</v>
      </c>
      <c r="H508" t="s">
        <v>993</v>
      </c>
      <c r="I508" t="s">
        <v>717</v>
      </c>
    </row>
    <row r="509" spans="1:9" x14ac:dyDescent="0.25">
      <c r="A509" s="128" t="s">
        <v>994</v>
      </c>
      <c r="B509" t="s">
        <v>995</v>
      </c>
      <c r="C509" t="s">
        <v>706</v>
      </c>
      <c r="D509" t="s">
        <v>996</v>
      </c>
      <c r="E509" t="s">
        <v>995</v>
      </c>
      <c r="G509" t="s">
        <v>997</v>
      </c>
      <c r="H509" t="s">
        <v>998</v>
      </c>
      <c r="I509" t="s">
        <v>717</v>
      </c>
    </row>
    <row r="510" spans="1:9" x14ac:dyDescent="0.25">
      <c r="A510" s="128" t="s">
        <v>999</v>
      </c>
      <c r="B510" t="s">
        <v>1000</v>
      </c>
      <c r="C510" t="s">
        <v>706</v>
      </c>
      <c r="D510" t="s">
        <v>1001</v>
      </c>
      <c r="E510" t="s">
        <v>1000</v>
      </c>
      <c r="G510" t="s">
        <v>997</v>
      </c>
      <c r="H510" t="s">
        <v>998</v>
      </c>
      <c r="I510" t="s">
        <v>717</v>
      </c>
    </row>
    <row r="511" spans="1:9" x14ac:dyDescent="0.25">
      <c r="A511" s="128" t="s">
        <v>1002</v>
      </c>
      <c r="B511" t="s">
        <v>2255</v>
      </c>
      <c r="C511" t="s">
        <v>706</v>
      </c>
      <c r="D511" t="s">
        <v>1003</v>
      </c>
      <c r="E511" t="s">
        <v>2255</v>
      </c>
      <c r="H511" t="s">
        <v>722</v>
      </c>
      <c r="I511" t="s">
        <v>717</v>
      </c>
    </row>
    <row r="512" spans="1:9" x14ac:dyDescent="0.25">
      <c r="A512" s="128" t="s">
        <v>1004</v>
      </c>
      <c r="B512" t="s">
        <v>2256</v>
      </c>
      <c r="C512" t="s">
        <v>462</v>
      </c>
      <c r="E512" t="s">
        <v>2256</v>
      </c>
      <c r="I512" t="s">
        <v>463</v>
      </c>
    </row>
    <row r="513" spans="1:9" x14ac:dyDescent="0.25">
      <c r="A513" s="128" t="s">
        <v>1005</v>
      </c>
      <c r="B513" t="s">
        <v>1006</v>
      </c>
      <c r="C513" t="s">
        <v>706</v>
      </c>
      <c r="D513" t="s">
        <v>1007</v>
      </c>
      <c r="E513" t="s">
        <v>1006</v>
      </c>
      <c r="G513" t="s">
        <v>113</v>
      </c>
      <c r="H513" t="s">
        <v>1008</v>
      </c>
      <c r="I513" t="s">
        <v>463</v>
      </c>
    </row>
    <row r="514" spans="1:9" x14ac:dyDescent="0.25">
      <c r="A514" s="128" t="s">
        <v>1009</v>
      </c>
      <c r="B514" t="s">
        <v>1010</v>
      </c>
      <c r="C514" t="s">
        <v>706</v>
      </c>
      <c r="D514" t="s">
        <v>1011</v>
      </c>
      <c r="E514" t="s">
        <v>1010</v>
      </c>
      <c r="G514" t="s">
        <v>113</v>
      </c>
      <c r="H514" t="s">
        <v>1012</v>
      </c>
      <c r="I514" t="s">
        <v>463</v>
      </c>
    </row>
    <row r="515" spans="1:9" x14ac:dyDescent="0.25">
      <c r="A515" s="128" t="s">
        <v>438</v>
      </c>
      <c r="B515" t="s">
        <v>2166</v>
      </c>
      <c r="C515" t="s">
        <v>706</v>
      </c>
      <c r="D515" t="s">
        <v>1013</v>
      </c>
      <c r="E515" t="s">
        <v>2166</v>
      </c>
      <c r="G515" t="s">
        <v>282</v>
      </c>
      <c r="H515" t="s">
        <v>1014</v>
      </c>
      <c r="I515" t="s">
        <v>717</v>
      </c>
    </row>
    <row r="516" spans="1:9" x14ac:dyDescent="0.25">
      <c r="A516" s="128" t="s">
        <v>1015</v>
      </c>
      <c r="B516" t="s">
        <v>1016</v>
      </c>
      <c r="C516" t="s">
        <v>706</v>
      </c>
      <c r="D516" t="s">
        <v>1017</v>
      </c>
      <c r="E516" t="s">
        <v>1016</v>
      </c>
      <c r="G516" t="s">
        <v>1018</v>
      </c>
      <c r="H516" t="s">
        <v>119</v>
      </c>
      <c r="I516" t="s">
        <v>463</v>
      </c>
    </row>
    <row r="517" spans="1:9" x14ac:dyDescent="0.25">
      <c r="A517" s="128" t="s">
        <v>1019</v>
      </c>
      <c r="B517" t="s">
        <v>1020</v>
      </c>
      <c r="C517" t="s">
        <v>706</v>
      </c>
      <c r="D517" t="s">
        <v>1021</v>
      </c>
      <c r="E517" t="s">
        <v>1020</v>
      </c>
      <c r="F517" t="s">
        <v>1022</v>
      </c>
      <c r="G517" t="s">
        <v>1023</v>
      </c>
      <c r="H517" t="s">
        <v>709</v>
      </c>
      <c r="I517" t="s">
        <v>463</v>
      </c>
    </row>
    <row r="518" spans="1:9" x14ac:dyDescent="0.25">
      <c r="A518" s="128" t="s">
        <v>1024</v>
      </c>
      <c r="B518" t="s">
        <v>2128</v>
      </c>
      <c r="C518" t="s">
        <v>706</v>
      </c>
      <c r="D518" t="s">
        <v>1025</v>
      </c>
      <c r="E518" t="s">
        <v>2128</v>
      </c>
      <c r="F518" t="s">
        <v>1026</v>
      </c>
      <c r="G518" t="s">
        <v>859</v>
      </c>
      <c r="H518" t="s">
        <v>709</v>
      </c>
      <c r="I518" t="s">
        <v>717</v>
      </c>
    </row>
    <row r="519" spans="1:9" x14ac:dyDescent="0.25">
      <c r="A519" s="128" t="s">
        <v>1027</v>
      </c>
      <c r="B519" t="s">
        <v>2167</v>
      </c>
      <c r="C519" t="s">
        <v>706</v>
      </c>
      <c r="D519" t="s">
        <v>1028</v>
      </c>
      <c r="E519" t="s">
        <v>2167</v>
      </c>
      <c r="F519" t="s">
        <v>1029</v>
      </c>
      <c r="G519" t="s">
        <v>785</v>
      </c>
      <c r="H519" t="s">
        <v>729</v>
      </c>
      <c r="I519" t="s">
        <v>717</v>
      </c>
    </row>
    <row r="520" spans="1:9" x14ac:dyDescent="0.25">
      <c r="A520" s="128" t="s">
        <v>1030</v>
      </c>
      <c r="B520" t="s">
        <v>1031</v>
      </c>
      <c r="C520" t="s">
        <v>706</v>
      </c>
      <c r="D520" t="s">
        <v>1032</v>
      </c>
      <c r="E520" t="s">
        <v>1031</v>
      </c>
      <c r="F520" t="s">
        <v>1033</v>
      </c>
      <c r="G520" t="s">
        <v>785</v>
      </c>
      <c r="H520" t="s">
        <v>729</v>
      </c>
      <c r="I520" t="s">
        <v>717</v>
      </c>
    </row>
    <row r="521" spans="1:9" x14ac:dyDescent="0.25">
      <c r="A521" s="128" t="s">
        <v>1034</v>
      </c>
      <c r="B521" t="s">
        <v>2168</v>
      </c>
      <c r="C521" t="s">
        <v>706</v>
      </c>
      <c r="D521" t="s">
        <v>1035</v>
      </c>
      <c r="E521" t="s">
        <v>2168</v>
      </c>
      <c r="F521" t="s">
        <v>1036</v>
      </c>
      <c r="G521" t="s">
        <v>785</v>
      </c>
      <c r="H521" t="s">
        <v>709</v>
      </c>
      <c r="I521" t="s">
        <v>717</v>
      </c>
    </row>
    <row r="522" spans="1:9" x14ac:dyDescent="0.25">
      <c r="A522" s="128" t="s">
        <v>1037</v>
      </c>
      <c r="B522" t="s">
        <v>1038</v>
      </c>
      <c r="C522" t="s">
        <v>706</v>
      </c>
      <c r="D522" t="s">
        <v>1039</v>
      </c>
      <c r="E522" t="s">
        <v>1038</v>
      </c>
      <c r="G522" t="s">
        <v>785</v>
      </c>
      <c r="H522" t="s">
        <v>709</v>
      </c>
      <c r="I522" t="s">
        <v>717</v>
      </c>
    </row>
    <row r="523" spans="1:9" x14ac:dyDescent="0.25">
      <c r="A523" s="128" t="s">
        <v>1040</v>
      </c>
      <c r="B523" t="s">
        <v>1041</v>
      </c>
      <c r="C523" t="s">
        <v>706</v>
      </c>
      <c r="D523" t="s">
        <v>1041</v>
      </c>
      <c r="E523" t="s">
        <v>1042</v>
      </c>
      <c r="G523" t="s">
        <v>785</v>
      </c>
      <c r="H523" t="s">
        <v>709</v>
      </c>
      <c r="I523" t="s">
        <v>717</v>
      </c>
    </row>
    <row r="524" spans="1:9" x14ac:dyDescent="0.25">
      <c r="A524" s="128" t="s">
        <v>1043</v>
      </c>
      <c r="B524" t="s">
        <v>1044</v>
      </c>
      <c r="C524" t="s">
        <v>706</v>
      </c>
      <c r="D524" t="s">
        <v>1045</v>
      </c>
      <c r="E524" t="s">
        <v>1044</v>
      </c>
      <c r="G524" t="s">
        <v>1046</v>
      </c>
      <c r="H524" t="s">
        <v>709</v>
      </c>
      <c r="I524" t="s">
        <v>463</v>
      </c>
    </row>
    <row r="525" spans="1:9" x14ac:dyDescent="0.25">
      <c r="A525" s="128" t="s">
        <v>1047</v>
      </c>
      <c r="B525" t="s">
        <v>2090</v>
      </c>
      <c r="C525" t="s">
        <v>706</v>
      </c>
      <c r="D525" t="s">
        <v>1048</v>
      </c>
      <c r="E525" t="s">
        <v>2090</v>
      </c>
      <c r="G525" t="s">
        <v>785</v>
      </c>
      <c r="H525" t="s">
        <v>709</v>
      </c>
      <c r="I525" t="s">
        <v>717</v>
      </c>
    </row>
    <row r="526" spans="1:9" x14ac:dyDescent="0.25">
      <c r="A526" s="128" t="s">
        <v>1049</v>
      </c>
      <c r="B526" t="s">
        <v>1050</v>
      </c>
      <c r="C526" t="s">
        <v>706</v>
      </c>
      <c r="D526" t="s">
        <v>1051</v>
      </c>
      <c r="E526" t="s">
        <v>1050</v>
      </c>
      <c r="F526" t="s">
        <v>1052</v>
      </c>
      <c r="G526" t="s">
        <v>785</v>
      </c>
      <c r="H526" t="s">
        <v>709</v>
      </c>
      <c r="I526" t="s">
        <v>463</v>
      </c>
    </row>
    <row r="527" spans="1:9" x14ac:dyDescent="0.25">
      <c r="A527" s="128" t="s">
        <v>1053</v>
      </c>
      <c r="B527" t="s">
        <v>1054</v>
      </c>
      <c r="C527" t="s">
        <v>706</v>
      </c>
      <c r="D527" t="s">
        <v>1055</v>
      </c>
      <c r="E527" t="s">
        <v>1054</v>
      </c>
      <c r="F527" t="s">
        <v>1056</v>
      </c>
      <c r="G527" t="s">
        <v>785</v>
      </c>
      <c r="H527" t="s">
        <v>709</v>
      </c>
      <c r="I527" t="s">
        <v>463</v>
      </c>
    </row>
    <row r="528" spans="1:9" x14ac:dyDescent="0.25">
      <c r="A528" s="128" t="s">
        <v>1057</v>
      </c>
      <c r="B528" t="s">
        <v>1058</v>
      </c>
      <c r="C528" t="s">
        <v>706</v>
      </c>
      <c r="D528" t="s">
        <v>1059</v>
      </c>
      <c r="E528" t="s">
        <v>1058</v>
      </c>
      <c r="G528" t="s">
        <v>1060</v>
      </c>
      <c r="H528" t="s">
        <v>709</v>
      </c>
      <c r="I528" t="s">
        <v>717</v>
      </c>
    </row>
    <row r="529" spans="1:9" x14ac:dyDescent="0.25">
      <c r="A529" s="128" t="s">
        <v>1061</v>
      </c>
      <c r="B529" t="s">
        <v>1062</v>
      </c>
      <c r="C529" t="s">
        <v>706</v>
      </c>
      <c r="D529" t="s">
        <v>1063</v>
      </c>
      <c r="E529" t="s">
        <v>1062</v>
      </c>
      <c r="F529" t="s">
        <v>1064</v>
      </c>
      <c r="G529" t="s">
        <v>1023</v>
      </c>
      <c r="H529" t="s">
        <v>709</v>
      </c>
      <c r="I529" t="s">
        <v>463</v>
      </c>
    </row>
    <row r="530" spans="1:9" x14ac:dyDescent="0.25">
      <c r="A530" s="128" t="s">
        <v>1065</v>
      </c>
      <c r="B530" t="s">
        <v>1066</v>
      </c>
      <c r="C530" t="s">
        <v>750</v>
      </c>
      <c r="D530" t="s">
        <v>1066</v>
      </c>
      <c r="F530" t="s">
        <v>1067</v>
      </c>
      <c r="G530" t="s">
        <v>785</v>
      </c>
      <c r="H530" t="s">
        <v>729</v>
      </c>
      <c r="I530" t="s">
        <v>463</v>
      </c>
    </row>
    <row r="531" spans="1:9" x14ac:dyDescent="0.25">
      <c r="A531" s="128" t="s">
        <v>1068</v>
      </c>
      <c r="B531" t="s">
        <v>1069</v>
      </c>
      <c r="C531" t="s">
        <v>706</v>
      </c>
      <c r="D531" t="s">
        <v>1070</v>
      </c>
      <c r="E531" t="s">
        <v>1069</v>
      </c>
      <c r="H531" t="s">
        <v>722</v>
      </c>
      <c r="I531" t="s">
        <v>463</v>
      </c>
    </row>
    <row r="532" spans="1:9" x14ac:dyDescent="0.25">
      <c r="A532" s="128" t="s">
        <v>1071</v>
      </c>
      <c r="B532" t="s">
        <v>1072</v>
      </c>
      <c r="C532" t="s">
        <v>706</v>
      </c>
      <c r="D532" t="s">
        <v>1073</v>
      </c>
      <c r="E532" t="s">
        <v>1072</v>
      </c>
      <c r="F532">
        <v>1250</v>
      </c>
      <c r="G532" t="s">
        <v>53</v>
      </c>
      <c r="H532" t="s">
        <v>722</v>
      </c>
      <c r="I532" t="s">
        <v>717</v>
      </c>
    </row>
    <row r="533" spans="1:9" x14ac:dyDescent="0.25">
      <c r="A533" s="128" t="s">
        <v>1074</v>
      </c>
      <c r="B533" t="s">
        <v>1075</v>
      </c>
      <c r="C533" t="s">
        <v>706</v>
      </c>
      <c r="D533" t="s">
        <v>1076</v>
      </c>
      <c r="E533" t="s">
        <v>1075</v>
      </c>
      <c r="F533" t="s">
        <v>1077</v>
      </c>
      <c r="G533" t="s">
        <v>1078</v>
      </c>
      <c r="H533" t="s">
        <v>722</v>
      </c>
      <c r="I533" t="s">
        <v>463</v>
      </c>
    </row>
    <row r="534" spans="1:9" x14ac:dyDescent="0.25">
      <c r="A534" s="128" t="s">
        <v>385</v>
      </c>
      <c r="B534" t="s">
        <v>1079</v>
      </c>
      <c r="C534" t="s">
        <v>706</v>
      </c>
      <c r="D534" t="s">
        <v>1079</v>
      </c>
      <c r="E534" t="s">
        <v>1080</v>
      </c>
      <c r="G534" t="s">
        <v>1081</v>
      </c>
      <c r="H534" t="s">
        <v>722</v>
      </c>
      <c r="I534" t="s">
        <v>717</v>
      </c>
    </row>
    <row r="535" spans="1:9" x14ac:dyDescent="0.25">
      <c r="A535" s="128" t="s">
        <v>1082</v>
      </c>
      <c r="B535" t="s">
        <v>1083</v>
      </c>
      <c r="C535" t="s">
        <v>750</v>
      </c>
      <c r="D535" t="s">
        <v>1083</v>
      </c>
      <c r="G535" t="s">
        <v>1081</v>
      </c>
      <c r="H535" t="s">
        <v>722</v>
      </c>
      <c r="I535" t="s">
        <v>463</v>
      </c>
    </row>
    <row r="536" spans="1:9" x14ac:dyDescent="0.25">
      <c r="A536" s="128" t="s">
        <v>398</v>
      </c>
      <c r="B536" t="s">
        <v>1084</v>
      </c>
      <c r="C536" t="s">
        <v>750</v>
      </c>
      <c r="D536" t="s">
        <v>1084</v>
      </c>
      <c r="F536" t="s">
        <v>1085</v>
      </c>
      <c r="G536" t="s">
        <v>1086</v>
      </c>
      <c r="H536" t="s">
        <v>722</v>
      </c>
      <c r="I536" t="s">
        <v>463</v>
      </c>
    </row>
    <row r="537" spans="1:9" x14ac:dyDescent="0.25">
      <c r="A537" s="128" t="s">
        <v>1087</v>
      </c>
      <c r="B537" t="s">
        <v>2169</v>
      </c>
      <c r="C537" t="s">
        <v>706</v>
      </c>
      <c r="D537" t="s">
        <v>1088</v>
      </c>
      <c r="E537" t="s">
        <v>2169</v>
      </c>
      <c r="G537" t="s">
        <v>1089</v>
      </c>
      <c r="H537" t="s">
        <v>722</v>
      </c>
      <c r="I537" t="s">
        <v>717</v>
      </c>
    </row>
    <row r="538" spans="1:9" x14ac:dyDescent="0.25">
      <c r="A538" s="128" t="s">
        <v>1090</v>
      </c>
      <c r="B538" t="s">
        <v>1091</v>
      </c>
      <c r="C538" t="s">
        <v>706</v>
      </c>
      <c r="D538" t="s">
        <v>1092</v>
      </c>
      <c r="E538" t="s">
        <v>1091</v>
      </c>
      <c r="G538" t="s">
        <v>1093</v>
      </c>
      <c r="H538" t="s">
        <v>722</v>
      </c>
      <c r="I538" t="s">
        <v>463</v>
      </c>
    </row>
    <row r="539" spans="1:9" x14ac:dyDescent="0.25">
      <c r="A539" s="128" t="s">
        <v>1094</v>
      </c>
      <c r="B539" t="s">
        <v>2170</v>
      </c>
      <c r="C539" t="s">
        <v>706</v>
      </c>
      <c r="D539" t="s">
        <v>1095</v>
      </c>
      <c r="E539" t="s">
        <v>2170</v>
      </c>
      <c r="F539" t="s">
        <v>1096</v>
      </c>
      <c r="G539" t="s">
        <v>781</v>
      </c>
      <c r="H539" t="s">
        <v>713</v>
      </c>
      <c r="I539" t="s">
        <v>717</v>
      </c>
    </row>
    <row r="540" spans="1:9" x14ac:dyDescent="0.25">
      <c r="A540" s="128" t="s">
        <v>1097</v>
      </c>
      <c r="B540" t="s">
        <v>1098</v>
      </c>
      <c r="C540" t="s">
        <v>706</v>
      </c>
      <c r="D540" t="s">
        <v>1099</v>
      </c>
      <c r="E540" t="s">
        <v>1098</v>
      </c>
      <c r="G540" t="s">
        <v>1023</v>
      </c>
      <c r="H540" t="s">
        <v>1100</v>
      </c>
      <c r="I540" t="s">
        <v>717</v>
      </c>
    </row>
    <row r="541" spans="1:9" x14ac:dyDescent="0.25">
      <c r="A541" s="128" t="s">
        <v>1101</v>
      </c>
      <c r="B541" t="s">
        <v>1102</v>
      </c>
      <c r="C541" t="s">
        <v>750</v>
      </c>
      <c r="D541" t="s">
        <v>1102</v>
      </c>
      <c r="G541" t="s">
        <v>785</v>
      </c>
      <c r="H541" t="s">
        <v>722</v>
      </c>
      <c r="I541" t="s">
        <v>463</v>
      </c>
    </row>
    <row r="542" spans="1:9" x14ac:dyDescent="0.25">
      <c r="A542" s="128" t="s">
        <v>1103</v>
      </c>
      <c r="B542" t="s">
        <v>1104</v>
      </c>
      <c r="C542" t="s">
        <v>706</v>
      </c>
      <c r="D542" t="s">
        <v>1105</v>
      </c>
      <c r="E542" t="s">
        <v>1104</v>
      </c>
      <c r="F542" t="s">
        <v>1106</v>
      </c>
      <c r="G542" t="s">
        <v>1107</v>
      </c>
      <c r="H542" t="s">
        <v>722</v>
      </c>
      <c r="I542" t="s">
        <v>463</v>
      </c>
    </row>
    <row r="543" spans="1:9" x14ac:dyDescent="0.25">
      <c r="A543" s="128" t="s">
        <v>1108</v>
      </c>
      <c r="B543" t="s">
        <v>1109</v>
      </c>
      <c r="C543" t="s">
        <v>750</v>
      </c>
      <c r="D543" t="s">
        <v>1109</v>
      </c>
      <c r="H543" t="s">
        <v>1110</v>
      </c>
      <c r="I543" t="s">
        <v>463</v>
      </c>
    </row>
    <row r="544" spans="1:9" x14ac:dyDescent="0.25">
      <c r="A544" s="128" t="s">
        <v>1111</v>
      </c>
      <c r="B544" t="s">
        <v>1112</v>
      </c>
      <c r="C544" t="s">
        <v>750</v>
      </c>
      <c r="D544" t="s">
        <v>1112</v>
      </c>
      <c r="F544" t="s">
        <v>1113</v>
      </c>
      <c r="H544" t="s">
        <v>1110</v>
      </c>
      <c r="I544" t="s">
        <v>463</v>
      </c>
    </row>
    <row r="545" spans="1:9" x14ac:dyDescent="0.25">
      <c r="A545" s="128" t="s">
        <v>1114</v>
      </c>
      <c r="B545" t="s">
        <v>1115</v>
      </c>
      <c r="C545" t="s">
        <v>750</v>
      </c>
      <c r="D545" t="s">
        <v>1115</v>
      </c>
      <c r="F545" t="s">
        <v>1116</v>
      </c>
      <c r="G545" t="s">
        <v>785</v>
      </c>
      <c r="H545" t="s">
        <v>1110</v>
      </c>
      <c r="I545" t="s">
        <v>463</v>
      </c>
    </row>
    <row r="546" spans="1:9" x14ac:dyDescent="0.25">
      <c r="A546" s="128" t="s">
        <v>1117</v>
      </c>
      <c r="B546" t="s">
        <v>1118</v>
      </c>
      <c r="C546" t="s">
        <v>706</v>
      </c>
      <c r="D546" t="s">
        <v>1119</v>
      </c>
      <c r="E546" t="s">
        <v>1118</v>
      </c>
      <c r="G546" t="s">
        <v>785</v>
      </c>
      <c r="H546" t="s">
        <v>722</v>
      </c>
      <c r="I546" t="s">
        <v>717</v>
      </c>
    </row>
    <row r="547" spans="1:9" x14ac:dyDescent="0.25">
      <c r="A547" s="128" t="s">
        <v>1120</v>
      </c>
      <c r="B547" t="s">
        <v>1121</v>
      </c>
      <c r="C547" t="s">
        <v>750</v>
      </c>
      <c r="D547" t="s">
        <v>1121</v>
      </c>
      <c r="G547" t="s">
        <v>785</v>
      </c>
      <c r="H547" t="s">
        <v>722</v>
      </c>
      <c r="I547" t="s">
        <v>463</v>
      </c>
    </row>
    <row r="548" spans="1:9" x14ac:dyDescent="0.25">
      <c r="A548" s="128" t="s">
        <v>1122</v>
      </c>
      <c r="B548" t="s">
        <v>1123</v>
      </c>
      <c r="C548" t="s">
        <v>706</v>
      </c>
      <c r="D548" t="s">
        <v>1124</v>
      </c>
      <c r="E548" t="s">
        <v>1123</v>
      </c>
      <c r="G548" t="s">
        <v>785</v>
      </c>
      <c r="H548" t="s">
        <v>722</v>
      </c>
      <c r="I548" t="s">
        <v>463</v>
      </c>
    </row>
    <row r="549" spans="1:9" x14ac:dyDescent="0.25">
      <c r="A549" s="128" t="s">
        <v>1125</v>
      </c>
      <c r="B549" t="s">
        <v>1126</v>
      </c>
      <c r="C549" t="s">
        <v>706</v>
      </c>
      <c r="D549" t="s">
        <v>1127</v>
      </c>
      <c r="E549" t="s">
        <v>1126</v>
      </c>
      <c r="G549" t="s">
        <v>785</v>
      </c>
      <c r="H549" t="s">
        <v>722</v>
      </c>
      <c r="I549" t="s">
        <v>463</v>
      </c>
    </row>
    <row r="550" spans="1:9" x14ac:dyDescent="0.25">
      <c r="A550" s="128" t="s">
        <v>1128</v>
      </c>
      <c r="B550" t="s">
        <v>1129</v>
      </c>
      <c r="C550" t="s">
        <v>706</v>
      </c>
      <c r="D550" t="s">
        <v>1130</v>
      </c>
      <c r="E550" t="s">
        <v>1129</v>
      </c>
      <c r="G550" t="s">
        <v>785</v>
      </c>
      <c r="H550" t="s">
        <v>722</v>
      </c>
      <c r="I550" t="s">
        <v>463</v>
      </c>
    </row>
    <row r="551" spans="1:9" x14ac:dyDescent="0.25">
      <c r="A551" s="128" t="s">
        <v>1131</v>
      </c>
      <c r="B551" t="s">
        <v>1132</v>
      </c>
      <c r="C551" t="s">
        <v>750</v>
      </c>
      <c r="D551" t="s">
        <v>1132</v>
      </c>
      <c r="G551" t="s">
        <v>1133</v>
      </c>
      <c r="H551" t="s">
        <v>722</v>
      </c>
      <c r="I551" t="s">
        <v>463</v>
      </c>
    </row>
    <row r="552" spans="1:9" x14ac:dyDescent="0.25">
      <c r="A552" s="128" t="s">
        <v>1134</v>
      </c>
      <c r="B552" t="s">
        <v>1135</v>
      </c>
      <c r="C552" t="s">
        <v>706</v>
      </c>
      <c r="D552" t="s">
        <v>1136</v>
      </c>
      <c r="E552" t="s">
        <v>1135</v>
      </c>
      <c r="G552" t="s">
        <v>785</v>
      </c>
      <c r="H552" t="s">
        <v>722</v>
      </c>
      <c r="I552" t="s">
        <v>717</v>
      </c>
    </row>
    <row r="553" spans="1:9" x14ac:dyDescent="0.25">
      <c r="A553" s="128" t="s">
        <v>1137</v>
      </c>
      <c r="B553" t="s">
        <v>1138</v>
      </c>
      <c r="C553" t="s">
        <v>706</v>
      </c>
      <c r="D553" t="s">
        <v>1139</v>
      </c>
      <c r="E553" t="s">
        <v>1138</v>
      </c>
      <c r="G553" t="s">
        <v>785</v>
      </c>
      <c r="H553" t="s">
        <v>722</v>
      </c>
      <c r="I553" t="s">
        <v>463</v>
      </c>
    </row>
    <row r="554" spans="1:9" x14ac:dyDescent="0.25">
      <c r="A554" s="128" t="s">
        <v>1140</v>
      </c>
      <c r="B554" t="s">
        <v>1141</v>
      </c>
      <c r="C554" t="s">
        <v>706</v>
      </c>
      <c r="D554" t="s">
        <v>1142</v>
      </c>
      <c r="E554" t="s">
        <v>1141</v>
      </c>
      <c r="G554" t="s">
        <v>785</v>
      </c>
      <c r="H554" t="s">
        <v>722</v>
      </c>
      <c r="I554" t="s">
        <v>463</v>
      </c>
    </row>
    <row r="555" spans="1:9" x14ac:dyDescent="0.25">
      <c r="A555" s="128" t="s">
        <v>1143</v>
      </c>
      <c r="B555" t="s">
        <v>1144</v>
      </c>
      <c r="C555" t="s">
        <v>706</v>
      </c>
      <c r="D555" t="s">
        <v>1145</v>
      </c>
      <c r="E555" t="s">
        <v>1144</v>
      </c>
      <c r="G555" t="s">
        <v>785</v>
      </c>
      <c r="H555" t="s">
        <v>722</v>
      </c>
      <c r="I555" t="s">
        <v>463</v>
      </c>
    </row>
    <row r="556" spans="1:9" x14ac:dyDescent="0.25">
      <c r="A556" s="128" t="s">
        <v>1146</v>
      </c>
      <c r="B556" t="s">
        <v>1147</v>
      </c>
      <c r="C556" t="s">
        <v>706</v>
      </c>
      <c r="D556" t="s">
        <v>1148</v>
      </c>
      <c r="E556" t="s">
        <v>1147</v>
      </c>
      <c r="G556" t="s">
        <v>785</v>
      </c>
      <c r="H556" t="s">
        <v>709</v>
      </c>
      <c r="I556" t="s">
        <v>463</v>
      </c>
    </row>
    <row r="557" spans="1:9" x14ac:dyDescent="0.25">
      <c r="A557" s="128" t="s">
        <v>403</v>
      </c>
      <c r="B557" t="s">
        <v>2171</v>
      </c>
      <c r="C557" t="s">
        <v>706</v>
      </c>
      <c r="D557" t="s">
        <v>1149</v>
      </c>
      <c r="E557" t="s">
        <v>2171</v>
      </c>
      <c r="G557" t="s">
        <v>289</v>
      </c>
      <c r="H557" t="s">
        <v>713</v>
      </c>
      <c r="I557" t="s">
        <v>717</v>
      </c>
    </row>
    <row r="558" spans="1:9" x14ac:dyDescent="0.25">
      <c r="A558" s="128" t="s">
        <v>1150</v>
      </c>
      <c r="B558" t="s">
        <v>1151</v>
      </c>
      <c r="C558" t="s">
        <v>750</v>
      </c>
      <c r="D558" t="s">
        <v>1151</v>
      </c>
      <c r="H558" t="s">
        <v>713</v>
      </c>
      <c r="I558" t="s">
        <v>463</v>
      </c>
    </row>
    <row r="559" spans="1:9" x14ac:dyDescent="0.25">
      <c r="A559" s="128" t="s">
        <v>375</v>
      </c>
      <c r="B559" t="s">
        <v>1152</v>
      </c>
      <c r="C559" t="s">
        <v>750</v>
      </c>
      <c r="D559" t="s">
        <v>1152</v>
      </c>
      <c r="H559" t="s">
        <v>713</v>
      </c>
      <c r="I559" t="s">
        <v>463</v>
      </c>
    </row>
    <row r="560" spans="1:9" x14ac:dyDescent="0.25">
      <c r="A560" s="128" t="s">
        <v>1153</v>
      </c>
      <c r="B560" t="s">
        <v>1154</v>
      </c>
      <c r="C560" t="s">
        <v>706</v>
      </c>
      <c r="D560" t="s">
        <v>1155</v>
      </c>
      <c r="E560" t="s">
        <v>1154</v>
      </c>
      <c r="H560" t="s">
        <v>713</v>
      </c>
      <c r="I560" t="s">
        <v>463</v>
      </c>
    </row>
    <row r="561" spans="1:9" x14ac:dyDescent="0.25">
      <c r="A561" s="128" t="s">
        <v>1156</v>
      </c>
      <c r="B561" t="s">
        <v>1157</v>
      </c>
      <c r="C561" t="s">
        <v>706</v>
      </c>
      <c r="D561" t="s">
        <v>1158</v>
      </c>
      <c r="E561" t="s">
        <v>1157</v>
      </c>
      <c r="G561" t="s">
        <v>1107</v>
      </c>
      <c r="H561" t="s">
        <v>713</v>
      </c>
      <c r="I561" t="s">
        <v>463</v>
      </c>
    </row>
    <row r="562" spans="1:9" x14ac:dyDescent="0.25">
      <c r="A562" s="128" t="s">
        <v>439</v>
      </c>
      <c r="B562" t="s">
        <v>1159</v>
      </c>
      <c r="C562" t="s">
        <v>706</v>
      </c>
      <c r="D562" t="s">
        <v>1160</v>
      </c>
      <c r="E562" t="s">
        <v>1159</v>
      </c>
      <c r="F562" t="s">
        <v>1161</v>
      </c>
      <c r="G562" t="s">
        <v>1162</v>
      </c>
      <c r="H562" t="s">
        <v>713</v>
      </c>
      <c r="I562" t="s">
        <v>463</v>
      </c>
    </row>
    <row r="563" spans="1:9" x14ac:dyDescent="0.25">
      <c r="A563" s="128" t="s">
        <v>1163</v>
      </c>
      <c r="B563" t="s">
        <v>1164</v>
      </c>
      <c r="C563" t="s">
        <v>750</v>
      </c>
      <c r="D563" t="s">
        <v>1164</v>
      </c>
      <c r="F563" t="s">
        <v>1165</v>
      </c>
      <c r="G563" t="s">
        <v>1046</v>
      </c>
      <c r="H563" t="s">
        <v>713</v>
      </c>
      <c r="I563" t="s">
        <v>463</v>
      </c>
    </row>
    <row r="564" spans="1:9" x14ac:dyDescent="0.25">
      <c r="A564" s="128" t="s">
        <v>1166</v>
      </c>
      <c r="B564" t="s">
        <v>1167</v>
      </c>
      <c r="C564" t="s">
        <v>706</v>
      </c>
      <c r="D564" t="s">
        <v>1168</v>
      </c>
      <c r="E564" t="s">
        <v>1167</v>
      </c>
      <c r="H564" t="s">
        <v>713</v>
      </c>
      <c r="I564" t="s">
        <v>717</v>
      </c>
    </row>
    <row r="565" spans="1:9" x14ac:dyDescent="0.25">
      <c r="A565" s="128" t="s">
        <v>1169</v>
      </c>
      <c r="B565" t="s">
        <v>1170</v>
      </c>
      <c r="C565" t="s">
        <v>706</v>
      </c>
      <c r="D565" t="s">
        <v>1171</v>
      </c>
      <c r="E565" t="s">
        <v>1170</v>
      </c>
      <c r="G565" t="s">
        <v>1133</v>
      </c>
      <c r="H565" t="s">
        <v>713</v>
      </c>
      <c r="I565" t="s">
        <v>463</v>
      </c>
    </row>
    <row r="566" spans="1:9" x14ac:dyDescent="0.25">
      <c r="A566" s="128" t="s">
        <v>1172</v>
      </c>
      <c r="B566" t="s">
        <v>1173</v>
      </c>
      <c r="C566" t="s">
        <v>706</v>
      </c>
      <c r="D566" t="s">
        <v>1174</v>
      </c>
      <c r="E566" t="s">
        <v>1173</v>
      </c>
      <c r="G566" t="s">
        <v>1133</v>
      </c>
      <c r="H566" t="s">
        <v>713</v>
      </c>
      <c r="I566" t="s">
        <v>463</v>
      </c>
    </row>
    <row r="567" spans="1:9" x14ac:dyDescent="0.25">
      <c r="A567" s="128" t="s">
        <v>1175</v>
      </c>
      <c r="B567" t="s">
        <v>1176</v>
      </c>
      <c r="C567" t="s">
        <v>706</v>
      </c>
      <c r="D567" t="s">
        <v>1177</v>
      </c>
      <c r="E567" t="s">
        <v>1176</v>
      </c>
      <c r="G567" t="s">
        <v>1133</v>
      </c>
      <c r="I567" t="s">
        <v>463</v>
      </c>
    </row>
    <row r="568" spans="1:9" x14ac:dyDescent="0.25">
      <c r="A568" s="128" t="s">
        <v>1178</v>
      </c>
      <c r="B568" t="s">
        <v>1179</v>
      </c>
      <c r="C568" t="s">
        <v>706</v>
      </c>
      <c r="D568" t="s">
        <v>1180</v>
      </c>
      <c r="E568" t="s">
        <v>1179</v>
      </c>
      <c r="F568" t="s">
        <v>1181</v>
      </c>
      <c r="G568" t="s">
        <v>1107</v>
      </c>
      <c r="H568" t="s">
        <v>713</v>
      </c>
      <c r="I568" t="s">
        <v>463</v>
      </c>
    </row>
    <row r="569" spans="1:9" x14ac:dyDescent="0.25">
      <c r="A569" s="128" t="s">
        <v>382</v>
      </c>
      <c r="B569" t="s">
        <v>2257</v>
      </c>
      <c r="C569" t="s">
        <v>706</v>
      </c>
      <c r="D569" t="s">
        <v>1182</v>
      </c>
      <c r="E569" t="s">
        <v>2257</v>
      </c>
      <c r="F569" t="s">
        <v>58</v>
      </c>
      <c r="G569" t="s">
        <v>156</v>
      </c>
      <c r="H569" t="s">
        <v>713</v>
      </c>
      <c r="I569" t="s">
        <v>717</v>
      </c>
    </row>
    <row r="570" spans="1:9" x14ac:dyDescent="0.25">
      <c r="A570" s="128" t="s">
        <v>1183</v>
      </c>
      <c r="B570" t="s">
        <v>1184</v>
      </c>
      <c r="C570" t="s">
        <v>706</v>
      </c>
      <c r="D570" t="s">
        <v>1185</v>
      </c>
      <c r="E570" t="s">
        <v>1184</v>
      </c>
      <c r="F570" t="s">
        <v>1186</v>
      </c>
      <c r="G570" t="s">
        <v>1046</v>
      </c>
      <c r="H570" t="s">
        <v>713</v>
      </c>
      <c r="I570" t="s">
        <v>463</v>
      </c>
    </row>
    <row r="571" spans="1:9" x14ac:dyDescent="0.25">
      <c r="A571" s="128" t="s">
        <v>1187</v>
      </c>
      <c r="B571" t="s">
        <v>1188</v>
      </c>
      <c r="C571" t="s">
        <v>706</v>
      </c>
      <c r="D571" t="s">
        <v>1189</v>
      </c>
      <c r="E571" t="s">
        <v>1188</v>
      </c>
      <c r="G571" t="s">
        <v>1060</v>
      </c>
      <c r="H571" t="s">
        <v>709</v>
      </c>
      <c r="I571" t="s">
        <v>717</v>
      </c>
    </row>
    <row r="572" spans="1:9" x14ac:dyDescent="0.25">
      <c r="A572" s="128" t="s">
        <v>1190</v>
      </c>
      <c r="B572" t="s">
        <v>1191</v>
      </c>
      <c r="C572" t="s">
        <v>706</v>
      </c>
      <c r="D572" t="s">
        <v>1192</v>
      </c>
      <c r="E572" t="s">
        <v>1191</v>
      </c>
      <c r="F572" t="s">
        <v>1193</v>
      </c>
      <c r="G572" t="s">
        <v>1162</v>
      </c>
      <c r="H572" t="s">
        <v>713</v>
      </c>
      <c r="I572" t="s">
        <v>463</v>
      </c>
    </row>
    <row r="573" spans="1:9" x14ac:dyDescent="0.25">
      <c r="A573" s="128" t="s">
        <v>1194</v>
      </c>
      <c r="B573" t="s">
        <v>1195</v>
      </c>
      <c r="C573" t="s">
        <v>706</v>
      </c>
      <c r="D573" t="s">
        <v>1196</v>
      </c>
      <c r="E573" t="s">
        <v>1195</v>
      </c>
      <c r="F573" t="s">
        <v>1197</v>
      </c>
      <c r="G573" t="s">
        <v>1046</v>
      </c>
      <c r="H573" t="s">
        <v>713</v>
      </c>
      <c r="I573" t="s">
        <v>463</v>
      </c>
    </row>
    <row r="574" spans="1:9" x14ac:dyDescent="0.25">
      <c r="A574" s="128" t="s">
        <v>381</v>
      </c>
      <c r="B574" t="s">
        <v>2258</v>
      </c>
      <c r="C574" t="s">
        <v>706</v>
      </c>
      <c r="D574" t="s">
        <v>1198</v>
      </c>
      <c r="E574" t="s">
        <v>2258</v>
      </c>
      <c r="F574" t="s">
        <v>1199</v>
      </c>
      <c r="G574" t="s">
        <v>53</v>
      </c>
      <c r="H574" t="s">
        <v>713</v>
      </c>
      <c r="I574" t="s">
        <v>717</v>
      </c>
    </row>
    <row r="575" spans="1:9" x14ac:dyDescent="0.25">
      <c r="A575" s="128" t="s">
        <v>372</v>
      </c>
      <c r="B575" t="s">
        <v>2259</v>
      </c>
      <c r="C575" t="s">
        <v>706</v>
      </c>
      <c r="D575" t="s">
        <v>1200</v>
      </c>
      <c r="E575" t="s">
        <v>2259</v>
      </c>
      <c r="F575" t="s">
        <v>1201</v>
      </c>
      <c r="G575" t="s">
        <v>156</v>
      </c>
      <c r="H575" t="s">
        <v>1202</v>
      </c>
      <c r="I575" t="s">
        <v>717</v>
      </c>
    </row>
    <row r="576" spans="1:9" x14ac:dyDescent="0.25">
      <c r="A576" s="128" t="s">
        <v>373</v>
      </c>
      <c r="B576" t="s">
        <v>2260</v>
      </c>
      <c r="C576" t="s">
        <v>706</v>
      </c>
      <c r="D576" t="s">
        <v>1203</v>
      </c>
      <c r="E576" t="s">
        <v>2260</v>
      </c>
      <c r="F576" t="s">
        <v>1204</v>
      </c>
      <c r="G576" t="s">
        <v>156</v>
      </c>
      <c r="H576" t="s">
        <v>1202</v>
      </c>
      <c r="I576" t="s">
        <v>717</v>
      </c>
    </row>
    <row r="577" spans="1:9" x14ac:dyDescent="0.25">
      <c r="A577" s="128" t="s">
        <v>400</v>
      </c>
      <c r="B577" t="s">
        <v>1205</v>
      </c>
      <c r="C577" t="s">
        <v>706</v>
      </c>
      <c r="D577" t="s">
        <v>1206</v>
      </c>
      <c r="E577" t="s">
        <v>1205</v>
      </c>
      <c r="G577" t="s">
        <v>289</v>
      </c>
      <c r="H577" t="s">
        <v>875</v>
      </c>
      <c r="I577" t="s">
        <v>717</v>
      </c>
    </row>
    <row r="578" spans="1:9" x14ac:dyDescent="0.25">
      <c r="A578" s="128" t="s">
        <v>1207</v>
      </c>
      <c r="B578" t="s">
        <v>1208</v>
      </c>
      <c r="C578" t="s">
        <v>706</v>
      </c>
      <c r="D578" t="s">
        <v>1209</v>
      </c>
      <c r="E578" t="s">
        <v>1208</v>
      </c>
      <c r="F578" t="s">
        <v>1210</v>
      </c>
      <c r="G578" t="s">
        <v>1211</v>
      </c>
      <c r="H578" t="s">
        <v>842</v>
      </c>
      <c r="I578" t="s">
        <v>463</v>
      </c>
    </row>
    <row r="579" spans="1:9" x14ac:dyDescent="0.25">
      <c r="A579" s="128" t="s">
        <v>1212</v>
      </c>
      <c r="B579" t="s">
        <v>1213</v>
      </c>
      <c r="C579" t="s">
        <v>706</v>
      </c>
      <c r="D579" t="s">
        <v>1214</v>
      </c>
      <c r="E579" t="s">
        <v>1213</v>
      </c>
      <c r="F579" t="s">
        <v>1215</v>
      </c>
      <c r="G579" t="s">
        <v>1211</v>
      </c>
      <c r="H579" t="s">
        <v>842</v>
      </c>
      <c r="I579" t="s">
        <v>717</v>
      </c>
    </row>
    <row r="580" spans="1:9" x14ac:dyDescent="0.25">
      <c r="A580" s="128" t="s">
        <v>380</v>
      </c>
      <c r="B580" t="s">
        <v>1216</v>
      </c>
      <c r="C580" t="s">
        <v>706</v>
      </c>
      <c r="D580" t="s">
        <v>1216</v>
      </c>
      <c r="E580" t="s">
        <v>1217</v>
      </c>
      <c r="F580" t="s">
        <v>1218</v>
      </c>
      <c r="G580" t="s">
        <v>156</v>
      </c>
      <c r="H580" t="s">
        <v>1219</v>
      </c>
      <c r="I580" t="s">
        <v>717</v>
      </c>
    </row>
    <row r="581" spans="1:9" x14ac:dyDescent="0.25">
      <c r="A581" s="128" t="s">
        <v>1220</v>
      </c>
      <c r="B581" t="s">
        <v>1221</v>
      </c>
      <c r="C581" t="s">
        <v>706</v>
      </c>
      <c r="D581" t="s">
        <v>1222</v>
      </c>
      <c r="E581" t="s">
        <v>1221</v>
      </c>
      <c r="F581" t="s">
        <v>1223</v>
      </c>
      <c r="G581" t="s">
        <v>1060</v>
      </c>
      <c r="H581" t="s">
        <v>1224</v>
      </c>
      <c r="I581" t="s">
        <v>717</v>
      </c>
    </row>
    <row r="582" spans="1:9" x14ac:dyDescent="0.25">
      <c r="A582" s="128" t="s">
        <v>1225</v>
      </c>
      <c r="B582" t="s">
        <v>1226</v>
      </c>
      <c r="C582" t="s">
        <v>706</v>
      </c>
      <c r="D582" t="s">
        <v>1227</v>
      </c>
      <c r="E582" t="s">
        <v>1226</v>
      </c>
      <c r="G582" t="s">
        <v>1228</v>
      </c>
      <c r="H582" t="s">
        <v>842</v>
      </c>
      <c r="I582" t="s">
        <v>717</v>
      </c>
    </row>
    <row r="583" spans="1:9" x14ac:dyDescent="0.25">
      <c r="A583" s="128" t="s">
        <v>1229</v>
      </c>
      <c r="B583" t="s">
        <v>1230</v>
      </c>
      <c r="C583" t="s">
        <v>706</v>
      </c>
      <c r="D583" t="s">
        <v>1231</v>
      </c>
      <c r="E583" t="s">
        <v>1230</v>
      </c>
      <c r="G583" t="s">
        <v>1060</v>
      </c>
      <c r="H583" t="s">
        <v>842</v>
      </c>
      <c r="I583" t="s">
        <v>717</v>
      </c>
    </row>
    <row r="584" spans="1:9" x14ac:dyDescent="0.25">
      <c r="A584" s="128" t="s">
        <v>1232</v>
      </c>
      <c r="B584" t="s">
        <v>1233</v>
      </c>
      <c r="C584" t="s">
        <v>706</v>
      </c>
      <c r="D584" t="s">
        <v>1234</v>
      </c>
      <c r="E584" t="s">
        <v>1233</v>
      </c>
      <c r="G584" t="s">
        <v>859</v>
      </c>
      <c r="H584" t="s">
        <v>1235</v>
      </c>
      <c r="I584" t="s">
        <v>717</v>
      </c>
    </row>
    <row r="585" spans="1:9" x14ac:dyDescent="0.25">
      <c r="A585" s="128" t="s">
        <v>1236</v>
      </c>
      <c r="B585" t="s">
        <v>1237</v>
      </c>
      <c r="C585" t="s">
        <v>706</v>
      </c>
      <c r="D585" t="s">
        <v>1238</v>
      </c>
      <c r="E585" t="s">
        <v>1237</v>
      </c>
      <c r="G585" t="s">
        <v>289</v>
      </c>
      <c r="H585" t="s">
        <v>1235</v>
      </c>
      <c r="I585" t="s">
        <v>717</v>
      </c>
    </row>
    <row r="586" spans="1:9" x14ac:dyDescent="0.25">
      <c r="A586" s="128" t="s">
        <v>1239</v>
      </c>
      <c r="B586" t="s">
        <v>1240</v>
      </c>
      <c r="C586" t="s">
        <v>750</v>
      </c>
      <c r="D586" t="s">
        <v>1240</v>
      </c>
      <c r="F586" t="s">
        <v>1241</v>
      </c>
      <c r="G586" t="s">
        <v>781</v>
      </c>
      <c r="H586" t="s">
        <v>842</v>
      </c>
      <c r="I586" t="s">
        <v>463</v>
      </c>
    </row>
    <row r="587" spans="1:9" x14ac:dyDescent="0.25">
      <c r="A587" s="128" t="s">
        <v>1242</v>
      </c>
      <c r="B587" t="s">
        <v>1243</v>
      </c>
      <c r="C587" t="s">
        <v>750</v>
      </c>
      <c r="D587" t="s">
        <v>1243</v>
      </c>
      <c r="H587" t="s">
        <v>842</v>
      </c>
      <c r="I587" t="s">
        <v>463</v>
      </c>
    </row>
    <row r="588" spans="1:9" x14ac:dyDescent="0.25">
      <c r="A588" s="128" t="s">
        <v>1244</v>
      </c>
      <c r="B588" t="s">
        <v>1245</v>
      </c>
      <c r="C588" t="s">
        <v>750</v>
      </c>
      <c r="D588" t="s">
        <v>1245</v>
      </c>
      <c r="H588" t="s">
        <v>842</v>
      </c>
      <c r="I588" t="s">
        <v>463</v>
      </c>
    </row>
    <row r="589" spans="1:9" x14ac:dyDescent="0.25">
      <c r="A589" s="128" t="s">
        <v>395</v>
      </c>
      <c r="B589" t="s">
        <v>1246</v>
      </c>
      <c r="C589" t="s">
        <v>706</v>
      </c>
      <c r="D589" t="s">
        <v>1247</v>
      </c>
      <c r="E589" t="s">
        <v>1246</v>
      </c>
      <c r="G589" t="s">
        <v>289</v>
      </c>
      <c r="H589" t="s">
        <v>1248</v>
      </c>
      <c r="I589" t="s">
        <v>717</v>
      </c>
    </row>
    <row r="590" spans="1:9" x14ac:dyDescent="0.25">
      <c r="A590" s="128" t="s">
        <v>1249</v>
      </c>
      <c r="B590" t="s">
        <v>1250</v>
      </c>
      <c r="C590" t="s">
        <v>706</v>
      </c>
      <c r="D590" t="s">
        <v>1251</v>
      </c>
      <c r="E590" t="s">
        <v>1250</v>
      </c>
      <c r="G590" t="s">
        <v>289</v>
      </c>
      <c r="H590" t="s">
        <v>875</v>
      </c>
      <c r="I590" t="s">
        <v>717</v>
      </c>
    </row>
    <row r="591" spans="1:9" x14ac:dyDescent="0.25">
      <c r="A591" s="128" t="s">
        <v>401</v>
      </c>
      <c r="B591" t="s">
        <v>1252</v>
      </c>
      <c r="C591" t="s">
        <v>750</v>
      </c>
      <c r="D591" t="s">
        <v>1252</v>
      </c>
      <c r="G591" t="s">
        <v>289</v>
      </c>
      <c r="H591" t="s">
        <v>875</v>
      </c>
      <c r="I591" t="s">
        <v>463</v>
      </c>
    </row>
    <row r="592" spans="1:9" x14ac:dyDescent="0.25">
      <c r="A592" s="128" t="s">
        <v>432</v>
      </c>
      <c r="B592" t="s">
        <v>1253</v>
      </c>
      <c r="C592" t="s">
        <v>706</v>
      </c>
      <c r="D592" t="s">
        <v>1254</v>
      </c>
      <c r="E592" t="s">
        <v>1253</v>
      </c>
      <c r="F592" t="s">
        <v>1255</v>
      </c>
      <c r="G592" t="s">
        <v>156</v>
      </c>
      <c r="H592" t="s">
        <v>1219</v>
      </c>
      <c r="I592" t="s">
        <v>717</v>
      </c>
    </row>
    <row r="593" spans="1:9" x14ac:dyDescent="0.25">
      <c r="A593" s="128" t="s">
        <v>418</v>
      </c>
      <c r="B593" t="s">
        <v>1256</v>
      </c>
      <c r="C593" t="s">
        <v>706</v>
      </c>
      <c r="D593" t="s">
        <v>1257</v>
      </c>
      <c r="E593" t="s">
        <v>1256</v>
      </c>
      <c r="G593" t="s">
        <v>289</v>
      </c>
      <c r="H593" t="s">
        <v>1258</v>
      </c>
      <c r="I593" t="s">
        <v>717</v>
      </c>
    </row>
    <row r="594" spans="1:9" x14ac:dyDescent="0.25">
      <c r="A594" s="128" t="s">
        <v>1259</v>
      </c>
      <c r="B594" t="s">
        <v>1260</v>
      </c>
      <c r="C594" t="s">
        <v>706</v>
      </c>
      <c r="D594" t="s">
        <v>1261</v>
      </c>
      <c r="E594" t="s">
        <v>1260</v>
      </c>
      <c r="G594" t="s">
        <v>1262</v>
      </c>
      <c r="I594" t="s">
        <v>717</v>
      </c>
    </row>
    <row r="595" spans="1:9" x14ac:dyDescent="0.25">
      <c r="A595" s="128" t="s">
        <v>1263</v>
      </c>
      <c r="B595" t="s">
        <v>1264</v>
      </c>
      <c r="C595" t="s">
        <v>706</v>
      </c>
      <c r="D595" t="s">
        <v>1265</v>
      </c>
      <c r="E595" t="s">
        <v>1264</v>
      </c>
      <c r="G595" t="s">
        <v>1262</v>
      </c>
      <c r="I595" t="s">
        <v>717</v>
      </c>
    </row>
    <row r="596" spans="1:9" x14ac:dyDescent="0.25">
      <c r="A596" s="128" t="s">
        <v>1266</v>
      </c>
      <c r="B596" t="s">
        <v>1267</v>
      </c>
      <c r="C596" t="s">
        <v>706</v>
      </c>
      <c r="D596" t="s">
        <v>1268</v>
      </c>
      <c r="E596" t="s">
        <v>1267</v>
      </c>
      <c r="G596" t="s">
        <v>289</v>
      </c>
      <c r="H596" t="s">
        <v>875</v>
      </c>
      <c r="I596" t="s">
        <v>717</v>
      </c>
    </row>
    <row r="597" spans="1:9" x14ac:dyDescent="0.25">
      <c r="A597" s="128" t="s">
        <v>402</v>
      </c>
      <c r="B597" t="s">
        <v>1269</v>
      </c>
      <c r="C597" t="s">
        <v>750</v>
      </c>
      <c r="D597" t="s">
        <v>1269</v>
      </c>
      <c r="G597" t="s">
        <v>289</v>
      </c>
      <c r="H597" t="s">
        <v>875</v>
      </c>
      <c r="I597" t="s">
        <v>463</v>
      </c>
    </row>
    <row r="598" spans="1:9" x14ac:dyDescent="0.25">
      <c r="A598" s="128" t="s">
        <v>419</v>
      </c>
      <c r="B598" t="s">
        <v>2261</v>
      </c>
      <c r="C598" t="s">
        <v>706</v>
      </c>
      <c r="D598" t="s">
        <v>1270</v>
      </c>
      <c r="E598" t="s">
        <v>2261</v>
      </c>
      <c r="G598" t="s">
        <v>289</v>
      </c>
      <c r="H598" t="s">
        <v>1258</v>
      </c>
      <c r="I598" t="s">
        <v>717</v>
      </c>
    </row>
    <row r="599" spans="1:9" x14ac:dyDescent="0.25">
      <c r="A599" s="128" t="s">
        <v>1271</v>
      </c>
      <c r="B599" t="s">
        <v>2262</v>
      </c>
      <c r="C599" t="s">
        <v>706</v>
      </c>
      <c r="D599" t="s">
        <v>1272</v>
      </c>
      <c r="E599" t="s">
        <v>2262</v>
      </c>
      <c r="G599" t="s">
        <v>289</v>
      </c>
      <c r="H599" t="s">
        <v>1273</v>
      </c>
      <c r="I599" t="s">
        <v>717</v>
      </c>
    </row>
    <row r="600" spans="1:9" x14ac:dyDescent="0.25">
      <c r="A600" s="128" t="s">
        <v>379</v>
      </c>
      <c r="B600" t="s">
        <v>1274</v>
      </c>
      <c r="C600" t="s">
        <v>706</v>
      </c>
      <c r="D600" t="s">
        <v>1274</v>
      </c>
      <c r="E600" t="s">
        <v>1275</v>
      </c>
      <c r="F600" t="s">
        <v>1276</v>
      </c>
      <c r="G600" t="s">
        <v>156</v>
      </c>
      <c r="H600" t="s">
        <v>1219</v>
      </c>
      <c r="I600" t="s">
        <v>717</v>
      </c>
    </row>
    <row r="601" spans="1:9" x14ac:dyDescent="0.25">
      <c r="A601" s="128" t="s">
        <v>1277</v>
      </c>
      <c r="B601" t="s">
        <v>1278</v>
      </c>
      <c r="C601" t="s">
        <v>706</v>
      </c>
      <c r="D601" t="s">
        <v>1279</v>
      </c>
      <c r="E601" t="s">
        <v>1278</v>
      </c>
      <c r="G601" t="s">
        <v>289</v>
      </c>
      <c r="H601" t="s">
        <v>875</v>
      </c>
      <c r="I601" t="s">
        <v>717</v>
      </c>
    </row>
    <row r="602" spans="1:9" x14ac:dyDescent="0.25">
      <c r="A602" s="128" t="s">
        <v>405</v>
      </c>
      <c r="B602" t="s">
        <v>2172</v>
      </c>
      <c r="C602" t="s">
        <v>706</v>
      </c>
      <c r="D602" t="s">
        <v>1280</v>
      </c>
      <c r="E602" t="s">
        <v>2172</v>
      </c>
      <c r="G602" t="s">
        <v>289</v>
      </c>
      <c r="H602" t="s">
        <v>875</v>
      </c>
      <c r="I602" t="s">
        <v>717</v>
      </c>
    </row>
    <row r="603" spans="1:9" x14ac:dyDescent="0.25">
      <c r="A603" s="128" t="s">
        <v>404</v>
      </c>
      <c r="B603" t="s">
        <v>2173</v>
      </c>
      <c r="C603" t="s">
        <v>706</v>
      </c>
      <c r="D603" t="s">
        <v>1281</v>
      </c>
      <c r="E603" t="s">
        <v>2173</v>
      </c>
      <c r="G603" t="s">
        <v>289</v>
      </c>
      <c r="H603" t="s">
        <v>875</v>
      </c>
      <c r="I603" t="s">
        <v>717</v>
      </c>
    </row>
    <row r="604" spans="1:9" x14ac:dyDescent="0.25">
      <c r="A604" s="128" t="s">
        <v>1282</v>
      </c>
      <c r="B604" t="s">
        <v>1283</v>
      </c>
      <c r="C604" t="s">
        <v>706</v>
      </c>
      <c r="D604" t="s">
        <v>1283</v>
      </c>
      <c r="E604" t="s">
        <v>1284</v>
      </c>
      <c r="G604" t="s">
        <v>289</v>
      </c>
      <c r="H604" t="s">
        <v>875</v>
      </c>
      <c r="I604" t="s">
        <v>717</v>
      </c>
    </row>
    <row r="605" spans="1:9" x14ac:dyDescent="0.25">
      <c r="A605" s="128" t="s">
        <v>1285</v>
      </c>
      <c r="B605" t="s">
        <v>2174</v>
      </c>
      <c r="C605" t="s">
        <v>706</v>
      </c>
      <c r="D605" t="s">
        <v>1286</v>
      </c>
      <c r="E605" t="s">
        <v>2174</v>
      </c>
      <c r="G605" t="s">
        <v>289</v>
      </c>
      <c r="H605" t="s">
        <v>1287</v>
      </c>
      <c r="I605" t="s">
        <v>717</v>
      </c>
    </row>
    <row r="606" spans="1:9" x14ac:dyDescent="0.25">
      <c r="A606" s="128" t="s">
        <v>1288</v>
      </c>
      <c r="B606" t="s">
        <v>2263</v>
      </c>
      <c r="C606" t="s">
        <v>706</v>
      </c>
      <c r="D606" t="s">
        <v>1289</v>
      </c>
      <c r="E606" t="s">
        <v>2263</v>
      </c>
      <c r="G606" t="s">
        <v>289</v>
      </c>
      <c r="H606" t="s">
        <v>1290</v>
      </c>
      <c r="I606" t="s">
        <v>717</v>
      </c>
    </row>
    <row r="607" spans="1:9" x14ac:dyDescent="0.25">
      <c r="A607" s="128" t="s">
        <v>1291</v>
      </c>
      <c r="B607" t="s">
        <v>1292</v>
      </c>
      <c r="C607" t="s">
        <v>706</v>
      </c>
      <c r="D607" t="s">
        <v>1293</v>
      </c>
      <c r="E607" t="s">
        <v>1292</v>
      </c>
      <c r="G607" t="s">
        <v>874</v>
      </c>
      <c r="H607" t="s">
        <v>875</v>
      </c>
      <c r="I607" t="s">
        <v>463</v>
      </c>
    </row>
    <row r="608" spans="1:9" x14ac:dyDescent="0.25">
      <c r="A608" s="128" t="s">
        <v>1294</v>
      </c>
      <c r="B608" t="s">
        <v>1295</v>
      </c>
      <c r="C608" t="s">
        <v>706</v>
      </c>
      <c r="D608" t="s">
        <v>1296</v>
      </c>
      <c r="E608" t="s">
        <v>1295</v>
      </c>
      <c r="G608" t="s">
        <v>289</v>
      </c>
      <c r="H608" t="s">
        <v>875</v>
      </c>
      <c r="I608" t="s">
        <v>463</v>
      </c>
    </row>
    <row r="609" spans="1:9" x14ac:dyDescent="0.25">
      <c r="A609" s="128" t="s">
        <v>1297</v>
      </c>
      <c r="B609" t="s">
        <v>1298</v>
      </c>
      <c r="C609" t="s">
        <v>706</v>
      </c>
      <c r="D609" t="s">
        <v>1299</v>
      </c>
      <c r="E609" t="s">
        <v>1298</v>
      </c>
      <c r="G609" t="s">
        <v>1300</v>
      </c>
      <c r="H609" t="s">
        <v>709</v>
      </c>
      <c r="I609" t="s">
        <v>463</v>
      </c>
    </row>
    <row r="610" spans="1:9" x14ac:dyDescent="0.25">
      <c r="A610" s="128" t="s">
        <v>1301</v>
      </c>
      <c r="B610" t="s">
        <v>1302</v>
      </c>
      <c r="C610" t="s">
        <v>706</v>
      </c>
      <c r="D610" t="s">
        <v>1303</v>
      </c>
      <c r="E610" t="s">
        <v>1302</v>
      </c>
      <c r="G610" t="s">
        <v>1300</v>
      </c>
      <c r="H610" t="s">
        <v>713</v>
      </c>
      <c r="I610" t="s">
        <v>463</v>
      </c>
    </row>
    <row r="611" spans="1:9" x14ac:dyDescent="0.25">
      <c r="A611" s="128" t="s">
        <v>1304</v>
      </c>
      <c r="B611" t="s">
        <v>1305</v>
      </c>
      <c r="C611" t="s">
        <v>706</v>
      </c>
      <c r="D611" t="s">
        <v>1306</v>
      </c>
      <c r="E611" t="s">
        <v>1305</v>
      </c>
      <c r="G611" t="s">
        <v>1300</v>
      </c>
      <c r="H611" t="s">
        <v>956</v>
      </c>
      <c r="I611" t="s">
        <v>463</v>
      </c>
    </row>
    <row r="612" spans="1:9" x14ac:dyDescent="0.25">
      <c r="A612" s="128" t="s">
        <v>1307</v>
      </c>
      <c r="B612" t="s">
        <v>1308</v>
      </c>
      <c r="C612" t="s">
        <v>706</v>
      </c>
      <c r="D612" t="s">
        <v>1309</v>
      </c>
      <c r="E612" t="s">
        <v>1308</v>
      </c>
      <c r="G612" t="s">
        <v>113</v>
      </c>
      <c r="H612" t="s">
        <v>1310</v>
      </c>
      <c r="I612" t="s">
        <v>463</v>
      </c>
    </row>
    <row r="613" spans="1:9" x14ac:dyDescent="0.25">
      <c r="A613" s="128" t="s">
        <v>387</v>
      </c>
      <c r="B613" t="s">
        <v>1311</v>
      </c>
      <c r="C613" t="s">
        <v>706</v>
      </c>
      <c r="D613" t="s">
        <v>1312</v>
      </c>
      <c r="E613" t="s">
        <v>1311</v>
      </c>
      <c r="G613" t="s">
        <v>113</v>
      </c>
      <c r="H613" t="s">
        <v>852</v>
      </c>
      <c r="I613" t="s">
        <v>463</v>
      </c>
    </row>
    <row r="614" spans="1:9" x14ac:dyDescent="0.25">
      <c r="A614" s="128" t="s">
        <v>1313</v>
      </c>
      <c r="B614" t="s">
        <v>1314</v>
      </c>
      <c r="C614" t="s">
        <v>706</v>
      </c>
      <c r="D614" t="s">
        <v>1315</v>
      </c>
      <c r="E614" t="s">
        <v>1314</v>
      </c>
      <c r="G614" t="s">
        <v>113</v>
      </c>
      <c r="H614" t="s">
        <v>1316</v>
      </c>
      <c r="I614" t="s">
        <v>463</v>
      </c>
    </row>
    <row r="615" spans="1:9" x14ac:dyDescent="0.25">
      <c r="A615" s="128" t="s">
        <v>1317</v>
      </c>
      <c r="B615" t="s">
        <v>2091</v>
      </c>
      <c r="C615" t="s">
        <v>706</v>
      </c>
      <c r="D615" t="s">
        <v>1318</v>
      </c>
      <c r="E615" t="s">
        <v>2091</v>
      </c>
      <c r="G615" t="s">
        <v>113</v>
      </c>
      <c r="H615" t="s">
        <v>1319</v>
      </c>
      <c r="I615" t="s">
        <v>717</v>
      </c>
    </row>
    <row r="616" spans="1:9" x14ac:dyDescent="0.25">
      <c r="A616" s="128" t="s">
        <v>1320</v>
      </c>
      <c r="B616" t="s">
        <v>1321</v>
      </c>
      <c r="C616" t="s">
        <v>462</v>
      </c>
      <c r="E616" t="s">
        <v>1321</v>
      </c>
      <c r="I616" t="s">
        <v>463</v>
      </c>
    </row>
    <row r="617" spans="1:9" x14ac:dyDescent="0.25">
      <c r="A617" s="128" t="s">
        <v>1322</v>
      </c>
      <c r="B617" t="s">
        <v>1323</v>
      </c>
      <c r="C617" t="s">
        <v>706</v>
      </c>
      <c r="D617" t="s">
        <v>1324</v>
      </c>
      <c r="E617" t="s">
        <v>1323</v>
      </c>
      <c r="G617" t="s">
        <v>1325</v>
      </c>
      <c r="H617" t="s">
        <v>709</v>
      </c>
      <c r="I617" t="s">
        <v>463</v>
      </c>
    </row>
    <row r="618" spans="1:9" x14ac:dyDescent="0.25">
      <c r="A618" s="128" t="s">
        <v>1326</v>
      </c>
      <c r="B618" t="s">
        <v>1327</v>
      </c>
      <c r="C618" t="s">
        <v>706</v>
      </c>
      <c r="D618" t="s">
        <v>1328</v>
      </c>
      <c r="E618" t="s">
        <v>1327</v>
      </c>
      <c r="G618" t="s">
        <v>1329</v>
      </c>
      <c r="H618" t="s">
        <v>709</v>
      </c>
      <c r="I618" t="s">
        <v>717</v>
      </c>
    </row>
    <row r="619" spans="1:9" x14ac:dyDescent="0.25">
      <c r="A619" s="128" t="s">
        <v>1330</v>
      </c>
      <c r="B619" t="s">
        <v>1331</v>
      </c>
      <c r="C619" t="s">
        <v>706</v>
      </c>
      <c r="D619" t="s">
        <v>1332</v>
      </c>
      <c r="E619" t="s">
        <v>1331</v>
      </c>
      <c r="G619" t="s">
        <v>1329</v>
      </c>
      <c r="H619" t="s">
        <v>709</v>
      </c>
      <c r="I619" t="s">
        <v>717</v>
      </c>
    </row>
    <row r="620" spans="1:9" x14ac:dyDescent="0.25">
      <c r="A620" s="128" t="s">
        <v>1333</v>
      </c>
      <c r="B620" t="s">
        <v>1334</v>
      </c>
      <c r="C620" t="s">
        <v>706</v>
      </c>
      <c r="D620" t="s">
        <v>1335</v>
      </c>
      <c r="E620" t="s">
        <v>1334</v>
      </c>
      <c r="G620" t="s">
        <v>1329</v>
      </c>
      <c r="H620" t="s">
        <v>709</v>
      </c>
      <c r="I620" t="s">
        <v>717</v>
      </c>
    </row>
    <row r="621" spans="1:9" x14ac:dyDescent="0.25">
      <c r="A621" s="128" t="s">
        <v>1336</v>
      </c>
      <c r="B621" t="s">
        <v>1337</v>
      </c>
      <c r="C621" t="s">
        <v>706</v>
      </c>
      <c r="D621" t="s">
        <v>1337</v>
      </c>
      <c r="E621" t="s">
        <v>1338</v>
      </c>
      <c r="F621" t="s">
        <v>1339</v>
      </c>
      <c r="G621" t="s">
        <v>1340</v>
      </c>
      <c r="H621" t="s">
        <v>722</v>
      </c>
      <c r="I621" t="s">
        <v>717</v>
      </c>
    </row>
    <row r="622" spans="1:9" x14ac:dyDescent="0.25">
      <c r="A622" s="128" t="s">
        <v>1341</v>
      </c>
      <c r="B622" t="s">
        <v>1342</v>
      </c>
      <c r="C622" t="s">
        <v>706</v>
      </c>
      <c r="D622" t="s">
        <v>1342</v>
      </c>
      <c r="E622" t="s">
        <v>1343</v>
      </c>
      <c r="F622" t="s">
        <v>1344</v>
      </c>
      <c r="G622" t="s">
        <v>1340</v>
      </c>
      <c r="H622" t="s">
        <v>722</v>
      </c>
      <c r="I622" t="s">
        <v>717</v>
      </c>
    </row>
    <row r="623" spans="1:9" x14ac:dyDescent="0.25">
      <c r="A623" s="128" t="s">
        <v>1345</v>
      </c>
      <c r="B623" t="s">
        <v>1346</v>
      </c>
      <c r="C623" t="s">
        <v>706</v>
      </c>
      <c r="D623" t="s">
        <v>1346</v>
      </c>
      <c r="E623" t="s">
        <v>1347</v>
      </c>
      <c r="F623" t="s">
        <v>1348</v>
      </c>
      <c r="G623" t="s">
        <v>1340</v>
      </c>
      <c r="H623" t="s">
        <v>722</v>
      </c>
      <c r="I623" t="s">
        <v>717</v>
      </c>
    </row>
    <row r="624" spans="1:9" x14ac:dyDescent="0.25">
      <c r="A624" s="128" t="s">
        <v>1349</v>
      </c>
      <c r="B624" t="s">
        <v>1350</v>
      </c>
      <c r="C624" t="s">
        <v>706</v>
      </c>
      <c r="D624" t="s">
        <v>1351</v>
      </c>
      <c r="E624" t="s">
        <v>1350</v>
      </c>
      <c r="F624" t="s">
        <v>1352</v>
      </c>
      <c r="G624" t="s">
        <v>1340</v>
      </c>
      <c r="H624" t="s">
        <v>722</v>
      </c>
      <c r="I624" t="s">
        <v>717</v>
      </c>
    </row>
    <row r="625" spans="1:9" x14ac:dyDescent="0.25">
      <c r="A625" s="128" t="s">
        <v>1353</v>
      </c>
      <c r="B625" t="s">
        <v>1354</v>
      </c>
      <c r="C625" t="s">
        <v>706</v>
      </c>
      <c r="D625" t="s">
        <v>1354</v>
      </c>
      <c r="E625" t="s">
        <v>1355</v>
      </c>
      <c r="F625" t="s">
        <v>1356</v>
      </c>
      <c r="G625" t="s">
        <v>1340</v>
      </c>
      <c r="H625" t="s">
        <v>722</v>
      </c>
      <c r="I625" t="s">
        <v>717</v>
      </c>
    </row>
    <row r="626" spans="1:9" x14ac:dyDescent="0.25">
      <c r="A626" s="128" t="s">
        <v>1357</v>
      </c>
      <c r="B626" t="s">
        <v>1358</v>
      </c>
      <c r="C626" t="s">
        <v>750</v>
      </c>
      <c r="D626" t="s">
        <v>1358</v>
      </c>
      <c r="G626" t="s">
        <v>1329</v>
      </c>
      <c r="H626" t="s">
        <v>722</v>
      </c>
      <c r="I626" t="s">
        <v>463</v>
      </c>
    </row>
    <row r="627" spans="1:9" x14ac:dyDescent="0.25">
      <c r="A627" s="128" t="s">
        <v>1359</v>
      </c>
      <c r="B627" t="s">
        <v>1360</v>
      </c>
      <c r="C627" t="s">
        <v>750</v>
      </c>
      <c r="D627" t="s">
        <v>1360</v>
      </c>
      <c r="G627" t="s">
        <v>1329</v>
      </c>
      <c r="H627" t="s">
        <v>722</v>
      </c>
      <c r="I627" t="s">
        <v>463</v>
      </c>
    </row>
    <row r="628" spans="1:9" x14ac:dyDescent="0.25">
      <c r="A628" s="128" t="s">
        <v>1361</v>
      </c>
      <c r="B628" t="s">
        <v>2092</v>
      </c>
      <c r="C628" t="s">
        <v>706</v>
      </c>
      <c r="D628" t="s">
        <v>1362</v>
      </c>
      <c r="E628" t="s">
        <v>2092</v>
      </c>
      <c r="F628" t="s">
        <v>1363</v>
      </c>
      <c r="G628" t="s">
        <v>1364</v>
      </c>
      <c r="H628" t="s">
        <v>722</v>
      </c>
      <c r="I628" t="s">
        <v>717</v>
      </c>
    </row>
    <row r="629" spans="1:9" x14ac:dyDescent="0.25">
      <c r="A629" s="128" t="s">
        <v>413</v>
      </c>
      <c r="B629" t="s">
        <v>1365</v>
      </c>
      <c r="C629" t="s">
        <v>750</v>
      </c>
      <c r="D629" t="s">
        <v>1365</v>
      </c>
      <c r="H629" t="s">
        <v>1366</v>
      </c>
      <c r="I629" t="s">
        <v>463</v>
      </c>
    </row>
    <row r="630" spans="1:9" x14ac:dyDescent="0.25">
      <c r="A630" s="128" t="s">
        <v>414</v>
      </c>
      <c r="B630" t="s">
        <v>1367</v>
      </c>
      <c r="C630" t="s">
        <v>750</v>
      </c>
      <c r="D630" t="s">
        <v>1367</v>
      </c>
      <c r="H630" t="s">
        <v>1366</v>
      </c>
      <c r="I630" t="s">
        <v>463</v>
      </c>
    </row>
    <row r="631" spans="1:9" x14ac:dyDescent="0.25">
      <c r="A631" s="128" t="s">
        <v>440</v>
      </c>
      <c r="B631" t="s">
        <v>1368</v>
      </c>
      <c r="C631" t="s">
        <v>750</v>
      </c>
      <c r="D631" t="s">
        <v>1368</v>
      </c>
      <c r="H631" t="s">
        <v>1369</v>
      </c>
      <c r="I631" t="s">
        <v>463</v>
      </c>
    </row>
    <row r="632" spans="1:9" x14ac:dyDescent="0.25">
      <c r="A632" s="128" t="s">
        <v>384</v>
      </c>
      <c r="B632" t="s">
        <v>1370</v>
      </c>
      <c r="C632" t="s">
        <v>750</v>
      </c>
      <c r="D632" t="s">
        <v>1370</v>
      </c>
      <c r="H632" t="s">
        <v>1369</v>
      </c>
      <c r="I632" t="s">
        <v>463</v>
      </c>
    </row>
    <row r="633" spans="1:9" x14ac:dyDescent="0.25">
      <c r="A633" s="128" t="s">
        <v>1371</v>
      </c>
      <c r="B633" t="s">
        <v>2093</v>
      </c>
      <c r="C633" t="s">
        <v>706</v>
      </c>
      <c r="D633" t="s">
        <v>1372</v>
      </c>
      <c r="E633" t="s">
        <v>2093</v>
      </c>
      <c r="G633" t="s">
        <v>1373</v>
      </c>
      <c r="H633" t="s">
        <v>722</v>
      </c>
      <c r="I633" t="s">
        <v>717</v>
      </c>
    </row>
    <row r="634" spans="1:9" x14ac:dyDescent="0.25">
      <c r="A634" s="128" t="s">
        <v>1374</v>
      </c>
      <c r="B634" t="s">
        <v>1375</v>
      </c>
      <c r="C634" t="s">
        <v>706</v>
      </c>
      <c r="D634" t="s">
        <v>1376</v>
      </c>
      <c r="E634" t="s">
        <v>1375</v>
      </c>
      <c r="F634" t="s">
        <v>1377</v>
      </c>
      <c r="G634" t="s">
        <v>1340</v>
      </c>
      <c r="H634" t="s">
        <v>722</v>
      </c>
      <c r="I634" t="s">
        <v>717</v>
      </c>
    </row>
    <row r="635" spans="1:9" x14ac:dyDescent="0.25">
      <c r="A635" s="128" t="s">
        <v>1378</v>
      </c>
      <c r="B635" t="s">
        <v>1379</v>
      </c>
      <c r="C635" t="s">
        <v>706</v>
      </c>
      <c r="D635" t="s">
        <v>1380</v>
      </c>
      <c r="E635" t="s">
        <v>1379</v>
      </c>
      <c r="F635" t="s">
        <v>1381</v>
      </c>
      <c r="G635" t="s">
        <v>1340</v>
      </c>
      <c r="H635" t="s">
        <v>722</v>
      </c>
      <c r="I635" t="s">
        <v>717</v>
      </c>
    </row>
    <row r="636" spans="1:9" x14ac:dyDescent="0.25">
      <c r="A636" s="128" t="s">
        <v>1382</v>
      </c>
      <c r="B636" t="s">
        <v>1383</v>
      </c>
      <c r="C636" t="s">
        <v>750</v>
      </c>
      <c r="D636" t="s">
        <v>1383</v>
      </c>
      <c r="F636" t="s">
        <v>1384</v>
      </c>
      <c r="G636" t="s">
        <v>1340</v>
      </c>
      <c r="H636" t="s">
        <v>722</v>
      </c>
      <c r="I636" t="s">
        <v>463</v>
      </c>
    </row>
    <row r="637" spans="1:9" x14ac:dyDescent="0.25">
      <c r="A637" s="128" t="s">
        <v>1385</v>
      </c>
      <c r="B637" t="s">
        <v>1386</v>
      </c>
      <c r="C637" t="s">
        <v>706</v>
      </c>
      <c r="D637" t="s">
        <v>1387</v>
      </c>
      <c r="E637" t="s">
        <v>1386</v>
      </c>
      <c r="F637" t="s">
        <v>1388</v>
      </c>
      <c r="G637" t="s">
        <v>1389</v>
      </c>
      <c r="H637" t="s">
        <v>722</v>
      </c>
      <c r="I637" t="s">
        <v>463</v>
      </c>
    </row>
    <row r="638" spans="1:9" x14ac:dyDescent="0.25">
      <c r="A638" s="128" t="s">
        <v>1390</v>
      </c>
      <c r="B638" t="s">
        <v>1391</v>
      </c>
      <c r="C638" t="s">
        <v>706</v>
      </c>
      <c r="D638" t="s">
        <v>1392</v>
      </c>
      <c r="E638" t="s">
        <v>1391</v>
      </c>
      <c r="F638" t="s">
        <v>1393</v>
      </c>
      <c r="H638" t="s">
        <v>722</v>
      </c>
      <c r="I638" t="s">
        <v>463</v>
      </c>
    </row>
    <row r="639" spans="1:9" x14ac:dyDescent="0.25">
      <c r="A639" s="128" t="s">
        <v>1394</v>
      </c>
      <c r="B639" t="s">
        <v>1395</v>
      </c>
      <c r="C639" t="s">
        <v>706</v>
      </c>
      <c r="D639" t="s">
        <v>1396</v>
      </c>
      <c r="E639" t="s">
        <v>1395</v>
      </c>
      <c r="F639" t="s">
        <v>1397</v>
      </c>
      <c r="H639" t="s">
        <v>713</v>
      </c>
      <c r="I639" t="s">
        <v>463</v>
      </c>
    </row>
    <row r="640" spans="1:9" x14ac:dyDescent="0.25">
      <c r="A640" s="128" t="s">
        <v>428</v>
      </c>
      <c r="B640" t="s">
        <v>2094</v>
      </c>
      <c r="C640" t="s">
        <v>706</v>
      </c>
      <c r="D640" t="s">
        <v>1398</v>
      </c>
      <c r="E640" t="s">
        <v>2094</v>
      </c>
      <c r="H640" t="s">
        <v>722</v>
      </c>
      <c r="I640" t="s">
        <v>717</v>
      </c>
    </row>
    <row r="641" spans="1:9" x14ac:dyDescent="0.25">
      <c r="A641" s="128" t="s">
        <v>1399</v>
      </c>
      <c r="B641" t="s">
        <v>1400</v>
      </c>
      <c r="C641" t="s">
        <v>706</v>
      </c>
      <c r="D641" t="s">
        <v>1401</v>
      </c>
      <c r="E641" t="s">
        <v>1400</v>
      </c>
      <c r="F641" t="s">
        <v>1402</v>
      </c>
      <c r="G641" t="s">
        <v>1403</v>
      </c>
      <c r="H641" t="s">
        <v>722</v>
      </c>
      <c r="I641" t="s">
        <v>463</v>
      </c>
    </row>
    <row r="642" spans="1:9" x14ac:dyDescent="0.25">
      <c r="A642" s="128" t="s">
        <v>1404</v>
      </c>
      <c r="B642" t="s">
        <v>2095</v>
      </c>
      <c r="C642" t="s">
        <v>706</v>
      </c>
      <c r="D642" t="s">
        <v>1405</v>
      </c>
      <c r="E642" t="s">
        <v>2095</v>
      </c>
      <c r="H642" t="s">
        <v>722</v>
      </c>
      <c r="I642" t="s">
        <v>717</v>
      </c>
    </row>
    <row r="643" spans="1:9" x14ac:dyDescent="0.25">
      <c r="A643" s="128" t="s">
        <v>1406</v>
      </c>
      <c r="B643" t="s">
        <v>2096</v>
      </c>
      <c r="C643" t="s">
        <v>706</v>
      </c>
      <c r="D643" t="s">
        <v>1407</v>
      </c>
      <c r="E643" t="s">
        <v>2096</v>
      </c>
      <c r="G643" t="s">
        <v>1329</v>
      </c>
      <c r="H643" t="s">
        <v>713</v>
      </c>
      <c r="I643" t="s">
        <v>717</v>
      </c>
    </row>
    <row r="644" spans="1:9" x14ac:dyDescent="0.25">
      <c r="A644" s="128" t="s">
        <v>1408</v>
      </c>
      <c r="B644" t="s">
        <v>2097</v>
      </c>
      <c r="C644" t="s">
        <v>706</v>
      </c>
      <c r="D644" t="s">
        <v>1409</v>
      </c>
      <c r="E644" t="s">
        <v>2097</v>
      </c>
      <c r="G644" t="s">
        <v>1329</v>
      </c>
      <c r="H644" t="s">
        <v>713</v>
      </c>
      <c r="I644" t="s">
        <v>717</v>
      </c>
    </row>
    <row r="645" spans="1:9" x14ac:dyDescent="0.25">
      <c r="A645" s="128" t="s">
        <v>1410</v>
      </c>
      <c r="B645" t="s">
        <v>1411</v>
      </c>
      <c r="C645" t="s">
        <v>750</v>
      </c>
      <c r="D645" t="s">
        <v>1411</v>
      </c>
      <c r="I645" t="s">
        <v>463</v>
      </c>
    </row>
    <row r="646" spans="1:9" x14ac:dyDescent="0.25">
      <c r="A646" s="128" t="s">
        <v>1412</v>
      </c>
      <c r="B646" t="s">
        <v>1413</v>
      </c>
      <c r="C646" t="s">
        <v>706</v>
      </c>
      <c r="D646" t="s">
        <v>1413</v>
      </c>
      <c r="E646" t="s">
        <v>1414</v>
      </c>
      <c r="F646" t="s">
        <v>1415</v>
      </c>
      <c r="G646" t="s">
        <v>1340</v>
      </c>
      <c r="H646" t="s">
        <v>713</v>
      </c>
      <c r="I646" t="s">
        <v>717</v>
      </c>
    </row>
    <row r="647" spans="1:9" x14ac:dyDescent="0.25">
      <c r="A647" s="128" t="s">
        <v>1416</v>
      </c>
      <c r="B647" t="s">
        <v>1417</v>
      </c>
      <c r="C647" t="s">
        <v>706</v>
      </c>
      <c r="D647" t="s">
        <v>1418</v>
      </c>
      <c r="E647" t="s">
        <v>1417</v>
      </c>
      <c r="F647" t="s">
        <v>1419</v>
      </c>
      <c r="G647" t="s">
        <v>1340</v>
      </c>
      <c r="H647" t="s">
        <v>713</v>
      </c>
      <c r="I647" t="s">
        <v>717</v>
      </c>
    </row>
    <row r="648" spans="1:9" x14ac:dyDescent="0.25">
      <c r="A648" s="128" t="s">
        <v>1420</v>
      </c>
      <c r="B648" t="s">
        <v>1421</v>
      </c>
      <c r="C648" t="s">
        <v>706</v>
      </c>
      <c r="D648" t="s">
        <v>1422</v>
      </c>
      <c r="E648" t="s">
        <v>1421</v>
      </c>
      <c r="F648" t="s">
        <v>1423</v>
      </c>
      <c r="G648" t="s">
        <v>1340</v>
      </c>
      <c r="H648" t="s">
        <v>713</v>
      </c>
      <c r="I648" t="s">
        <v>463</v>
      </c>
    </row>
    <row r="649" spans="1:9" x14ac:dyDescent="0.25">
      <c r="A649" s="128" t="s">
        <v>1424</v>
      </c>
      <c r="B649" t="s">
        <v>1425</v>
      </c>
      <c r="C649" t="s">
        <v>750</v>
      </c>
      <c r="D649" t="s">
        <v>1425</v>
      </c>
      <c r="H649" t="s">
        <v>713</v>
      </c>
      <c r="I649" t="s">
        <v>463</v>
      </c>
    </row>
    <row r="650" spans="1:9" x14ac:dyDescent="0.25">
      <c r="A650" s="128" t="s">
        <v>1426</v>
      </c>
      <c r="B650" t="s">
        <v>1427</v>
      </c>
      <c r="C650" t="s">
        <v>706</v>
      </c>
      <c r="D650" t="s">
        <v>1427</v>
      </c>
      <c r="E650" t="s">
        <v>1428</v>
      </c>
      <c r="F650" t="s">
        <v>1429</v>
      </c>
      <c r="G650" t="s">
        <v>1340</v>
      </c>
      <c r="H650" t="s">
        <v>713</v>
      </c>
      <c r="I650" t="s">
        <v>717</v>
      </c>
    </row>
    <row r="651" spans="1:9" x14ac:dyDescent="0.25">
      <c r="A651" s="128" t="s">
        <v>1430</v>
      </c>
      <c r="B651" t="s">
        <v>1431</v>
      </c>
      <c r="C651" t="s">
        <v>750</v>
      </c>
      <c r="D651" t="s">
        <v>1431</v>
      </c>
      <c r="G651" t="s">
        <v>1329</v>
      </c>
      <c r="H651" t="s">
        <v>956</v>
      </c>
      <c r="I651" t="s">
        <v>463</v>
      </c>
    </row>
    <row r="652" spans="1:9" x14ac:dyDescent="0.25">
      <c r="A652" s="128" t="s">
        <v>1432</v>
      </c>
      <c r="B652" t="s">
        <v>1433</v>
      </c>
      <c r="C652" t="s">
        <v>750</v>
      </c>
      <c r="D652" t="s">
        <v>1433</v>
      </c>
      <c r="G652" t="s">
        <v>1329</v>
      </c>
      <c r="H652" t="s">
        <v>956</v>
      </c>
      <c r="I652" t="s">
        <v>463</v>
      </c>
    </row>
    <row r="653" spans="1:9" x14ac:dyDescent="0.25">
      <c r="A653" s="128" t="s">
        <v>1434</v>
      </c>
      <c r="B653" t="s">
        <v>1435</v>
      </c>
      <c r="C653" t="s">
        <v>706</v>
      </c>
      <c r="D653" t="s">
        <v>1436</v>
      </c>
      <c r="E653" t="s">
        <v>1435</v>
      </c>
      <c r="F653" t="s">
        <v>1437</v>
      </c>
      <c r="G653" t="s">
        <v>1340</v>
      </c>
      <c r="H653" t="s">
        <v>956</v>
      </c>
      <c r="I653" t="s">
        <v>463</v>
      </c>
    </row>
    <row r="654" spans="1:9" x14ac:dyDescent="0.25">
      <c r="A654" s="128" t="s">
        <v>1438</v>
      </c>
      <c r="B654" t="s">
        <v>1439</v>
      </c>
      <c r="C654" t="s">
        <v>706</v>
      </c>
      <c r="D654" t="s">
        <v>1431</v>
      </c>
      <c r="E654" t="s">
        <v>1439</v>
      </c>
      <c r="G654" t="s">
        <v>1329</v>
      </c>
      <c r="H654" t="s">
        <v>1440</v>
      </c>
      <c r="I654" t="s">
        <v>463</v>
      </c>
    </row>
    <row r="655" spans="1:9" x14ac:dyDescent="0.25">
      <c r="A655" s="128" t="s">
        <v>1441</v>
      </c>
      <c r="B655" t="s">
        <v>1442</v>
      </c>
      <c r="C655" t="s">
        <v>706</v>
      </c>
      <c r="D655" t="s">
        <v>1433</v>
      </c>
      <c r="E655" t="s">
        <v>1442</v>
      </c>
      <c r="G655" t="s">
        <v>1329</v>
      </c>
      <c r="H655" t="s">
        <v>1440</v>
      </c>
      <c r="I655" t="s">
        <v>463</v>
      </c>
    </row>
    <row r="656" spans="1:9" x14ac:dyDescent="0.25">
      <c r="A656" s="128" t="s">
        <v>1443</v>
      </c>
      <c r="B656" t="s">
        <v>1444</v>
      </c>
      <c r="C656" t="s">
        <v>706</v>
      </c>
      <c r="D656" t="s">
        <v>1444</v>
      </c>
      <c r="E656" t="s">
        <v>1445</v>
      </c>
      <c r="G656" t="s">
        <v>1329</v>
      </c>
      <c r="H656" t="s">
        <v>1440</v>
      </c>
      <c r="I656" t="s">
        <v>717</v>
      </c>
    </row>
    <row r="657" spans="1:9" x14ac:dyDescent="0.25">
      <c r="A657" s="128" t="s">
        <v>1446</v>
      </c>
      <c r="B657" t="s">
        <v>1447</v>
      </c>
      <c r="C657" t="s">
        <v>706</v>
      </c>
      <c r="D657" t="s">
        <v>1447</v>
      </c>
      <c r="E657" t="s">
        <v>1448</v>
      </c>
      <c r="G657" t="s">
        <v>1449</v>
      </c>
      <c r="H657" t="s">
        <v>1440</v>
      </c>
      <c r="I657" t="s">
        <v>717</v>
      </c>
    </row>
    <row r="658" spans="1:9" x14ac:dyDescent="0.25">
      <c r="A658" s="128" t="s">
        <v>435</v>
      </c>
      <c r="B658" t="s">
        <v>1450</v>
      </c>
      <c r="C658" t="s">
        <v>750</v>
      </c>
      <c r="D658" t="s">
        <v>1450</v>
      </c>
      <c r="H658" t="s">
        <v>842</v>
      </c>
      <c r="I658" t="s">
        <v>463</v>
      </c>
    </row>
    <row r="659" spans="1:9" x14ac:dyDescent="0.25">
      <c r="A659" s="128" t="s">
        <v>1451</v>
      </c>
      <c r="B659" t="s">
        <v>1452</v>
      </c>
      <c r="C659" t="s">
        <v>750</v>
      </c>
      <c r="D659" t="s">
        <v>1452</v>
      </c>
      <c r="H659" t="s">
        <v>842</v>
      </c>
      <c r="I659" t="s">
        <v>463</v>
      </c>
    </row>
    <row r="660" spans="1:9" x14ac:dyDescent="0.25">
      <c r="A660" s="128" t="s">
        <v>1453</v>
      </c>
      <c r="B660" t="s">
        <v>1454</v>
      </c>
      <c r="C660" t="s">
        <v>750</v>
      </c>
      <c r="D660" t="s">
        <v>1454</v>
      </c>
      <c r="H660" t="s">
        <v>842</v>
      </c>
      <c r="I660" t="s">
        <v>463</v>
      </c>
    </row>
    <row r="661" spans="1:9" x14ac:dyDescent="0.25">
      <c r="A661" s="128" t="s">
        <v>1455</v>
      </c>
      <c r="B661" t="s">
        <v>1456</v>
      </c>
      <c r="C661" t="s">
        <v>706</v>
      </c>
      <c r="D661" t="s">
        <v>1457</v>
      </c>
      <c r="E661" t="s">
        <v>1456</v>
      </c>
      <c r="G661" t="s">
        <v>1458</v>
      </c>
      <c r="H661" t="s">
        <v>1440</v>
      </c>
      <c r="I661" t="s">
        <v>717</v>
      </c>
    </row>
    <row r="662" spans="1:9" x14ac:dyDescent="0.25">
      <c r="A662" s="128" t="s">
        <v>1459</v>
      </c>
      <c r="B662" t="s">
        <v>1460</v>
      </c>
      <c r="C662" t="s">
        <v>706</v>
      </c>
      <c r="D662" t="s">
        <v>1461</v>
      </c>
      <c r="E662" t="s">
        <v>1460</v>
      </c>
      <c r="G662" t="s">
        <v>1458</v>
      </c>
      <c r="H662" t="s">
        <v>709</v>
      </c>
      <c r="I662" t="s">
        <v>717</v>
      </c>
    </row>
    <row r="663" spans="1:9" x14ac:dyDescent="0.25">
      <c r="A663" s="128" t="s">
        <v>1462</v>
      </c>
      <c r="B663" t="s">
        <v>1463</v>
      </c>
      <c r="C663" t="s">
        <v>706</v>
      </c>
      <c r="D663" t="s">
        <v>1464</v>
      </c>
      <c r="E663" t="s">
        <v>1463</v>
      </c>
      <c r="G663" t="s">
        <v>1458</v>
      </c>
      <c r="I663" t="s">
        <v>717</v>
      </c>
    </row>
    <row r="664" spans="1:9" x14ac:dyDescent="0.25">
      <c r="A664" s="128" t="s">
        <v>1465</v>
      </c>
      <c r="B664" t="s">
        <v>1466</v>
      </c>
      <c r="C664" t="s">
        <v>750</v>
      </c>
      <c r="D664" t="s">
        <v>1466</v>
      </c>
      <c r="F664" t="s">
        <v>1467</v>
      </c>
      <c r="G664" t="s">
        <v>1340</v>
      </c>
      <c r="H664" t="s">
        <v>1468</v>
      </c>
      <c r="I664" t="s">
        <v>463</v>
      </c>
    </row>
    <row r="665" spans="1:9" x14ac:dyDescent="0.25">
      <c r="A665" s="128" t="s">
        <v>1469</v>
      </c>
      <c r="B665" t="s">
        <v>1470</v>
      </c>
      <c r="C665" t="s">
        <v>706</v>
      </c>
      <c r="D665" t="s">
        <v>1471</v>
      </c>
      <c r="E665" t="s">
        <v>1470</v>
      </c>
      <c r="G665" t="s">
        <v>1329</v>
      </c>
      <c r="H665" t="s">
        <v>1440</v>
      </c>
      <c r="I665" t="s">
        <v>717</v>
      </c>
    </row>
    <row r="666" spans="1:9" x14ac:dyDescent="0.25">
      <c r="A666" s="128" t="s">
        <v>1472</v>
      </c>
      <c r="B666" t="s">
        <v>1473</v>
      </c>
      <c r="C666" t="s">
        <v>706</v>
      </c>
      <c r="D666" t="s">
        <v>1474</v>
      </c>
      <c r="E666" t="s">
        <v>1473</v>
      </c>
      <c r="G666" t="s">
        <v>1475</v>
      </c>
      <c r="H666" t="s">
        <v>1476</v>
      </c>
      <c r="I666" t="s">
        <v>463</v>
      </c>
    </row>
    <row r="667" spans="1:9" x14ac:dyDescent="0.25">
      <c r="A667" s="128" t="s">
        <v>1477</v>
      </c>
      <c r="B667" t="s">
        <v>1478</v>
      </c>
      <c r="C667" t="s">
        <v>750</v>
      </c>
      <c r="D667" t="s">
        <v>1478</v>
      </c>
      <c r="H667" t="s">
        <v>1110</v>
      </c>
      <c r="I667" t="s">
        <v>463</v>
      </c>
    </row>
    <row r="668" spans="1:9" x14ac:dyDescent="0.25">
      <c r="A668" s="128" t="s">
        <v>1479</v>
      </c>
      <c r="B668" t="s">
        <v>1480</v>
      </c>
      <c r="C668" t="s">
        <v>706</v>
      </c>
      <c r="D668" t="s">
        <v>1481</v>
      </c>
      <c r="E668" t="s">
        <v>1480</v>
      </c>
      <c r="H668" t="s">
        <v>1110</v>
      </c>
      <c r="I668" t="s">
        <v>463</v>
      </c>
    </row>
    <row r="669" spans="1:9" x14ac:dyDescent="0.25">
      <c r="A669" s="128" t="s">
        <v>374</v>
      </c>
      <c r="B669" t="s">
        <v>1482</v>
      </c>
      <c r="C669" t="s">
        <v>750</v>
      </c>
      <c r="D669" t="s">
        <v>1482</v>
      </c>
      <c r="G669" t="s">
        <v>17</v>
      </c>
      <c r="H669" t="s">
        <v>1483</v>
      </c>
      <c r="I669" t="s">
        <v>463</v>
      </c>
    </row>
    <row r="670" spans="1:9" x14ac:dyDescent="0.25">
      <c r="A670" s="128" t="s">
        <v>1484</v>
      </c>
      <c r="B670" t="s">
        <v>2175</v>
      </c>
      <c r="C670" t="s">
        <v>462</v>
      </c>
      <c r="E670" t="s">
        <v>2175</v>
      </c>
      <c r="I670" t="s">
        <v>463</v>
      </c>
    </row>
    <row r="671" spans="1:9" x14ac:dyDescent="0.25">
      <c r="A671" s="128" t="s">
        <v>370</v>
      </c>
      <c r="B671" t="s">
        <v>1485</v>
      </c>
      <c r="C671" t="s">
        <v>706</v>
      </c>
      <c r="D671" t="s">
        <v>1486</v>
      </c>
      <c r="E671" t="s">
        <v>1485</v>
      </c>
      <c r="G671" t="s">
        <v>17</v>
      </c>
      <c r="H671" t="s">
        <v>1487</v>
      </c>
      <c r="I671" t="s">
        <v>717</v>
      </c>
    </row>
    <row r="672" spans="1:9" x14ac:dyDescent="0.25">
      <c r="A672" s="128" t="s">
        <v>371</v>
      </c>
      <c r="B672" t="s">
        <v>1488</v>
      </c>
      <c r="C672" t="s">
        <v>706</v>
      </c>
      <c r="D672" t="s">
        <v>1489</v>
      </c>
      <c r="E672" t="s">
        <v>1488</v>
      </c>
      <c r="G672" t="s">
        <v>17</v>
      </c>
      <c r="H672" t="s">
        <v>1487</v>
      </c>
      <c r="I672" t="s">
        <v>717</v>
      </c>
    </row>
    <row r="673" spans="1:9" x14ac:dyDescent="0.25">
      <c r="A673" s="128" t="s">
        <v>1490</v>
      </c>
      <c r="B673" t="s">
        <v>2098</v>
      </c>
      <c r="C673" t="s">
        <v>706</v>
      </c>
      <c r="D673" t="s">
        <v>1491</v>
      </c>
      <c r="E673" t="s">
        <v>2098</v>
      </c>
      <c r="G673" t="s">
        <v>1492</v>
      </c>
      <c r="H673" t="s">
        <v>709</v>
      </c>
      <c r="I673" t="s">
        <v>717</v>
      </c>
    </row>
    <row r="674" spans="1:9" x14ac:dyDescent="0.25">
      <c r="A674" s="128" t="s">
        <v>1493</v>
      </c>
      <c r="B674" t="s">
        <v>1494</v>
      </c>
      <c r="C674" t="s">
        <v>750</v>
      </c>
      <c r="D674" t="s">
        <v>1494</v>
      </c>
      <c r="G674" t="s">
        <v>1492</v>
      </c>
      <c r="H674" t="s">
        <v>709</v>
      </c>
      <c r="I674" t="s">
        <v>463</v>
      </c>
    </row>
    <row r="675" spans="1:9" x14ac:dyDescent="0.25">
      <c r="A675" s="128" t="s">
        <v>416</v>
      </c>
      <c r="B675" t="s">
        <v>1495</v>
      </c>
      <c r="C675" t="s">
        <v>750</v>
      </c>
      <c r="D675" t="s">
        <v>1495</v>
      </c>
      <c r="H675" t="s">
        <v>709</v>
      </c>
      <c r="I675" t="s">
        <v>463</v>
      </c>
    </row>
    <row r="676" spans="1:9" x14ac:dyDescent="0.25">
      <c r="A676" s="128" t="s">
        <v>423</v>
      </c>
      <c r="B676" t="s">
        <v>1496</v>
      </c>
      <c r="C676" t="s">
        <v>706</v>
      </c>
      <c r="D676" t="s">
        <v>1497</v>
      </c>
      <c r="E676" t="s">
        <v>1496</v>
      </c>
      <c r="G676" t="s">
        <v>1498</v>
      </c>
      <c r="H676" t="s">
        <v>709</v>
      </c>
      <c r="I676" t="s">
        <v>717</v>
      </c>
    </row>
    <row r="677" spans="1:9" x14ac:dyDescent="0.25">
      <c r="A677" s="128" t="s">
        <v>424</v>
      </c>
      <c r="B677" t="s">
        <v>1499</v>
      </c>
      <c r="C677" t="s">
        <v>706</v>
      </c>
      <c r="D677" t="s">
        <v>1500</v>
      </c>
      <c r="E677" t="s">
        <v>1499</v>
      </c>
      <c r="G677" t="s">
        <v>1498</v>
      </c>
      <c r="H677" t="s">
        <v>713</v>
      </c>
      <c r="I677" t="s">
        <v>717</v>
      </c>
    </row>
    <row r="678" spans="1:9" x14ac:dyDescent="0.25">
      <c r="A678" s="128" t="s">
        <v>1501</v>
      </c>
      <c r="B678" t="s">
        <v>1502</v>
      </c>
      <c r="C678" t="s">
        <v>750</v>
      </c>
      <c r="D678" t="s">
        <v>1502</v>
      </c>
      <c r="G678" t="s">
        <v>1503</v>
      </c>
      <c r="H678" t="s">
        <v>709</v>
      </c>
      <c r="I678" t="s">
        <v>463</v>
      </c>
    </row>
    <row r="679" spans="1:9" x14ac:dyDescent="0.25">
      <c r="A679" s="128" t="s">
        <v>1504</v>
      </c>
      <c r="B679" t="s">
        <v>1505</v>
      </c>
      <c r="C679" t="s">
        <v>706</v>
      </c>
      <c r="D679" t="s">
        <v>1506</v>
      </c>
      <c r="E679" t="s">
        <v>1505</v>
      </c>
      <c r="F679" t="s">
        <v>1507</v>
      </c>
      <c r="G679" t="s">
        <v>1508</v>
      </c>
      <c r="H679" t="s">
        <v>709</v>
      </c>
      <c r="I679" t="s">
        <v>717</v>
      </c>
    </row>
    <row r="680" spans="1:9" x14ac:dyDescent="0.25">
      <c r="A680" s="128" t="s">
        <v>1509</v>
      </c>
      <c r="B680" t="s">
        <v>1510</v>
      </c>
      <c r="C680" t="s">
        <v>706</v>
      </c>
      <c r="D680" t="s">
        <v>1511</v>
      </c>
      <c r="E680" t="s">
        <v>1510</v>
      </c>
      <c r="G680" t="s">
        <v>1492</v>
      </c>
      <c r="H680" t="s">
        <v>709</v>
      </c>
      <c r="I680" t="s">
        <v>463</v>
      </c>
    </row>
    <row r="681" spans="1:9" x14ac:dyDescent="0.25">
      <c r="A681" s="128" t="s">
        <v>1512</v>
      </c>
      <c r="B681" t="s">
        <v>1513</v>
      </c>
      <c r="C681" t="s">
        <v>750</v>
      </c>
      <c r="D681" t="s">
        <v>1513</v>
      </c>
      <c r="G681" t="s">
        <v>1514</v>
      </c>
      <c r="H681" t="s">
        <v>709</v>
      </c>
      <c r="I681" t="s">
        <v>463</v>
      </c>
    </row>
    <row r="682" spans="1:9" x14ac:dyDescent="0.25">
      <c r="A682" s="128" t="s">
        <v>1515</v>
      </c>
      <c r="B682" t="s">
        <v>1516</v>
      </c>
      <c r="C682" t="s">
        <v>706</v>
      </c>
      <c r="D682" t="s">
        <v>1517</v>
      </c>
      <c r="E682" t="s">
        <v>1516</v>
      </c>
      <c r="G682" t="s">
        <v>1492</v>
      </c>
      <c r="H682" t="s">
        <v>709</v>
      </c>
      <c r="I682" t="s">
        <v>463</v>
      </c>
    </row>
    <row r="683" spans="1:9" x14ac:dyDescent="0.25">
      <c r="A683" s="128" t="s">
        <v>1518</v>
      </c>
      <c r="B683" t="s">
        <v>1519</v>
      </c>
      <c r="C683" t="s">
        <v>706</v>
      </c>
      <c r="D683" t="s">
        <v>1519</v>
      </c>
      <c r="E683" t="s">
        <v>1520</v>
      </c>
      <c r="G683" t="s">
        <v>1521</v>
      </c>
      <c r="H683" t="s">
        <v>709</v>
      </c>
      <c r="I683" t="s">
        <v>717</v>
      </c>
    </row>
    <row r="684" spans="1:9" x14ac:dyDescent="0.25">
      <c r="A684" s="128" t="s">
        <v>1522</v>
      </c>
      <c r="B684" t="s">
        <v>1523</v>
      </c>
      <c r="C684" t="s">
        <v>706</v>
      </c>
      <c r="D684" t="s">
        <v>1524</v>
      </c>
      <c r="E684" t="s">
        <v>1523</v>
      </c>
      <c r="G684" t="s">
        <v>1525</v>
      </c>
      <c r="H684" t="s">
        <v>709</v>
      </c>
      <c r="I684" t="s">
        <v>463</v>
      </c>
    </row>
    <row r="685" spans="1:9" x14ac:dyDescent="0.25">
      <c r="A685" s="128" t="s">
        <v>1526</v>
      </c>
      <c r="B685" t="s">
        <v>2264</v>
      </c>
      <c r="C685" t="s">
        <v>706</v>
      </c>
      <c r="D685" t="s">
        <v>1527</v>
      </c>
      <c r="E685" t="s">
        <v>2264</v>
      </c>
      <c r="F685">
        <v>51</v>
      </c>
      <c r="G685" t="s">
        <v>785</v>
      </c>
      <c r="H685" t="s">
        <v>709</v>
      </c>
      <c r="I685" t="s">
        <v>717</v>
      </c>
    </row>
    <row r="686" spans="1:9" x14ac:dyDescent="0.25">
      <c r="A686" s="128" t="s">
        <v>1528</v>
      </c>
      <c r="B686" t="s">
        <v>2265</v>
      </c>
      <c r="C686" t="s">
        <v>706</v>
      </c>
      <c r="D686" t="s">
        <v>1529</v>
      </c>
      <c r="E686" t="s">
        <v>2265</v>
      </c>
      <c r="G686" t="s">
        <v>1492</v>
      </c>
      <c r="H686" t="s">
        <v>709</v>
      </c>
      <c r="I686" t="s">
        <v>717</v>
      </c>
    </row>
    <row r="687" spans="1:9" x14ac:dyDescent="0.25">
      <c r="A687" s="128" t="s">
        <v>1530</v>
      </c>
      <c r="B687" t="s">
        <v>1531</v>
      </c>
      <c r="C687" t="s">
        <v>706</v>
      </c>
      <c r="D687" t="s">
        <v>1532</v>
      </c>
      <c r="E687" t="s">
        <v>1531</v>
      </c>
      <c r="G687" t="s">
        <v>1533</v>
      </c>
      <c r="H687" t="s">
        <v>709</v>
      </c>
      <c r="I687" t="s">
        <v>463</v>
      </c>
    </row>
    <row r="688" spans="1:9" x14ac:dyDescent="0.25">
      <c r="A688" s="128" t="s">
        <v>1534</v>
      </c>
      <c r="B688" t="s">
        <v>1535</v>
      </c>
      <c r="C688" t="s">
        <v>706</v>
      </c>
      <c r="D688" t="s">
        <v>1536</v>
      </c>
      <c r="E688" t="s">
        <v>1535</v>
      </c>
      <c r="G688" t="s">
        <v>1537</v>
      </c>
      <c r="H688" t="s">
        <v>709</v>
      </c>
      <c r="I688" t="s">
        <v>463</v>
      </c>
    </row>
    <row r="689" spans="1:9" x14ac:dyDescent="0.25">
      <c r="A689" s="128" t="s">
        <v>1538</v>
      </c>
      <c r="B689" t="s">
        <v>1539</v>
      </c>
      <c r="C689" t="s">
        <v>706</v>
      </c>
      <c r="D689" t="s">
        <v>1540</v>
      </c>
      <c r="E689" t="s">
        <v>1539</v>
      </c>
      <c r="G689" t="s">
        <v>1492</v>
      </c>
      <c r="H689" t="s">
        <v>709</v>
      </c>
      <c r="I689" t="s">
        <v>463</v>
      </c>
    </row>
    <row r="690" spans="1:9" x14ac:dyDescent="0.25">
      <c r="A690" s="128" t="s">
        <v>1541</v>
      </c>
      <c r="B690" t="s">
        <v>2099</v>
      </c>
      <c r="C690" t="s">
        <v>706</v>
      </c>
      <c r="D690" t="s">
        <v>1542</v>
      </c>
      <c r="E690" t="s">
        <v>2099</v>
      </c>
      <c r="G690" t="s">
        <v>1543</v>
      </c>
      <c r="H690" t="s">
        <v>709</v>
      </c>
      <c r="I690" t="s">
        <v>717</v>
      </c>
    </row>
    <row r="691" spans="1:9" x14ac:dyDescent="0.25">
      <c r="A691" s="128" t="s">
        <v>1544</v>
      </c>
      <c r="B691" t="s">
        <v>1545</v>
      </c>
      <c r="C691" t="s">
        <v>706</v>
      </c>
      <c r="D691" t="s">
        <v>1546</v>
      </c>
      <c r="E691" t="s">
        <v>1545</v>
      </c>
      <c r="F691" t="s">
        <v>1547</v>
      </c>
      <c r="G691" t="s">
        <v>1548</v>
      </c>
      <c r="H691" t="s">
        <v>722</v>
      </c>
      <c r="I691" t="s">
        <v>717</v>
      </c>
    </row>
    <row r="692" spans="1:9" x14ac:dyDescent="0.25">
      <c r="A692" s="128" t="s">
        <v>1549</v>
      </c>
      <c r="B692" t="s">
        <v>1550</v>
      </c>
      <c r="C692" t="s">
        <v>750</v>
      </c>
      <c r="D692" t="s">
        <v>1550</v>
      </c>
      <c r="F692" t="s">
        <v>1551</v>
      </c>
      <c r="H692" t="s">
        <v>722</v>
      </c>
      <c r="I692" t="s">
        <v>463</v>
      </c>
    </row>
    <row r="693" spans="1:9" x14ac:dyDescent="0.25">
      <c r="A693" s="128" t="s">
        <v>396</v>
      </c>
      <c r="B693" t="s">
        <v>1552</v>
      </c>
      <c r="C693" t="s">
        <v>750</v>
      </c>
      <c r="D693" t="s">
        <v>1552</v>
      </c>
      <c r="H693" t="s">
        <v>722</v>
      </c>
      <c r="I693" t="s">
        <v>463</v>
      </c>
    </row>
    <row r="694" spans="1:9" x14ac:dyDescent="0.25">
      <c r="A694" s="128" t="s">
        <v>1553</v>
      </c>
      <c r="B694" t="s">
        <v>1554</v>
      </c>
      <c r="C694" t="s">
        <v>750</v>
      </c>
      <c r="D694" t="s">
        <v>1554</v>
      </c>
      <c r="H694" t="s">
        <v>1366</v>
      </c>
      <c r="I694" t="s">
        <v>463</v>
      </c>
    </row>
    <row r="695" spans="1:9" x14ac:dyDescent="0.25">
      <c r="A695" s="128" t="s">
        <v>1555</v>
      </c>
      <c r="B695" t="s">
        <v>1556</v>
      </c>
      <c r="C695" t="s">
        <v>750</v>
      </c>
      <c r="D695" t="s">
        <v>1556</v>
      </c>
      <c r="G695" t="s">
        <v>8</v>
      </c>
      <c r="H695" t="s">
        <v>722</v>
      </c>
      <c r="I695" t="s">
        <v>463</v>
      </c>
    </row>
    <row r="696" spans="1:9" x14ac:dyDescent="0.25">
      <c r="A696" s="128" t="s">
        <v>1557</v>
      </c>
      <c r="B696" t="s">
        <v>1558</v>
      </c>
      <c r="C696" t="s">
        <v>750</v>
      </c>
      <c r="D696" t="s">
        <v>1558</v>
      </c>
      <c r="F696" t="s">
        <v>1559</v>
      </c>
      <c r="H696" t="s">
        <v>722</v>
      </c>
      <c r="I696" t="s">
        <v>463</v>
      </c>
    </row>
    <row r="697" spans="1:9" x14ac:dyDescent="0.25">
      <c r="A697" s="128" t="s">
        <v>389</v>
      </c>
      <c r="B697" t="s">
        <v>1560</v>
      </c>
      <c r="C697" t="s">
        <v>750</v>
      </c>
      <c r="D697" t="s">
        <v>1560</v>
      </c>
      <c r="H697" t="s">
        <v>722</v>
      </c>
      <c r="I697" t="s">
        <v>463</v>
      </c>
    </row>
    <row r="698" spans="1:9" x14ac:dyDescent="0.25">
      <c r="A698" s="128" t="s">
        <v>1561</v>
      </c>
      <c r="B698" t="s">
        <v>1506</v>
      </c>
      <c r="C698" t="s">
        <v>750</v>
      </c>
      <c r="D698" t="s">
        <v>1506</v>
      </c>
      <c r="H698" t="s">
        <v>722</v>
      </c>
      <c r="I698" t="s">
        <v>463</v>
      </c>
    </row>
    <row r="699" spans="1:9" x14ac:dyDescent="0.25">
      <c r="A699" s="128" t="s">
        <v>1562</v>
      </c>
      <c r="B699" t="s">
        <v>1563</v>
      </c>
      <c r="C699" t="s">
        <v>750</v>
      </c>
      <c r="D699" t="s">
        <v>1563</v>
      </c>
      <c r="H699" t="s">
        <v>722</v>
      </c>
      <c r="I699" t="s">
        <v>463</v>
      </c>
    </row>
    <row r="700" spans="1:9" x14ac:dyDescent="0.25">
      <c r="A700" s="128" t="s">
        <v>390</v>
      </c>
      <c r="B700" t="s">
        <v>1564</v>
      </c>
      <c r="C700" t="s">
        <v>750</v>
      </c>
      <c r="D700" t="s">
        <v>1564</v>
      </c>
      <c r="H700" t="s">
        <v>722</v>
      </c>
      <c r="I700" t="s">
        <v>463</v>
      </c>
    </row>
    <row r="701" spans="1:9" x14ac:dyDescent="0.25">
      <c r="A701" s="128" t="s">
        <v>1565</v>
      </c>
      <c r="B701" t="s">
        <v>1566</v>
      </c>
      <c r="C701" t="s">
        <v>750</v>
      </c>
      <c r="D701" t="s">
        <v>1566</v>
      </c>
      <c r="H701" t="s">
        <v>722</v>
      </c>
      <c r="I701" t="s">
        <v>463</v>
      </c>
    </row>
    <row r="702" spans="1:9" x14ac:dyDescent="0.25">
      <c r="A702" s="128" t="s">
        <v>1567</v>
      </c>
      <c r="B702" t="s">
        <v>1568</v>
      </c>
      <c r="C702" t="s">
        <v>750</v>
      </c>
      <c r="D702" t="s">
        <v>1568</v>
      </c>
      <c r="H702" t="s">
        <v>722</v>
      </c>
      <c r="I702" t="s">
        <v>463</v>
      </c>
    </row>
    <row r="703" spans="1:9" x14ac:dyDescent="0.25">
      <c r="A703" s="128" t="s">
        <v>1569</v>
      </c>
      <c r="B703" t="s">
        <v>1558</v>
      </c>
      <c r="C703" t="s">
        <v>750</v>
      </c>
      <c r="D703" t="s">
        <v>1558</v>
      </c>
      <c r="F703" t="s">
        <v>1570</v>
      </c>
      <c r="H703" t="s">
        <v>722</v>
      </c>
      <c r="I703" t="s">
        <v>463</v>
      </c>
    </row>
    <row r="704" spans="1:9" x14ac:dyDescent="0.25">
      <c r="A704" s="128" t="s">
        <v>1571</v>
      </c>
      <c r="B704" t="s">
        <v>1572</v>
      </c>
      <c r="C704" t="s">
        <v>750</v>
      </c>
      <c r="D704" t="s">
        <v>1572</v>
      </c>
      <c r="H704" t="s">
        <v>722</v>
      </c>
      <c r="I704" t="s">
        <v>463</v>
      </c>
    </row>
    <row r="705" spans="1:9" x14ac:dyDescent="0.25">
      <c r="A705" s="128" t="s">
        <v>1573</v>
      </c>
      <c r="B705" t="s">
        <v>1574</v>
      </c>
      <c r="C705" t="s">
        <v>750</v>
      </c>
      <c r="D705" t="s">
        <v>1574</v>
      </c>
      <c r="H705" t="s">
        <v>722</v>
      </c>
      <c r="I705" t="s">
        <v>463</v>
      </c>
    </row>
    <row r="706" spans="1:9" x14ac:dyDescent="0.25">
      <c r="A706" s="128" t="s">
        <v>1575</v>
      </c>
      <c r="B706" t="s">
        <v>1576</v>
      </c>
      <c r="C706" t="s">
        <v>750</v>
      </c>
      <c r="D706" t="s">
        <v>1576</v>
      </c>
      <c r="G706" t="s">
        <v>1577</v>
      </c>
      <c r="H706" t="s">
        <v>722</v>
      </c>
      <c r="I706" t="s">
        <v>463</v>
      </c>
    </row>
    <row r="707" spans="1:9" x14ac:dyDescent="0.25">
      <c r="A707" s="128" t="s">
        <v>1578</v>
      </c>
      <c r="B707" t="s">
        <v>1579</v>
      </c>
      <c r="C707" t="s">
        <v>750</v>
      </c>
      <c r="D707" t="s">
        <v>1579</v>
      </c>
      <c r="G707" t="s">
        <v>1580</v>
      </c>
      <c r="H707" t="s">
        <v>722</v>
      </c>
      <c r="I707" t="s">
        <v>463</v>
      </c>
    </row>
    <row r="708" spans="1:9" x14ac:dyDescent="0.25">
      <c r="A708" s="128" t="s">
        <v>1581</v>
      </c>
      <c r="B708" t="s">
        <v>1558</v>
      </c>
      <c r="C708" t="s">
        <v>750</v>
      </c>
      <c r="D708" t="s">
        <v>1558</v>
      </c>
      <c r="F708" t="s">
        <v>1582</v>
      </c>
      <c r="H708" t="s">
        <v>722</v>
      </c>
      <c r="I708" t="s">
        <v>463</v>
      </c>
    </row>
    <row r="709" spans="1:9" x14ac:dyDescent="0.25">
      <c r="A709" s="128" t="s">
        <v>1583</v>
      </c>
      <c r="B709" t="s">
        <v>1584</v>
      </c>
      <c r="C709" t="s">
        <v>750</v>
      </c>
      <c r="D709" t="s">
        <v>1584</v>
      </c>
      <c r="H709" t="s">
        <v>722</v>
      </c>
      <c r="I709" t="s">
        <v>463</v>
      </c>
    </row>
    <row r="710" spans="1:9" x14ac:dyDescent="0.25">
      <c r="A710" s="128" t="s">
        <v>1585</v>
      </c>
      <c r="B710" t="s">
        <v>1586</v>
      </c>
      <c r="C710" t="s">
        <v>750</v>
      </c>
      <c r="D710" t="s">
        <v>1586</v>
      </c>
      <c r="G710" t="s">
        <v>1587</v>
      </c>
      <c r="H710" t="s">
        <v>713</v>
      </c>
      <c r="I710" t="s">
        <v>463</v>
      </c>
    </row>
    <row r="711" spans="1:9" x14ac:dyDescent="0.25">
      <c r="A711" s="128" t="s">
        <v>378</v>
      </c>
      <c r="B711" t="s">
        <v>2176</v>
      </c>
      <c r="C711" t="s">
        <v>706</v>
      </c>
      <c r="D711" t="s">
        <v>1588</v>
      </c>
      <c r="E711" t="s">
        <v>2176</v>
      </c>
      <c r="G711" t="s">
        <v>1587</v>
      </c>
      <c r="H711" t="s">
        <v>713</v>
      </c>
      <c r="I711" t="s">
        <v>717</v>
      </c>
    </row>
    <row r="712" spans="1:9" x14ac:dyDescent="0.25">
      <c r="A712" s="128" t="s">
        <v>1589</v>
      </c>
      <c r="B712" t="s">
        <v>1590</v>
      </c>
      <c r="C712" t="s">
        <v>750</v>
      </c>
      <c r="D712" t="s">
        <v>1590</v>
      </c>
      <c r="H712" t="s">
        <v>722</v>
      </c>
      <c r="I712" t="s">
        <v>463</v>
      </c>
    </row>
    <row r="713" spans="1:9" x14ac:dyDescent="0.25">
      <c r="A713" s="128" t="s">
        <v>1591</v>
      </c>
      <c r="B713" t="s">
        <v>2266</v>
      </c>
      <c r="C713" t="s">
        <v>706</v>
      </c>
      <c r="D713" t="s">
        <v>1592</v>
      </c>
      <c r="E713" t="s">
        <v>2266</v>
      </c>
      <c r="H713" t="s">
        <v>722</v>
      </c>
      <c r="I713" t="s">
        <v>717</v>
      </c>
    </row>
    <row r="714" spans="1:9" x14ac:dyDescent="0.25">
      <c r="A714" s="128" t="s">
        <v>1593</v>
      </c>
      <c r="B714" t="s">
        <v>2267</v>
      </c>
      <c r="C714" t="s">
        <v>706</v>
      </c>
      <c r="D714" t="s">
        <v>1594</v>
      </c>
      <c r="E714" t="s">
        <v>2267</v>
      </c>
      <c r="G714" t="s">
        <v>1587</v>
      </c>
      <c r="H714" t="s">
        <v>709</v>
      </c>
      <c r="I714" t="s">
        <v>717</v>
      </c>
    </row>
    <row r="715" spans="1:9" x14ac:dyDescent="0.25">
      <c r="A715" s="128" t="s">
        <v>1595</v>
      </c>
      <c r="B715" t="s">
        <v>1596</v>
      </c>
      <c r="C715" t="s">
        <v>706</v>
      </c>
      <c r="D715" t="s">
        <v>1597</v>
      </c>
      <c r="E715" t="s">
        <v>1596</v>
      </c>
      <c r="G715" t="s">
        <v>1587</v>
      </c>
      <c r="H715" t="s">
        <v>709</v>
      </c>
      <c r="I715" t="s">
        <v>463</v>
      </c>
    </row>
    <row r="716" spans="1:9" x14ac:dyDescent="0.25">
      <c r="A716" s="128" t="s">
        <v>1598</v>
      </c>
      <c r="B716" t="s">
        <v>1599</v>
      </c>
      <c r="C716" t="s">
        <v>706</v>
      </c>
      <c r="D716" t="s">
        <v>1600</v>
      </c>
      <c r="E716" t="s">
        <v>1599</v>
      </c>
      <c r="G716" t="s">
        <v>1587</v>
      </c>
      <c r="H716" t="s">
        <v>709</v>
      </c>
      <c r="I716" t="s">
        <v>463</v>
      </c>
    </row>
    <row r="717" spans="1:9" x14ac:dyDescent="0.25">
      <c r="A717" s="128" t="s">
        <v>1601</v>
      </c>
      <c r="B717" t="s">
        <v>1602</v>
      </c>
      <c r="C717" t="s">
        <v>706</v>
      </c>
      <c r="D717" t="s">
        <v>1603</v>
      </c>
      <c r="E717" t="s">
        <v>1602</v>
      </c>
      <c r="G717" t="s">
        <v>1587</v>
      </c>
      <c r="H717" t="s">
        <v>709</v>
      </c>
      <c r="I717" t="s">
        <v>463</v>
      </c>
    </row>
    <row r="718" spans="1:9" x14ac:dyDescent="0.25">
      <c r="A718" s="128" t="s">
        <v>1604</v>
      </c>
      <c r="B718" t="s">
        <v>1605</v>
      </c>
      <c r="C718" t="s">
        <v>706</v>
      </c>
      <c r="D718" t="s">
        <v>1606</v>
      </c>
      <c r="E718" t="s">
        <v>1605</v>
      </c>
      <c r="H718" t="s">
        <v>709</v>
      </c>
      <c r="I718" t="s">
        <v>463</v>
      </c>
    </row>
    <row r="719" spans="1:9" x14ac:dyDescent="0.25">
      <c r="A719" s="128" t="s">
        <v>1607</v>
      </c>
      <c r="B719" t="s">
        <v>1608</v>
      </c>
      <c r="C719" t="s">
        <v>706</v>
      </c>
      <c r="D719" t="s">
        <v>1546</v>
      </c>
      <c r="E719" t="s">
        <v>1608</v>
      </c>
      <c r="F719" t="s">
        <v>1609</v>
      </c>
      <c r="G719" t="s">
        <v>1548</v>
      </c>
      <c r="H719" t="s">
        <v>713</v>
      </c>
      <c r="I719" t="s">
        <v>717</v>
      </c>
    </row>
    <row r="720" spans="1:9" x14ac:dyDescent="0.25">
      <c r="A720" s="128" t="s">
        <v>1610</v>
      </c>
      <c r="B720" t="s">
        <v>1611</v>
      </c>
      <c r="C720" t="s">
        <v>750</v>
      </c>
      <c r="D720" t="s">
        <v>1611</v>
      </c>
      <c r="H720" t="s">
        <v>713</v>
      </c>
      <c r="I720" t="s">
        <v>463</v>
      </c>
    </row>
    <row r="721" spans="1:9" x14ac:dyDescent="0.25">
      <c r="A721" s="128" t="s">
        <v>1612</v>
      </c>
      <c r="B721" t="s">
        <v>1613</v>
      </c>
      <c r="C721" t="s">
        <v>706</v>
      </c>
      <c r="D721" t="s">
        <v>1614</v>
      </c>
      <c r="E721" t="s">
        <v>1613</v>
      </c>
      <c r="F721" t="s">
        <v>10</v>
      </c>
      <c r="H721" t="s">
        <v>713</v>
      </c>
      <c r="I721" t="s">
        <v>717</v>
      </c>
    </row>
    <row r="722" spans="1:9" x14ac:dyDescent="0.25">
      <c r="A722" s="128" t="s">
        <v>399</v>
      </c>
      <c r="B722" t="s">
        <v>1615</v>
      </c>
      <c r="C722" t="s">
        <v>750</v>
      </c>
      <c r="D722" t="s">
        <v>1615</v>
      </c>
      <c r="G722" t="s">
        <v>1587</v>
      </c>
      <c r="H722" t="s">
        <v>956</v>
      </c>
      <c r="I722" t="s">
        <v>463</v>
      </c>
    </row>
    <row r="723" spans="1:9" x14ac:dyDescent="0.25">
      <c r="A723" s="128" t="s">
        <v>412</v>
      </c>
      <c r="B723" t="s">
        <v>1616</v>
      </c>
      <c r="C723" t="s">
        <v>750</v>
      </c>
      <c r="D723" t="s">
        <v>1616</v>
      </c>
      <c r="G723" t="s">
        <v>1587</v>
      </c>
      <c r="H723" t="s">
        <v>956</v>
      </c>
      <c r="I723" t="s">
        <v>463</v>
      </c>
    </row>
    <row r="724" spans="1:9" x14ac:dyDescent="0.25">
      <c r="A724" s="128" t="s">
        <v>1617</v>
      </c>
      <c r="B724" t="s">
        <v>1618</v>
      </c>
      <c r="C724" t="s">
        <v>750</v>
      </c>
      <c r="D724" t="s">
        <v>1618</v>
      </c>
      <c r="G724" t="s">
        <v>1587</v>
      </c>
      <c r="H724" t="s">
        <v>956</v>
      </c>
      <c r="I724" t="s">
        <v>463</v>
      </c>
    </row>
    <row r="725" spans="1:9" x14ac:dyDescent="0.25">
      <c r="A725" s="128" t="s">
        <v>1619</v>
      </c>
      <c r="B725" t="s">
        <v>1620</v>
      </c>
      <c r="C725" t="s">
        <v>706</v>
      </c>
      <c r="D725" t="s">
        <v>1620</v>
      </c>
      <c r="E725" t="s">
        <v>1621</v>
      </c>
      <c r="F725" t="s">
        <v>1622</v>
      </c>
      <c r="G725" t="s">
        <v>1623</v>
      </c>
      <c r="H725" t="s">
        <v>713</v>
      </c>
      <c r="I725" t="s">
        <v>717</v>
      </c>
    </row>
    <row r="726" spans="1:9" x14ac:dyDescent="0.25">
      <c r="A726" s="128" t="s">
        <v>1624</v>
      </c>
      <c r="B726" t="s">
        <v>1625</v>
      </c>
      <c r="C726" t="s">
        <v>462</v>
      </c>
      <c r="E726" t="s">
        <v>1625</v>
      </c>
      <c r="I726" t="s">
        <v>463</v>
      </c>
    </row>
    <row r="727" spans="1:9" x14ac:dyDescent="0.25">
      <c r="A727" s="128" t="s">
        <v>1626</v>
      </c>
      <c r="B727" t="s">
        <v>1627</v>
      </c>
      <c r="C727" t="s">
        <v>706</v>
      </c>
      <c r="D727" t="s">
        <v>1628</v>
      </c>
      <c r="E727" t="s">
        <v>1627</v>
      </c>
      <c r="G727" t="s">
        <v>1587</v>
      </c>
      <c r="H727" t="s">
        <v>956</v>
      </c>
      <c r="I727" t="s">
        <v>717</v>
      </c>
    </row>
    <row r="728" spans="1:9" x14ac:dyDescent="0.25">
      <c r="A728" s="128" t="s">
        <v>1629</v>
      </c>
      <c r="B728" t="s">
        <v>1630</v>
      </c>
      <c r="C728" t="s">
        <v>706</v>
      </c>
      <c r="D728" t="s">
        <v>1558</v>
      </c>
      <c r="E728" t="s">
        <v>1630</v>
      </c>
      <c r="F728" t="s">
        <v>1631</v>
      </c>
      <c r="G728" t="s">
        <v>1632</v>
      </c>
      <c r="H728" t="s">
        <v>713</v>
      </c>
      <c r="I728" t="s">
        <v>717</v>
      </c>
    </row>
    <row r="729" spans="1:9" x14ac:dyDescent="0.25">
      <c r="A729" s="128" t="s">
        <v>1633</v>
      </c>
      <c r="B729" t="s">
        <v>1634</v>
      </c>
      <c r="C729" t="s">
        <v>706</v>
      </c>
      <c r="D729" t="s">
        <v>1635</v>
      </c>
      <c r="E729" t="s">
        <v>1634</v>
      </c>
      <c r="F729" t="s">
        <v>1636</v>
      </c>
      <c r="G729" t="s">
        <v>1632</v>
      </c>
      <c r="H729" t="s">
        <v>713</v>
      </c>
      <c r="I729" t="s">
        <v>717</v>
      </c>
    </row>
    <row r="730" spans="1:9" x14ac:dyDescent="0.25">
      <c r="A730" s="128" t="s">
        <v>441</v>
      </c>
      <c r="B730" t="s">
        <v>1637</v>
      </c>
      <c r="C730" t="s">
        <v>706</v>
      </c>
      <c r="D730" t="s">
        <v>1638</v>
      </c>
      <c r="E730" t="s">
        <v>1637</v>
      </c>
      <c r="F730" t="s">
        <v>1639</v>
      </c>
      <c r="H730" t="s">
        <v>713</v>
      </c>
      <c r="I730" t="s">
        <v>717</v>
      </c>
    </row>
    <row r="731" spans="1:9" x14ac:dyDescent="0.25">
      <c r="A731" s="128" t="s">
        <v>1640</v>
      </c>
      <c r="B731" t="s">
        <v>1641</v>
      </c>
      <c r="C731" t="s">
        <v>706</v>
      </c>
      <c r="D731" t="s">
        <v>1642</v>
      </c>
      <c r="E731" t="s">
        <v>1641</v>
      </c>
      <c r="F731" t="s">
        <v>1587</v>
      </c>
      <c r="H731" t="s">
        <v>713</v>
      </c>
      <c r="I731" t="s">
        <v>463</v>
      </c>
    </row>
    <row r="732" spans="1:9" x14ac:dyDescent="0.25">
      <c r="A732" s="128" t="s">
        <v>1643</v>
      </c>
      <c r="B732" t="s">
        <v>1644</v>
      </c>
      <c r="C732" t="s">
        <v>706</v>
      </c>
      <c r="D732" t="s">
        <v>1558</v>
      </c>
      <c r="E732" t="s">
        <v>1644</v>
      </c>
      <c r="F732" t="s">
        <v>1645</v>
      </c>
      <c r="G732" t="s">
        <v>1632</v>
      </c>
      <c r="H732" t="s">
        <v>713</v>
      </c>
      <c r="I732" t="s">
        <v>717</v>
      </c>
    </row>
    <row r="733" spans="1:9" x14ac:dyDescent="0.25">
      <c r="A733" s="128" t="s">
        <v>1646</v>
      </c>
      <c r="B733" t="s">
        <v>1647</v>
      </c>
      <c r="C733" t="s">
        <v>706</v>
      </c>
      <c r="D733" t="s">
        <v>1558</v>
      </c>
      <c r="E733" t="s">
        <v>1647</v>
      </c>
      <c r="F733" t="s">
        <v>1648</v>
      </c>
      <c r="G733" t="s">
        <v>1632</v>
      </c>
      <c r="H733" t="s">
        <v>1468</v>
      </c>
      <c r="I733" t="s">
        <v>717</v>
      </c>
    </row>
    <row r="734" spans="1:9" x14ac:dyDescent="0.25">
      <c r="A734" s="128" t="s">
        <v>1649</v>
      </c>
      <c r="B734" t="s">
        <v>1650</v>
      </c>
      <c r="C734" t="s">
        <v>750</v>
      </c>
      <c r="D734" t="s">
        <v>1650</v>
      </c>
      <c r="G734" t="s">
        <v>1587</v>
      </c>
      <c r="H734" t="s">
        <v>1468</v>
      </c>
      <c r="I734" t="s">
        <v>463</v>
      </c>
    </row>
    <row r="735" spans="1:9" x14ac:dyDescent="0.25">
      <c r="A735" s="128" t="s">
        <v>392</v>
      </c>
      <c r="B735" t="s">
        <v>1651</v>
      </c>
      <c r="C735" t="s">
        <v>706</v>
      </c>
      <c r="D735" t="s">
        <v>1652</v>
      </c>
      <c r="E735" t="s">
        <v>1651</v>
      </c>
      <c r="G735" t="s">
        <v>1653</v>
      </c>
      <c r="H735" t="s">
        <v>1310</v>
      </c>
      <c r="I735" t="s">
        <v>717</v>
      </c>
    </row>
    <row r="736" spans="1:9" x14ac:dyDescent="0.25">
      <c r="A736" s="128" t="s">
        <v>393</v>
      </c>
      <c r="B736" t="s">
        <v>1654</v>
      </c>
      <c r="C736" t="s">
        <v>706</v>
      </c>
      <c r="D736" t="s">
        <v>1655</v>
      </c>
      <c r="E736" t="s">
        <v>1654</v>
      </c>
      <c r="G736" t="s">
        <v>1653</v>
      </c>
      <c r="H736" t="s">
        <v>1656</v>
      </c>
      <c r="I736" t="s">
        <v>717</v>
      </c>
    </row>
    <row r="737" spans="1:9" x14ac:dyDescent="0.25">
      <c r="A737" s="128" t="s">
        <v>1657</v>
      </c>
      <c r="B737" t="s">
        <v>1658</v>
      </c>
      <c r="C737" t="s">
        <v>706</v>
      </c>
      <c r="D737" t="s">
        <v>1659</v>
      </c>
      <c r="E737" t="s">
        <v>1658</v>
      </c>
      <c r="G737" t="s">
        <v>1660</v>
      </c>
      <c r="H737" t="s">
        <v>709</v>
      </c>
      <c r="I737" t="s">
        <v>463</v>
      </c>
    </row>
    <row r="738" spans="1:9" x14ac:dyDescent="0.25">
      <c r="A738" s="128" t="s">
        <v>1661</v>
      </c>
      <c r="B738" t="s">
        <v>1662</v>
      </c>
      <c r="C738" t="s">
        <v>750</v>
      </c>
      <c r="D738" t="s">
        <v>1662</v>
      </c>
      <c r="F738" t="s">
        <v>1663</v>
      </c>
      <c r="H738" t="s">
        <v>722</v>
      </c>
      <c r="I738" t="s">
        <v>463</v>
      </c>
    </row>
    <row r="739" spans="1:9" x14ac:dyDescent="0.25">
      <c r="A739" s="128" t="s">
        <v>1664</v>
      </c>
      <c r="B739" t="s">
        <v>1665</v>
      </c>
      <c r="C739" t="s">
        <v>706</v>
      </c>
      <c r="D739" t="s">
        <v>1666</v>
      </c>
      <c r="E739" t="s">
        <v>1665</v>
      </c>
      <c r="G739" t="s">
        <v>973</v>
      </c>
      <c r="H739" t="s">
        <v>1667</v>
      </c>
      <c r="I739" t="s">
        <v>717</v>
      </c>
    </row>
    <row r="740" spans="1:9" x14ac:dyDescent="0.25">
      <c r="A740" s="128" t="s">
        <v>1668</v>
      </c>
      <c r="B740" t="s">
        <v>1669</v>
      </c>
      <c r="C740" t="s">
        <v>706</v>
      </c>
      <c r="D740" t="s">
        <v>1670</v>
      </c>
      <c r="E740" t="s">
        <v>1669</v>
      </c>
      <c r="G740" t="s">
        <v>973</v>
      </c>
      <c r="H740" t="s">
        <v>1671</v>
      </c>
      <c r="I740" t="s">
        <v>717</v>
      </c>
    </row>
    <row r="741" spans="1:9" x14ac:dyDescent="0.25">
      <c r="A741" s="128" t="s">
        <v>1672</v>
      </c>
      <c r="B741" t="s">
        <v>1673</v>
      </c>
      <c r="C741" t="s">
        <v>462</v>
      </c>
      <c r="E741" t="s">
        <v>1673</v>
      </c>
      <c r="I741" t="s">
        <v>463</v>
      </c>
    </row>
    <row r="742" spans="1:9" x14ac:dyDescent="0.25">
      <c r="A742" s="128" t="s">
        <v>1674</v>
      </c>
      <c r="B742" t="s">
        <v>1675</v>
      </c>
      <c r="C742" t="s">
        <v>462</v>
      </c>
      <c r="E742" t="s">
        <v>1675</v>
      </c>
      <c r="I742" t="s">
        <v>463</v>
      </c>
    </row>
    <row r="743" spans="1:9" x14ac:dyDescent="0.25">
      <c r="A743" s="128" t="s">
        <v>1676</v>
      </c>
      <c r="B743" t="s">
        <v>1677</v>
      </c>
      <c r="C743" t="s">
        <v>462</v>
      </c>
      <c r="E743" t="s">
        <v>1677</v>
      </c>
      <c r="I743" t="s">
        <v>463</v>
      </c>
    </row>
    <row r="744" spans="1:9" x14ac:dyDescent="0.25">
      <c r="A744" s="128" t="s">
        <v>1678</v>
      </c>
      <c r="B744" t="s">
        <v>2177</v>
      </c>
      <c r="C744" t="s">
        <v>462</v>
      </c>
      <c r="E744" t="s">
        <v>2177</v>
      </c>
      <c r="I744" t="s">
        <v>463</v>
      </c>
    </row>
    <row r="745" spans="1:9" x14ac:dyDescent="0.25">
      <c r="A745" s="128" t="s">
        <v>1679</v>
      </c>
      <c r="B745" t="s">
        <v>1680</v>
      </c>
      <c r="C745" t="s">
        <v>706</v>
      </c>
      <c r="D745" t="s">
        <v>1681</v>
      </c>
      <c r="E745" t="s">
        <v>1680</v>
      </c>
      <c r="G745" t="s">
        <v>344</v>
      </c>
      <c r="H745" t="s">
        <v>758</v>
      </c>
      <c r="I745" t="s">
        <v>717</v>
      </c>
    </row>
    <row r="746" spans="1:9" x14ac:dyDescent="0.25">
      <c r="A746" s="128" t="s">
        <v>1682</v>
      </c>
      <c r="B746" t="s">
        <v>1683</v>
      </c>
      <c r="C746" t="s">
        <v>462</v>
      </c>
      <c r="E746" t="s">
        <v>1683</v>
      </c>
      <c r="I746" t="s">
        <v>463</v>
      </c>
    </row>
    <row r="747" spans="1:9" x14ac:dyDescent="0.25">
      <c r="A747" s="128" t="s">
        <v>1684</v>
      </c>
      <c r="B747" t="s">
        <v>1685</v>
      </c>
      <c r="C747" t="s">
        <v>462</v>
      </c>
      <c r="E747" t="s">
        <v>1685</v>
      </c>
      <c r="I747" t="s">
        <v>463</v>
      </c>
    </row>
    <row r="748" spans="1:9" x14ac:dyDescent="0.25">
      <c r="A748" s="128" t="s">
        <v>1686</v>
      </c>
      <c r="B748" t="s">
        <v>1687</v>
      </c>
      <c r="C748" t="s">
        <v>706</v>
      </c>
      <c r="D748" t="s">
        <v>1688</v>
      </c>
      <c r="E748" t="s">
        <v>1687</v>
      </c>
      <c r="G748" t="s">
        <v>785</v>
      </c>
      <c r="H748" t="s">
        <v>709</v>
      </c>
      <c r="I748" t="s">
        <v>463</v>
      </c>
    </row>
    <row r="749" spans="1:9" x14ac:dyDescent="0.25">
      <c r="A749" s="128" t="s">
        <v>1689</v>
      </c>
      <c r="B749" t="s">
        <v>1690</v>
      </c>
      <c r="C749" t="s">
        <v>706</v>
      </c>
      <c r="D749" t="s">
        <v>1691</v>
      </c>
      <c r="E749" t="s">
        <v>1690</v>
      </c>
      <c r="G749" t="s">
        <v>785</v>
      </c>
      <c r="H749" t="s">
        <v>709</v>
      </c>
      <c r="I749" t="s">
        <v>463</v>
      </c>
    </row>
    <row r="750" spans="1:9" x14ac:dyDescent="0.25">
      <c r="A750" s="128" t="s">
        <v>1692</v>
      </c>
      <c r="B750" t="s">
        <v>1693</v>
      </c>
      <c r="C750" t="s">
        <v>706</v>
      </c>
      <c r="D750" t="s">
        <v>1694</v>
      </c>
      <c r="E750" t="s">
        <v>1693</v>
      </c>
      <c r="G750" t="s">
        <v>785</v>
      </c>
      <c r="H750" t="s">
        <v>709</v>
      </c>
      <c r="I750" t="s">
        <v>463</v>
      </c>
    </row>
    <row r="751" spans="1:9" x14ac:dyDescent="0.25">
      <c r="A751" s="128" t="s">
        <v>1695</v>
      </c>
      <c r="B751" t="s">
        <v>1696</v>
      </c>
      <c r="C751" t="s">
        <v>706</v>
      </c>
      <c r="D751" t="s">
        <v>1697</v>
      </c>
      <c r="E751" t="s">
        <v>1696</v>
      </c>
      <c r="G751" t="s">
        <v>785</v>
      </c>
      <c r="H751" t="s">
        <v>709</v>
      </c>
      <c r="I751" t="s">
        <v>463</v>
      </c>
    </row>
    <row r="752" spans="1:9" x14ac:dyDescent="0.25">
      <c r="A752" s="128" t="s">
        <v>1698</v>
      </c>
      <c r="B752" t="s">
        <v>1699</v>
      </c>
      <c r="C752" t="s">
        <v>706</v>
      </c>
      <c r="D752" t="s">
        <v>1700</v>
      </c>
      <c r="E752" t="s">
        <v>1699</v>
      </c>
      <c r="G752" t="s">
        <v>785</v>
      </c>
      <c r="H752" t="s">
        <v>709</v>
      </c>
      <c r="I752" t="s">
        <v>463</v>
      </c>
    </row>
    <row r="753" spans="1:9" x14ac:dyDescent="0.25">
      <c r="A753" s="128" t="s">
        <v>1701</v>
      </c>
      <c r="B753" t="s">
        <v>1702</v>
      </c>
      <c r="C753" t="s">
        <v>706</v>
      </c>
      <c r="D753" t="s">
        <v>1703</v>
      </c>
      <c r="E753" t="s">
        <v>1702</v>
      </c>
      <c r="G753" t="s">
        <v>785</v>
      </c>
      <c r="H753" t="s">
        <v>709</v>
      </c>
      <c r="I753" t="s">
        <v>463</v>
      </c>
    </row>
    <row r="754" spans="1:9" x14ac:dyDescent="0.25">
      <c r="A754" s="128" t="s">
        <v>1704</v>
      </c>
      <c r="B754" t="s">
        <v>1705</v>
      </c>
      <c r="C754" t="s">
        <v>706</v>
      </c>
      <c r="D754" t="s">
        <v>1706</v>
      </c>
      <c r="E754" t="s">
        <v>1705</v>
      </c>
      <c r="G754" t="s">
        <v>785</v>
      </c>
      <c r="H754" t="s">
        <v>709</v>
      </c>
      <c r="I754" t="s">
        <v>463</v>
      </c>
    </row>
    <row r="755" spans="1:9" x14ac:dyDescent="0.25">
      <c r="A755" s="128" t="s">
        <v>1707</v>
      </c>
      <c r="B755" t="s">
        <v>2100</v>
      </c>
      <c r="C755" t="s">
        <v>706</v>
      </c>
      <c r="D755" t="s">
        <v>1708</v>
      </c>
      <c r="E755" t="s">
        <v>2100</v>
      </c>
      <c r="G755" t="s">
        <v>785</v>
      </c>
      <c r="H755" t="s">
        <v>709</v>
      </c>
      <c r="I755" t="s">
        <v>717</v>
      </c>
    </row>
    <row r="756" spans="1:9" x14ac:dyDescent="0.25">
      <c r="A756" s="128" t="s">
        <v>1709</v>
      </c>
      <c r="B756" t="s">
        <v>2268</v>
      </c>
      <c r="C756" t="s">
        <v>706</v>
      </c>
      <c r="D756" t="s">
        <v>1710</v>
      </c>
      <c r="E756" t="s">
        <v>2268</v>
      </c>
      <c r="F756" t="s">
        <v>1711</v>
      </c>
      <c r="G756" t="s">
        <v>785</v>
      </c>
      <c r="H756" t="s">
        <v>709</v>
      </c>
      <c r="I756" t="s">
        <v>717</v>
      </c>
    </row>
    <row r="757" spans="1:9" x14ac:dyDescent="0.25">
      <c r="A757" s="128" t="s">
        <v>1712</v>
      </c>
      <c r="B757" t="s">
        <v>1713</v>
      </c>
      <c r="C757" t="s">
        <v>706</v>
      </c>
      <c r="D757" t="s">
        <v>1714</v>
      </c>
      <c r="E757" t="s">
        <v>1713</v>
      </c>
      <c r="F757" t="s">
        <v>1715</v>
      </c>
      <c r="G757" t="s">
        <v>785</v>
      </c>
      <c r="H757" t="s">
        <v>709</v>
      </c>
      <c r="I757" t="s">
        <v>463</v>
      </c>
    </row>
    <row r="758" spans="1:9" x14ac:dyDescent="0.25">
      <c r="A758" s="128" t="s">
        <v>1716</v>
      </c>
      <c r="B758" t="s">
        <v>1717</v>
      </c>
      <c r="C758" t="s">
        <v>706</v>
      </c>
      <c r="D758" t="s">
        <v>1718</v>
      </c>
      <c r="E758" t="s">
        <v>1717</v>
      </c>
      <c r="G758" t="s">
        <v>785</v>
      </c>
      <c r="H758" t="s">
        <v>709</v>
      </c>
      <c r="I758" t="s">
        <v>463</v>
      </c>
    </row>
    <row r="759" spans="1:9" x14ac:dyDescent="0.25">
      <c r="A759" s="128" t="s">
        <v>1719</v>
      </c>
      <c r="B759" t="s">
        <v>1720</v>
      </c>
      <c r="C759" t="s">
        <v>706</v>
      </c>
      <c r="D759" t="s">
        <v>1721</v>
      </c>
      <c r="E759" t="s">
        <v>1720</v>
      </c>
      <c r="G759" t="s">
        <v>785</v>
      </c>
      <c r="H759" t="s">
        <v>709</v>
      </c>
      <c r="I759" t="s">
        <v>463</v>
      </c>
    </row>
    <row r="760" spans="1:9" x14ac:dyDescent="0.25">
      <c r="A760" s="128" t="s">
        <v>1722</v>
      </c>
      <c r="B760" t="s">
        <v>1723</v>
      </c>
      <c r="C760" t="s">
        <v>706</v>
      </c>
      <c r="D760" t="s">
        <v>1724</v>
      </c>
      <c r="E760" t="s">
        <v>1723</v>
      </c>
      <c r="G760" t="s">
        <v>785</v>
      </c>
      <c r="H760" t="s">
        <v>709</v>
      </c>
      <c r="I760" t="s">
        <v>463</v>
      </c>
    </row>
    <row r="761" spans="1:9" x14ac:dyDescent="0.25">
      <c r="A761" s="128" t="s">
        <v>1725</v>
      </c>
      <c r="B761" t="s">
        <v>1726</v>
      </c>
      <c r="C761" t="s">
        <v>706</v>
      </c>
      <c r="D761" t="s">
        <v>1727</v>
      </c>
      <c r="E761" t="s">
        <v>1726</v>
      </c>
      <c r="G761" t="s">
        <v>785</v>
      </c>
      <c r="H761" t="s">
        <v>709</v>
      </c>
      <c r="I761" t="s">
        <v>463</v>
      </c>
    </row>
    <row r="762" spans="1:9" x14ac:dyDescent="0.25">
      <c r="A762" s="128" t="s">
        <v>1728</v>
      </c>
      <c r="B762" t="s">
        <v>1729</v>
      </c>
      <c r="C762" t="s">
        <v>706</v>
      </c>
      <c r="D762" t="s">
        <v>1730</v>
      </c>
      <c r="E762" t="s">
        <v>1729</v>
      </c>
      <c r="G762" t="s">
        <v>785</v>
      </c>
      <c r="H762" t="s">
        <v>709</v>
      </c>
      <c r="I762" t="s">
        <v>463</v>
      </c>
    </row>
    <row r="763" spans="1:9" x14ac:dyDescent="0.25">
      <c r="A763" s="128" t="s">
        <v>1731</v>
      </c>
      <c r="B763" t="s">
        <v>1732</v>
      </c>
      <c r="C763" t="s">
        <v>706</v>
      </c>
      <c r="D763" t="s">
        <v>1733</v>
      </c>
      <c r="E763" t="s">
        <v>1732</v>
      </c>
      <c r="G763" t="s">
        <v>785</v>
      </c>
      <c r="H763" t="s">
        <v>709</v>
      </c>
      <c r="I763" t="s">
        <v>463</v>
      </c>
    </row>
    <row r="764" spans="1:9" x14ac:dyDescent="0.25">
      <c r="A764" s="128" t="s">
        <v>1734</v>
      </c>
      <c r="B764" t="s">
        <v>1735</v>
      </c>
      <c r="C764" t="s">
        <v>706</v>
      </c>
      <c r="D764" t="s">
        <v>1736</v>
      </c>
      <c r="E764" t="s">
        <v>1735</v>
      </c>
      <c r="G764" t="s">
        <v>785</v>
      </c>
      <c r="H764" t="s">
        <v>709</v>
      </c>
      <c r="I764" t="s">
        <v>463</v>
      </c>
    </row>
    <row r="765" spans="1:9" x14ac:dyDescent="0.25">
      <c r="A765" s="128" t="s">
        <v>1737</v>
      </c>
      <c r="B765" t="s">
        <v>1738</v>
      </c>
      <c r="C765" t="s">
        <v>706</v>
      </c>
      <c r="D765" t="s">
        <v>1739</v>
      </c>
      <c r="E765" t="s">
        <v>1738</v>
      </c>
      <c r="G765" t="s">
        <v>785</v>
      </c>
      <c r="H765" t="s">
        <v>709</v>
      </c>
      <c r="I765" t="s">
        <v>463</v>
      </c>
    </row>
    <row r="766" spans="1:9" x14ac:dyDescent="0.25">
      <c r="A766" s="128" t="s">
        <v>1740</v>
      </c>
      <c r="B766" t="s">
        <v>1741</v>
      </c>
      <c r="C766" t="s">
        <v>706</v>
      </c>
      <c r="D766" t="s">
        <v>1742</v>
      </c>
      <c r="E766" t="s">
        <v>1741</v>
      </c>
      <c r="G766" t="s">
        <v>785</v>
      </c>
      <c r="H766" t="s">
        <v>709</v>
      </c>
      <c r="I766" t="s">
        <v>463</v>
      </c>
    </row>
    <row r="767" spans="1:9" x14ac:dyDescent="0.25">
      <c r="A767" s="128" t="s">
        <v>1743</v>
      </c>
      <c r="B767" t="s">
        <v>2101</v>
      </c>
      <c r="C767" t="s">
        <v>706</v>
      </c>
      <c r="D767" t="s">
        <v>1744</v>
      </c>
      <c r="E767" t="s">
        <v>2101</v>
      </c>
      <c r="G767" t="s">
        <v>785</v>
      </c>
      <c r="H767" t="s">
        <v>722</v>
      </c>
      <c r="I767" t="s">
        <v>717</v>
      </c>
    </row>
    <row r="768" spans="1:9" x14ac:dyDescent="0.25">
      <c r="A768" s="128" t="s">
        <v>1745</v>
      </c>
      <c r="B768" t="s">
        <v>1746</v>
      </c>
      <c r="C768" t="s">
        <v>706</v>
      </c>
      <c r="D768" t="s">
        <v>1747</v>
      </c>
      <c r="E768" t="s">
        <v>1746</v>
      </c>
      <c r="G768" t="s">
        <v>785</v>
      </c>
      <c r="H768" t="s">
        <v>722</v>
      </c>
      <c r="I768" t="s">
        <v>463</v>
      </c>
    </row>
    <row r="769" spans="1:9" x14ac:dyDescent="0.25">
      <c r="A769" s="128" t="s">
        <v>1748</v>
      </c>
      <c r="B769" t="s">
        <v>1749</v>
      </c>
      <c r="C769" t="s">
        <v>706</v>
      </c>
      <c r="D769" t="s">
        <v>1750</v>
      </c>
      <c r="E769" t="s">
        <v>1749</v>
      </c>
      <c r="G769" t="s">
        <v>785</v>
      </c>
      <c r="H769" t="s">
        <v>722</v>
      </c>
      <c r="I769" t="s">
        <v>463</v>
      </c>
    </row>
    <row r="770" spans="1:9" x14ac:dyDescent="0.25">
      <c r="A770" s="128" t="s">
        <v>1751</v>
      </c>
      <c r="B770" t="s">
        <v>1752</v>
      </c>
      <c r="C770" t="s">
        <v>706</v>
      </c>
      <c r="D770" t="s">
        <v>1753</v>
      </c>
      <c r="E770" t="s">
        <v>1752</v>
      </c>
      <c r="G770" t="s">
        <v>785</v>
      </c>
      <c r="H770" t="s">
        <v>722</v>
      </c>
      <c r="I770" t="s">
        <v>463</v>
      </c>
    </row>
    <row r="771" spans="1:9" x14ac:dyDescent="0.25">
      <c r="A771" s="128" t="s">
        <v>1754</v>
      </c>
      <c r="B771" t="s">
        <v>1755</v>
      </c>
      <c r="C771" t="s">
        <v>706</v>
      </c>
      <c r="D771" t="s">
        <v>1756</v>
      </c>
      <c r="E771" t="s">
        <v>1755</v>
      </c>
      <c r="G771" t="s">
        <v>785</v>
      </c>
      <c r="H771" t="s">
        <v>722</v>
      </c>
      <c r="I771" t="s">
        <v>463</v>
      </c>
    </row>
    <row r="772" spans="1:9" x14ac:dyDescent="0.25">
      <c r="A772" s="128" t="s">
        <v>1757</v>
      </c>
      <c r="B772" t="s">
        <v>1758</v>
      </c>
      <c r="C772" t="s">
        <v>706</v>
      </c>
      <c r="D772" t="s">
        <v>1759</v>
      </c>
      <c r="E772" t="s">
        <v>1758</v>
      </c>
      <c r="G772" t="s">
        <v>785</v>
      </c>
      <c r="H772" t="s">
        <v>722</v>
      </c>
      <c r="I772" t="s">
        <v>463</v>
      </c>
    </row>
    <row r="773" spans="1:9" x14ac:dyDescent="0.25">
      <c r="A773" s="128" t="s">
        <v>1760</v>
      </c>
      <c r="B773" t="s">
        <v>2102</v>
      </c>
      <c r="C773" t="s">
        <v>706</v>
      </c>
      <c r="D773" t="s">
        <v>1761</v>
      </c>
      <c r="E773" t="s">
        <v>2102</v>
      </c>
      <c r="G773" t="s">
        <v>859</v>
      </c>
      <c r="H773" t="s">
        <v>722</v>
      </c>
      <c r="I773" t="s">
        <v>717</v>
      </c>
    </row>
    <row r="774" spans="1:9" x14ac:dyDescent="0.25">
      <c r="A774" s="128" t="s">
        <v>1762</v>
      </c>
      <c r="B774" t="s">
        <v>1763</v>
      </c>
      <c r="C774" t="s">
        <v>706</v>
      </c>
      <c r="D774" t="s">
        <v>1764</v>
      </c>
      <c r="E774" t="s">
        <v>1763</v>
      </c>
      <c r="G774" t="s">
        <v>859</v>
      </c>
      <c r="H774" t="s">
        <v>713</v>
      </c>
      <c r="I774" t="s">
        <v>463</v>
      </c>
    </row>
    <row r="775" spans="1:9" x14ac:dyDescent="0.25">
      <c r="A775" s="128" t="s">
        <v>1765</v>
      </c>
      <c r="B775" t="s">
        <v>1766</v>
      </c>
      <c r="C775" t="s">
        <v>706</v>
      </c>
      <c r="D775" t="s">
        <v>1767</v>
      </c>
      <c r="E775" t="s">
        <v>1766</v>
      </c>
      <c r="F775" t="s">
        <v>1715</v>
      </c>
      <c r="G775" t="s">
        <v>859</v>
      </c>
      <c r="H775" t="s">
        <v>713</v>
      </c>
      <c r="I775" t="s">
        <v>463</v>
      </c>
    </row>
    <row r="776" spans="1:9" x14ac:dyDescent="0.25">
      <c r="A776" s="128" t="s">
        <v>1768</v>
      </c>
      <c r="B776" t="s">
        <v>1769</v>
      </c>
      <c r="C776" t="s">
        <v>706</v>
      </c>
      <c r="D776" t="s">
        <v>1769</v>
      </c>
      <c r="E776" t="s">
        <v>2103</v>
      </c>
      <c r="G776" t="s">
        <v>859</v>
      </c>
      <c r="H776" t="s">
        <v>709</v>
      </c>
      <c r="I776" t="s">
        <v>717</v>
      </c>
    </row>
    <row r="777" spans="1:9" x14ac:dyDescent="0.25">
      <c r="A777" s="128" t="s">
        <v>1770</v>
      </c>
      <c r="B777" t="s">
        <v>1771</v>
      </c>
      <c r="C777" t="s">
        <v>750</v>
      </c>
      <c r="D777" t="s">
        <v>1771</v>
      </c>
      <c r="G777" t="s">
        <v>859</v>
      </c>
      <c r="H777" t="s">
        <v>842</v>
      </c>
      <c r="I777" t="s">
        <v>463</v>
      </c>
    </row>
    <row r="778" spans="1:9" x14ac:dyDescent="0.25">
      <c r="A778" s="128" t="s">
        <v>1772</v>
      </c>
      <c r="B778" t="s">
        <v>1773</v>
      </c>
      <c r="C778" t="s">
        <v>750</v>
      </c>
      <c r="D778" t="s">
        <v>1773</v>
      </c>
      <c r="F778" t="s">
        <v>1715</v>
      </c>
      <c r="G778" t="s">
        <v>859</v>
      </c>
      <c r="H778" t="s">
        <v>842</v>
      </c>
      <c r="I778" t="s">
        <v>463</v>
      </c>
    </row>
    <row r="779" spans="1:9" x14ac:dyDescent="0.25">
      <c r="A779" s="128" t="s">
        <v>1774</v>
      </c>
      <c r="B779" t="s">
        <v>1688</v>
      </c>
      <c r="C779" t="s">
        <v>750</v>
      </c>
      <c r="D779" t="s">
        <v>1688</v>
      </c>
      <c r="G779" t="s">
        <v>859</v>
      </c>
      <c r="H779" t="s">
        <v>842</v>
      </c>
      <c r="I779" t="s">
        <v>463</v>
      </c>
    </row>
    <row r="780" spans="1:9" x14ac:dyDescent="0.25">
      <c r="A780" s="128" t="s">
        <v>1775</v>
      </c>
      <c r="B780" t="s">
        <v>1776</v>
      </c>
      <c r="C780" t="s">
        <v>750</v>
      </c>
      <c r="D780" t="s">
        <v>1776</v>
      </c>
      <c r="G780" t="s">
        <v>859</v>
      </c>
      <c r="H780" t="s">
        <v>842</v>
      </c>
      <c r="I780" t="s">
        <v>463</v>
      </c>
    </row>
    <row r="781" spans="1:9" x14ac:dyDescent="0.25">
      <c r="A781" s="128" t="s">
        <v>1777</v>
      </c>
      <c r="B781" t="s">
        <v>1778</v>
      </c>
      <c r="C781" t="s">
        <v>750</v>
      </c>
      <c r="D781" t="s">
        <v>1778</v>
      </c>
      <c r="H781" t="s">
        <v>709</v>
      </c>
      <c r="I781" t="s">
        <v>463</v>
      </c>
    </row>
    <row r="782" spans="1:9" x14ac:dyDescent="0.25">
      <c r="A782" s="128" t="s">
        <v>1779</v>
      </c>
      <c r="B782" t="s">
        <v>1780</v>
      </c>
      <c r="C782" t="s">
        <v>750</v>
      </c>
      <c r="D782" t="s">
        <v>1780</v>
      </c>
      <c r="H782" t="s">
        <v>709</v>
      </c>
      <c r="I782" t="s">
        <v>463</v>
      </c>
    </row>
    <row r="783" spans="1:9" x14ac:dyDescent="0.25">
      <c r="A783" s="128" t="s">
        <v>1781</v>
      </c>
      <c r="B783" t="s">
        <v>1782</v>
      </c>
      <c r="C783" t="s">
        <v>750</v>
      </c>
      <c r="D783" t="s">
        <v>1782</v>
      </c>
      <c r="H783" t="s">
        <v>709</v>
      </c>
      <c r="I783" t="s">
        <v>463</v>
      </c>
    </row>
    <row r="784" spans="1:9" x14ac:dyDescent="0.25">
      <c r="A784" s="128" t="s">
        <v>1783</v>
      </c>
      <c r="B784" t="s">
        <v>1784</v>
      </c>
      <c r="C784" t="s">
        <v>750</v>
      </c>
      <c r="D784" t="s">
        <v>1784</v>
      </c>
      <c r="H784" t="s">
        <v>709</v>
      </c>
      <c r="I784" t="s">
        <v>463</v>
      </c>
    </row>
    <row r="785" spans="1:9" x14ac:dyDescent="0.25">
      <c r="A785" s="128" t="s">
        <v>1785</v>
      </c>
      <c r="B785" t="s">
        <v>1786</v>
      </c>
      <c r="C785" t="s">
        <v>750</v>
      </c>
      <c r="D785" t="s">
        <v>1786</v>
      </c>
      <c r="H785" t="s">
        <v>709</v>
      </c>
      <c r="I785" t="s">
        <v>463</v>
      </c>
    </row>
    <row r="786" spans="1:9" x14ac:dyDescent="0.25">
      <c r="A786" s="128" t="s">
        <v>1787</v>
      </c>
      <c r="B786" t="s">
        <v>1788</v>
      </c>
      <c r="C786" t="s">
        <v>750</v>
      </c>
      <c r="D786" t="s">
        <v>1788</v>
      </c>
      <c r="H786" t="s">
        <v>709</v>
      </c>
      <c r="I786" t="s">
        <v>463</v>
      </c>
    </row>
    <row r="787" spans="1:9" x14ac:dyDescent="0.25">
      <c r="A787" s="128" t="s">
        <v>1789</v>
      </c>
      <c r="B787" t="s">
        <v>1790</v>
      </c>
      <c r="C787" t="s">
        <v>750</v>
      </c>
      <c r="D787" t="s">
        <v>1790</v>
      </c>
      <c r="H787" t="s">
        <v>709</v>
      </c>
      <c r="I787" t="s">
        <v>463</v>
      </c>
    </row>
    <row r="788" spans="1:9" x14ac:dyDescent="0.25">
      <c r="A788" s="128" t="s">
        <v>88</v>
      </c>
      <c r="B788" t="s">
        <v>1791</v>
      </c>
      <c r="C788" t="s">
        <v>750</v>
      </c>
      <c r="D788" t="s">
        <v>1791</v>
      </c>
      <c r="H788" t="s">
        <v>709</v>
      </c>
      <c r="I788" t="s">
        <v>463</v>
      </c>
    </row>
    <row r="789" spans="1:9" x14ac:dyDescent="0.25">
      <c r="A789" s="128" t="s">
        <v>1792</v>
      </c>
      <c r="B789" t="s">
        <v>1793</v>
      </c>
      <c r="C789" t="s">
        <v>750</v>
      </c>
      <c r="D789" t="s">
        <v>1793</v>
      </c>
      <c r="H789" t="s">
        <v>842</v>
      </c>
      <c r="I789" t="s">
        <v>463</v>
      </c>
    </row>
    <row r="790" spans="1:9" x14ac:dyDescent="0.25">
      <c r="A790" s="128" t="s">
        <v>1794</v>
      </c>
      <c r="B790" t="s">
        <v>1795</v>
      </c>
      <c r="C790" t="s">
        <v>750</v>
      </c>
      <c r="D790" t="s">
        <v>1795</v>
      </c>
      <c r="H790" t="s">
        <v>1796</v>
      </c>
      <c r="I790" t="s">
        <v>463</v>
      </c>
    </row>
    <row r="791" spans="1:9" x14ac:dyDescent="0.25">
      <c r="A791" s="128" t="s">
        <v>1797</v>
      </c>
      <c r="B791" t="s">
        <v>1780</v>
      </c>
      <c r="C791" t="s">
        <v>750</v>
      </c>
      <c r="D791" t="s">
        <v>1780</v>
      </c>
      <c r="H791" t="s">
        <v>842</v>
      </c>
      <c r="I791" t="s">
        <v>463</v>
      </c>
    </row>
    <row r="792" spans="1:9" x14ac:dyDescent="0.25">
      <c r="A792" s="128" t="s">
        <v>1798</v>
      </c>
      <c r="B792" t="s">
        <v>1782</v>
      </c>
      <c r="C792" t="s">
        <v>750</v>
      </c>
      <c r="D792" t="s">
        <v>1782</v>
      </c>
      <c r="H792" t="s">
        <v>842</v>
      </c>
      <c r="I792" t="s">
        <v>463</v>
      </c>
    </row>
    <row r="793" spans="1:9" x14ac:dyDescent="0.25">
      <c r="A793" s="128" t="s">
        <v>1799</v>
      </c>
      <c r="B793" t="s">
        <v>1800</v>
      </c>
      <c r="C793" t="s">
        <v>750</v>
      </c>
      <c r="D793" t="s">
        <v>1800</v>
      </c>
      <c r="H793" t="s">
        <v>842</v>
      </c>
      <c r="I793" t="s">
        <v>463</v>
      </c>
    </row>
    <row r="794" spans="1:9" x14ac:dyDescent="0.25">
      <c r="A794" s="128" t="s">
        <v>1801</v>
      </c>
      <c r="B794" t="s">
        <v>1788</v>
      </c>
      <c r="C794" t="s">
        <v>750</v>
      </c>
      <c r="D794" t="s">
        <v>1788</v>
      </c>
      <c r="H794" t="s">
        <v>842</v>
      </c>
      <c r="I794" t="s">
        <v>463</v>
      </c>
    </row>
    <row r="795" spans="1:9" x14ac:dyDescent="0.25">
      <c r="A795" s="128" t="s">
        <v>1802</v>
      </c>
      <c r="B795" t="s">
        <v>1803</v>
      </c>
      <c r="C795" t="s">
        <v>750</v>
      </c>
      <c r="D795" t="s">
        <v>1803</v>
      </c>
      <c r="H795" t="s">
        <v>842</v>
      </c>
      <c r="I795" t="s">
        <v>463</v>
      </c>
    </row>
    <row r="796" spans="1:9" x14ac:dyDescent="0.25">
      <c r="A796" s="128" t="s">
        <v>1804</v>
      </c>
      <c r="B796" t="s">
        <v>1805</v>
      </c>
      <c r="C796" t="s">
        <v>750</v>
      </c>
      <c r="D796" t="s">
        <v>1805</v>
      </c>
      <c r="H796" t="s">
        <v>1796</v>
      </c>
      <c r="I796" t="s">
        <v>463</v>
      </c>
    </row>
    <row r="797" spans="1:9" x14ac:dyDescent="0.25">
      <c r="A797" s="128" t="s">
        <v>1806</v>
      </c>
      <c r="B797" t="s">
        <v>1807</v>
      </c>
      <c r="C797" t="s">
        <v>706</v>
      </c>
      <c r="D797" t="s">
        <v>1807</v>
      </c>
      <c r="E797" t="s">
        <v>2269</v>
      </c>
      <c r="F797" t="s">
        <v>1808</v>
      </c>
      <c r="G797" t="s">
        <v>1340</v>
      </c>
      <c r="H797" t="s">
        <v>1440</v>
      </c>
      <c r="I797" t="s">
        <v>717</v>
      </c>
    </row>
    <row r="798" spans="1:9" x14ac:dyDescent="0.25">
      <c r="A798" s="128" t="s">
        <v>388</v>
      </c>
      <c r="B798" t="s">
        <v>1809</v>
      </c>
      <c r="C798" t="s">
        <v>750</v>
      </c>
      <c r="D798" t="s">
        <v>1809</v>
      </c>
      <c r="H798" t="s">
        <v>713</v>
      </c>
      <c r="I798" t="s">
        <v>463</v>
      </c>
    </row>
    <row r="799" spans="1:9" x14ac:dyDescent="0.25">
      <c r="A799" s="128" t="s">
        <v>126</v>
      </c>
      <c r="B799" t="s">
        <v>1810</v>
      </c>
      <c r="C799" t="s">
        <v>750</v>
      </c>
      <c r="D799" t="s">
        <v>1810</v>
      </c>
      <c r="H799" t="s">
        <v>722</v>
      </c>
      <c r="I799" t="s">
        <v>463</v>
      </c>
    </row>
    <row r="800" spans="1:9" x14ac:dyDescent="0.25">
      <c r="A800" s="128" t="s">
        <v>1811</v>
      </c>
      <c r="B800" t="s">
        <v>1812</v>
      </c>
      <c r="C800" t="s">
        <v>750</v>
      </c>
      <c r="D800" t="s">
        <v>1812</v>
      </c>
      <c r="H800" t="s">
        <v>722</v>
      </c>
      <c r="I800" t="s">
        <v>463</v>
      </c>
    </row>
    <row r="801" spans="1:9" x14ac:dyDescent="0.25">
      <c r="A801" s="128" t="s">
        <v>386</v>
      </c>
      <c r="B801" t="s">
        <v>1813</v>
      </c>
      <c r="C801" t="s">
        <v>750</v>
      </c>
      <c r="D801" t="s">
        <v>1813</v>
      </c>
      <c r="H801" t="s">
        <v>713</v>
      </c>
      <c r="I801" t="s">
        <v>463</v>
      </c>
    </row>
    <row r="802" spans="1:9" x14ac:dyDescent="0.25">
      <c r="A802" s="128" t="s">
        <v>1814</v>
      </c>
      <c r="B802" t="s">
        <v>1815</v>
      </c>
      <c r="C802" t="s">
        <v>750</v>
      </c>
      <c r="D802" t="s">
        <v>1815</v>
      </c>
      <c r="H802" t="s">
        <v>713</v>
      </c>
      <c r="I802" t="s">
        <v>463</v>
      </c>
    </row>
    <row r="803" spans="1:9" x14ac:dyDescent="0.25">
      <c r="A803" s="128" t="s">
        <v>415</v>
      </c>
      <c r="B803" t="s">
        <v>1816</v>
      </c>
      <c r="C803" t="s">
        <v>750</v>
      </c>
      <c r="D803" t="s">
        <v>1816</v>
      </c>
      <c r="H803" t="s">
        <v>713</v>
      </c>
      <c r="I803" t="s">
        <v>463</v>
      </c>
    </row>
    <row r="804" spans="1:9" x14ac:dyDescent="0.25">
      <c r="A804" s="128" t="s">
        <v>1817</v>
      </c>
      <c r="B804" t="s">
        <v>1818</v>
      </c>
      <c r="C804" t="s">
        <v>750</v>
      </c>
      <c r="D804" t="s">
        <v>1818</v>
      </c>
      <c r="H804" t="s">
        <v>713</v>
      </c>
      <c r="I804" t="s">
        <v>463</v>
      </c>
    </row>
    <row r="805" spans="1:9" x14ac:dyDescent="0.25">
      <c r="A805" s="128" t="s">
        <v>433</v>
      </c>
      <c r="B805" t="s">
        <v>1819</v>
      </c>
      <c r="C805" t="s">
        <v>750</v>
      </c>
      <c r="D805" t="s">
        <v>1819</v>
      </c>
      <c r="H805" t="s">
        <v>713</v>
      </c>
      <c r="I805" t="s">
        <v>463</v>
      </c>
    </row>
    <row r="806" spans="1:9" x14ac:dyDescent="0.25">
      <c r="A806" s="128" t="s">
        <v>1820</v>
      </c>
      <c r="B806" t="s">
        <v>1821</v>
      </c>
      <c r="C806" t="s">
        <v>750</v>
      </c>
      <c r="D806" t="s">
        <v>1821</v>
      </c>
      <c r="H806" t="s">
        <v>713</v>
      </c>
      <c r="I806" t="s">
        <v>463</v>
      </c>
    </row>
    <row r="807" spans="1:9" x14ac:dyDescent="0.25">
      <c r="A807" s="128" t="s">
        <v>1822</v>
      </c>
      <c r="B807" t="s">
        <v>1823</v>
      </c>
      <c r="C807" t="s">
        <v>750</v>
      </c>
      <c r="D807" t="s">
        <v>1823</v>
      </c>
      <c r="H807" t="s">
        <v>713</v>
      </c>
      <c r="I807" t="s">
        <v>463</v>
      </c>
    </row>
    <row r="808" spans="1:9" x14ac:dyDescent="0.25">
      <c r="A808" s="128" t="s">
        <v>1824</v>
      </c>
      <c r="B808" t="s">
        <v>1825</v>
      </c>
      <c r="C808" t="s">
        <v>750</v>
      </c>
      <c r="D808" t="s">
        <v>1825</v>
      </c>
      <c r="H808" t="s">
        <v>713</v>
      </c>
      <c r="I808" t="s">
        <v>463</v>
      </c>
    </row>
    <row r="809" spans="1:9" x14ac:dyDescent="0.25">
      <c r="A809" s="128" t="s">
        <v>1826</v>
      </c>
      <c r="B809" t="s">
        <v>1827</v>
      </c>
      <c r="C809" t="s">
        <v>750</v>
      </c>
      <c r="D809" t="s">
        <v>1827</v>
      </c>
      <c r="H809" t="s">
        <v>956</v>
      </c>
      <c r="I809" t="s">
        <v>463</v>
      </c>
    </row>
    <row r="810" spans="1:9" x14ac:dyDescent="0.25">
      <c r="A810" s="128" t="s">
        <v>1828</v>
      </c>
      <c r="B810" t="s">
        <v>1829</v>
      </c>
      <c r="C810" t="s">
        <v>750</v>
      </c>
      <c r="D810" t="s">
        <v>1829</v>
      </c>
      <c r="H810" t="s">
        <v>956</v>
      </c>
      <c r="I810" t="s">
        <v>463</v>
      </c>
    </row>
    <row r="811" spans="1:9" x14ac:dyDescent="0.25">
      <c r="A811" s="128" t="s">
        <v>1830</v>
      </c>
      <c r="B811" t="s">
        <v>1831</v>
      </c>
      <c r="C811" t="s">
        <v>706</v>
      </c>
      <c r="D811" t="s">
        <v>1832</v>
      </c>
      <c r="E811" t="s">
        <v>1831</v>
      </c>
      <c r="F811" t="s">
        <v>1833</v>
      </c>
      <c r="H811" t="s">
        <v>1440</v>
      </c>
      <c r="I811" t="s">
        <v>463</v>
      </c>
    </row>
    <row r="812" spans="1:9" x14ac:dyDescent="0.25">
      <c r="A812" s="128" t="s">
        <v>1834</v>
      </c>
      <c r="B812" t="s">
        <v>1835</v>
      </c>
      <c r="C812" t="s">
        <v>462</v>
      </c>
      <c r="E812" t="s">
        <v>1835</v>
      </c>
      <c r="I812" t="s">
        <v>463</v>
      </c>
    </row>
    <row r="813" spans="1:9" x14ac:dyDescent="0.25">
      <c r="A813" s="128" t="s">
        <v>430</v>
      </c>
      <c r="B813" t="s">
        <v>1836</v>
      </c>
      <c r="C813" t="s">
        <v>462</v>
      </c>
      <c r="E813" t="s">
        <v>1836</v>
      </c>
      <c r="I813" t="s">
        <v>463</v>
      </c>
    </row>
    <row r="814" spans="1:9" x14ac:dyDescent="0.25">
      <c r="A814" s="128" t="s">
        <v>1837</v>
      </c>
      <c r="B814" t="s">
        <v>1838</v>
      </c>
      <c r="C814" t="s">
        <v>706</v>
      </c>
      <c r="D814" t="s">
        <v>1839</v>
      </c>
      <c r="E814" t="s">
        <v>1838</v>
      </c>
      <c r="G814" t="s">
        <v>344</v>
      </c>
      <c r="H814" t="s">
        <v>758</v>
      </c>
      <c r="I814" t="s">
        <v>717</v>
      </c>
    </row>
    <row r="815" spans="1:9" x14ac:dyDescent="0.25">
      <c r="A815" s="128" t="s">
        <v>406</v>
      </c>
      <c r="B815" t="s">
        <v>1840</v>
      </c>
      <c r="C815" t="s">
        <v>462</v>
      </c>
      <c r="E815" t="s">
        <v>1840</v>
      </c>
      <c r="I815" t="s">
        <v>463</v>
      </c>
    </row>
    <row r="816" spans="1:9" x14ac:dyDescent="0.25">
      <c r="A816" s="128" t="s">
        <v>1841</v>
      </c>
      <c r="B816" t="s">
        <v>1842</v>
      </c>
      <c r="C816" t="s">
        <v>462</v>
      </c>
      <c r="E816" t="s">
        <v>1842</v>
      </c>
      <c r="I816" t="s">
        <v>463</v>
      </c>
    </row>
    <row r="817" spans="1:9" x14ac:dyDescent="0.25">
      <c r="A817" s="128" t="s">
        <v>1843</v>
      </c>
      <c r="B817" t="s">
        <v>1844</v>
      </c>
      <c r="C817" t="s">
        <v>462</v>
      </c>
      <c r="E817" t="s">
        <v>1844</v>
      </c>
      <c r="I817" t="s">
        <v>463</v>
      </c>
    </row>
    <row r="818" spans="1:9" x14ac:dyDescent="0.25">
      <c r="A818" s="128" t="s">
        <v>1845</v>
      </c>
      <c r="B818" t="s">
        <v>1846</v>
      </c>
      <c r="C818" t="s">
        <v>462</v>
      </c>
      <c r="E818" t="s">
        <v>1846</v>
      </c>
      <c r="I818" t="s">
        <v>463</v>
      </c>
    </row>
    <row r="819" spans="1:9" x14ac:dyDescent="0.25">
      <c r="A819" s="128" t="s">
        <v>1847</v>
      </c>
      <c r="B819" t="s">
        <v>1848</v>
      </c>
      <c r="C819" t="s">
        <v>462</v>
      </c>
      <c r="E819" t="s">
        <v>1848</v>
      </c>
      <c r="I819" t="s">
        <v>463</v>
      </c>
    </row>
    <row r="820" spans="1:9" x14ac:dyDescent="0.25">
      <c r="A820" s="128" t="s">
        <v>1849</v>
      </c>
      <c r="B820" t="s">
        <v>2270</v>
      </c>
      <c r="C820" t="s">
        <v>462</v>
      </c>
      <c r="E820" t="s">
        <v>2270</v>
      </c>
      <c r="I820" t="s">
        <v>463</v>
      </c>
    </row>
    <row r="821" spans="1:9" x14ac:dyDescent="0.25">
      <c r="A821" s="128" t="s">
        <v>1850</v>
      </c>
      <c r="B821" t="s">
        <v>1851</v>
      </c>
      <c r="C821" t="s">
        <v>462</v>
      </c>
      <c r="E821" t="s">
        <v>1851</v>
      </c>
      <c r="I821" t="s">
        <v>463</v>
      </c>
    </row>
    <row r="822" spans="1:9" x14ac:dyDescent="0.25">
      <c r="A822" s="128" t="s">
        <v>1852</v>
      </c>
      <c r="B822" t="s">
        <v>1853</v>
      </c>
      <c r="C822" t="s">
        <v>462</v>
      </c>
      <c r="E822" t="s">
        <v>1853</v>
      </c>
      <c r="I822" t="s">
        <v>463</v>
      </c>
    </row>
    <row r="823" spans="1:9" x14ac:dyDescent="0.25">
      <c r="A823" s="128" t="s">
        <v>425</v>
      </c>
      <c r="B823" t="s">
        <v>1854</v>
      </c>
      <c r="C823" t="s">
        <v>462</v>
      </c>
      <c r="E823" t="s">
        <v>1854</v>
      </c>
      <c r="I823" t="s">
        <v>463</v>
      </c>
    </row>
    <row r="824" spans="1:9" x14ac:dyDescent="0.25">
      <c r="A824" s="128" t="s">
        <v>1855</v>
      </c>
      <c r="B824" t="s">
        <v>1856</v>
      </c>
      <c r="C824" t="s">
        <v>462</v>
      </c>
      <c r="E824" t="s">
        <v>1856</v>
      </c>
      <c r="I824" t="s">
        <v>463</v>
      </c>
    </row>
    <row r="825" spans="1:9" x14ac:dyDescent="0.25">
      <c r="A825" s="128" t="s">
        <v>1857</v>
      </c>
      <c r="B825" t="s">
        <v>1858</v>
      </c>
      <c r="C825" t="s">
        <v>462</v>
      </c>
      <c r="E825" t="s">
        <v>1858</v>
      </c>
      <c r="I825" t="s">
        <v>463</v>
      </c>
    </row>
    <row r="826" spans="1:9" x14ac:dyDescent="0.25">
      <c r="A826" s="128" t="s">
        <v>1859</v>
      </c>
      <c r="B826" t="s">
        <v>2104</v>
      </c>
      <c r="C826" t="s">
        <v>462</v>
      </c>
      <c r="E826" t="s">
        <v>2104</v>
      </c>
      <c r="I826" t="s">
        <v>463</v>
      </c>
    </row>
    <row r="827" spans="1:9" x14ac:dyDescent="0.25">
      <c r="A827" s="128" t="s">
        <v>1860</v>
      </c>
      <c r="B827" t="s">
        <v>1861</v>
      </c>
      <c r="C827" t="s">
        <v>462</v>
      </c>
      <c r="E827" t="s">
        <v>1861</v>
      </c>
      <c r="I827" t="s">
        <v>463</v>
      </c>
    </row>
    <row r="828" spans="1:9" x14ac:dyDescent="0.25">
      <c r="A828" s="128" t="s">
        <v>1862</v>
      </c>
      <c r="B828" t="s">
        <v>1863</v>
      </c>
      <c r="C828" t="s">
        <v>462</v>
      </c>
      <c r="E828" t="s">
        <v>1863</v>
      </c>
      <c r="I828" t="s">
        <v>463</v>
      </c>
    </row>
    <row r="829" spans="1:9" x14ac:dyDescent="0.25">
      <c r="A829" s="128" t="s">
        <v>1864</v>
      </c>
      <c r="B829" t="s">
        <v>1865</v>
      </c>
      <c r="C829" t="s">
        <v>462</v>
      </c>
      <c r="E829" t="s">
        <v>1865</v>
      </c>
      <c r="I829" t="s">
        <v>463</v>
      </c>
    </row>
    <row r="830" spans="1:9" x14ac:dyDescent="0.25">
      <c r="A830" s="128" t="s">
        <v>1866</v>
      </c>
      <c r="B830" t="s">
        <v>1867</v>
      </c>
      <c r="C830" t="s">
        <v>462</v>
      </c>
      <c r="E830" t="s">
        <v>1867</v>
      </c>
      <c r="I830" t="s">
        <v>463</v>
      </c>
    </row>
    <row r="831" spans="1:9" x14ac:dyDescent="0.25">
      <c r="A831" s="128" t="s">
        <v>1868</v>
      </c>
      <c r="B831" t="s">
        <v>1869</v>
      </c>
      <c r="C831" t="s">
        <v>462</v>
      </c>
      <c r="E831" t="s">
        <v>1869</v>
      </c>
      <c r="I831" t="s">
        <v>463</v>
      </c>
    </row>
    <row r="832" spans="1:9" x14ac:dyDescent="0.25">
      <c r="A832" s="128" t="s">
        <v>1870</v>
      </c>
      <c r="B832" t="s">
        <v>1871</v>
      </c>
      <c r="C832" t="s">
        <v>462</v>
      </c>
      <c r="E832" t="s">
        <v>1871</v>
      </c>
      <c r="I832" t="s">
        <v>463</v>
      </c>
    </row>
    <row r="833" spans="1:9" x14ac:dyDescent="0.25">
      <c r="A833" s="128" t="s">
        <v>1872</v>
      </c>
      <c r="B833" t="s">
        <v>2271</v>
      </c>
      <c r="C833" t="s">
        <v>462</v>
      </c>
      <c r="E833" t="s">
        <v>2271</v>
      </c>
      <c r="I833" t="s">
        <v>463</v>
      </c>
    </row>
    <row r="834" spans="1:9" x14ac:dyDescent="0.25">
      <c r="A834" s="128" t="s">
        <v>1873</v>
      </c>
      <c r="B834" t="s">
        <v>2105</v>
      </c>
      <c r="C834" t="s">
        <v>462</v>
      </c>
      <c r="E834" t="s">
        <v>2105</v>
      </c>
      <c r="I834" t="s">
        <v>463</v>
      </c>
    </row>
    <row r="835" spans="1:9" x14ac:dyDescent="0.25">
      <c r="A835" s="128" t="s">
        <v>1874</v>
      </c>
      <c r="B835" t="s">
        <v>1875</v>
      </c>
      <c r="C835" t="s">
        <v>462</v>
      </c>
      <c r="E835" t="s">
        <v>1875</v>
      </c>
      <c r="I835" t="s">
        <v>463</v>
      </c>
    </row>
    <row r="836" spans="1:9" x14ac:dyDescent="0.25">
      <c r="A836" s="128" t="s">
        <v>429</v>
      </c>
      <c r="B836" t="s">
        <v>1876</v>
      </c>
      <c r="C836" t="s">
        <v>462</v>
      </c>
      <c r="E836" t="s">
        <v>1876</v>
      </c>
      <c r="I836" t="s">
        <v>463</v>
      </c>
    </row>
    <row r="837" spans="1:9" x14ac:dyDescent="0.25">
      <c r="A837" s="128" t="s">
        <v>437</v>
      </c>
      <c r="B837" t="s">
        <v>2272</v>
      </c>
      <c r="C837" t="s">
        <v>462</v>
      </c>
      <c r="E837" t="s">
        <v>2272</v>
      </c>
      <c r="I837" t="s">
        <v>463</v>
      </c>
    </row>
    <row r="838" spans="1:9" x14ac:dyDescent="0.25">
      <c r="A838" s="128" t="s">
        <v>1877</v>
      </c>
      <c r="B838" t="s">
        <v>1878</v>
      </c>
      <c r="C838" t="s">
        <v>462</v>
      </c>
      <c r="E838" t="s">
        <v>1878</v>
      </c>
      <c r="I838" t="s">
        <v>463</v>
      </c>
    </row>
    <row r="839" spans="1:9" x14ac:dyDescent="0.25">
      <c r="A839" s="128" t="s">
        <v>1879</v>
      </c>
      <c r="B839" t="s">
        <v>2178</v>
      </c>
      <c r="C839" t="s">
        <v>462</v>
      </c>
      <c r="E839" t="s">
        <v>2178</v>
      </c>
      <c r="I839" t="s">
        <v>463</v>
      </c>
    </row>
    <row r="840" spans="1:9" x14ac:dyDescent="0.25">
      <c r="A840" s="128" t="s">
        <v>407</v>
      </c>
      <c r="B840" t="s">
        <v>1880</v>
      </c>
      <c r="C840" t="s">
        <v>462</v>
      </c>
      <c r="E840" t="s">
        <v>1880</v>
      </c>
      <c r="I840" t="s">
        <v>463</v>
      </c>
    </row>
    <row r="841" spans="1:9" x14ac:dyDescent="0.25">
      <c r="A841" s="128" t="s">
        <v>1881</v>
      </c>
      <c r="B841" t="s">
        <v>1882</v>
      </c>
      <c r="C841" t="s">
        <v>462</v>
      </c>
      <c r="E841" t="s">
        <v>1882</v>
      </c>
      <c r="I841" t="s">
        <v>463</v>
      </c>
    </row>
    <row r="842" spans="1:9" x14ac:dyDescent="0.25">
      <c r="A842" s="128" t="s">
        <v>1883</v>
      </c>
      <c r="B842" t="s">
        <v>1884</v>
      </c>
      <c r="C842" t="s">
        <v>462</v>
      </c>
      <c r="E842" t="s">
        <v>1884</v>
      </c>
      <c r="I842" t="s">
        <v>463</v>
      </c>
    </row>
    <row r="843" spans="1:9" x14ac:dyDescent="0.25">
      <c r="A843" s="128" t="s">
        <v>1885</v>
      </c>
      <c r="B843" t="s">
        <v>1886</v>
      </c>
      <c r="C843" t="s">
        <v>462</v>
      </c>
      <c r="E843" t="s">
        <v>1886</v>
      </c>
      <c r="I843" t="s">
        <v>463</v>
      </c>
    </row>
    <row r="844" spans="1:9" x14ac:dyDescent="0.25">
      <c r="A844" s="128" t="s">
        <v>1887</v>
      </c>
      <c r="B844" t="s">
        <v>2179</v>
      </c>
      <c r="C844" t="s">
        <v>462</v>
      </c>
      <c r="E844" t="s">
        <v>2179</v>
      </c>
      <c r="I844" t="s">
        <v>463</v>
      </c>
    </row>
    <row r="845" spans="1:9" x14ac:dyDescent="0.25">
      <c r="A845" s="128" t="s">
        <v>409</v>
      </c>
      <c r="B845" t="s">
        <v>1888</v>
      </c>
      <c r="C845" t="s">
        <v>462</v>
      </c>
      <c r="E845" t="s">
        <v>1888</v>
      </c>
      <c r="I845" t="s">
        <v>463</v>
      </c>
    </row>
    <row r="846" spans="1:9" x14ac:dyDescent="0.25">
      <c r="A846" s="128" t="s">
        <v>1889</v>
      </c>
      <c r="B846" t="s">
        <v>1890</v>
      </c>
      <c r="C846" t="s">
        <v>462</v>
      </c>
      <c r="E846" t="s">
        <v>1890</v>
      </c>
      <c r="I846" t="s">
        <v>463</v>
      </c>
    </row>
    <row r="847" spans="1:9" x14ac:dyDescent="0.25">
      <c r="A847" s="128" t="s">
        <v>1891</v>
      </c>
      <c r="B847" t="s">
        <v>2106</v>
      </c>
      <c r="C847" t="s">
        <v>462</v>
      </c>
      <c r="E847" t="s">
        <v>2106</v>
      </c>
      <c r="I847" t="s">
        <v>463</v>
      </c>
    </row>
    <row r="848" spans="1:9" x14ac:dyDescent="0.25">
      <c r="A848" s="128" t="s">
        <v>1892</v>
      </c>
      <c r="B848" t="s">
        <v>2180</v>
      </c>
      <c r="C848" t="s">
        <v>462</v>
      </c>
      <c r="E848" t="s">
        <v>2180</v>
      </c>
      <c r="I848" t="s">
        <v>463</v>
      </c>
    </row>
    <row r="849" spans="1:9" x14ac:dyDescent="0.25">
      <c r="A849" s="128" t="s">
        <v>1893</v>
      </c>
      <c r="B849" t="s">
        <v>2107</v>
      </c>
      <c r="C849" t="s">
        <v>462</v>
      </c>
      <c r="E849" t="s">
        <v>2107</v>
      </c>
      <c r="I849" t="s">
        <v>463</v>
      </c>
    </row>
    <row r="850" spans="1:9" x14ac:dyDescent="0.25">
      <c r="A850" s="128" t="s">
        <v>411</v>
      </c>
      <c r="B850" t="s">
        <v>1894</v>
      </c>
      <c r="C850" t="s">
        <v>462</v>
      </c>
      <c r="E850" t="s">
        <v>1894</v>
      </c>
      <c r="I850" t="s">
        <v>463</v>
      </c>
    </row>
    <row r="851" spans="1:9" x14ac:dyDescent="0.25">
      <c r="A851" s="128" t="s">
        <v>1895</v>
      </c>
      <c r="B851" t="s">
        <v>1896</v>
      </c>
      <c r="C851" t="s">
        <v>462</v>
      </c>
      <c r="E851" t="s">
        <v>1896</v>
      </c>
      <c r="I851" t="s">
        <v>463</v>
      </c>
    </row>
    <row r="852" spans="1:9" x14ac:dyDescent="0.25">
      <c r="A852" s="128" t="s">
        <v>1897</v>
      </c>
      <c r="B852" t="s">
        <v>1898</v>
      </c>
      <c r="C852" t="s">
        <v>462</v>
      </c>
      <c r="E852" t="s">
        <v>1898</v>
      </c>
      <c r="I852" t="s">
        <v>463</v>
      </c>
    </row>
    <row r="853" spans="1:9" x14ac:dyDescent="0.25">
      <c r="A853" s="128" t="s">
        <v>1899</v>
      </c>
      <c r="B853" t="s">
        <v>1900</v>
      </c>
      <c r="C853" t="s">
        <v>462</v>
      </c>
      <c r="E853" t="s">
        <v>1900</v>
      </c>
      <c r="I853" t="s">
        <v>463</v>
      </c>
    </row>
    <row r="854" spans="1:9" x14ac:dyDescent="0.25">
      <c r="A854" s="128" t="s">
        <v>1901</v>
      </c>
      <c r="B854" t="s">
        <v>1902</v>
      </c>
      <c r="C854" t="s">
        <v>462</v>
      </c>
      <c r="E854" t="s">
        <v>1902</v>
      </c>
      <c r="I854" t="s">
        <v>463</v>
      </c>
    </row>
    <row r="855" spans="1:9" x14ac:dyDescent="0.25">
      <c r="A855" s="128" t="s">
        <v>1903</v>
      </c>
      <c r="B855" t="s">
        <v>1904</v>
      </c>
      <c r="C855" t="s">
        <v>462</v>
      </c>
      <c r="E855" t="s">
        <v>1904</v>
      </c>
      <c r="I855" t="s">
        <v>463</v>
      </c>
    </row>
    <row r="856" spans="1:9" x14ac:dyDescent="0.25">
      <c r="A856" s="128" t="s">
        <v>1905</v>
      </c>
      <c r="B856" t="s">
        <v>1906</v>
      </c>
      <c r="C856" t="s">
        <v>462</v>
      </c>
      <c r="E856" t="s">
        <v>1906</v>
      </c>
      <c r="I856" t="s">
        <v>463</v>
      </c>
    </row>
    <row r="857" spans="1:9" x14ac:dyDescent="0.25">
      <c r="A857" s="128" t="s">
        <v>1907</v>
      </c>
      <c r="B857" t="s">
        <v>1908</v>
      </c>
      <c r="C857" t="s">
        <v>462</v>
      </c>
      <c r="E857" t="s">
        <v>1908</v>
      </c>
      <c r="I857" t="s">
        <v>463</v>
      </c>
    </row>
    <row r="858" spans="1:9" x14ac:dyDescent="0.25">
      <c r="A858" s="128" t="s">
        <v>426</v>
      </c>
      <c r="B858" t="s">
        <v>1909</v>
      </c>
      <c r="C858" t="s">
        <v>462</v>
      </c>
      <c r="E858" t="s">
        <v>1909</v>
      </c>
      <c r="I858" t="s">
        <v>463</v>
      </c>
    </row>
    <row r="859" spans="1:9" x14ac:dyDescent="0.25">
      <c r="A859" s="128" t="s">
        <v>1910</v>
      </c>
      <c r="B859" t="s">
        <v>2108</v>
      </c>
      <c r="C859" t="s">
        <v>462</v>
      </c>
      <c r="E859" t="s">
        <v>2108</v>
      </c>
      <c r="I859" t="s">
        <v>463</v>
      </c>
    </row>
    <row r="860" spans="1:9" x14ac:dyDescent="0.25">
      <c r="A860" s="128" t="s">
        <v>420</v>
      </c>
      <c r="B860" t="s">
        <v>2181</v>
      </c>
      <c r="C860" t="s">
        <v>462</v>
      </c>
      <c r="E860" t="s">
        <v>2181</v>
      </c>
      <c r="I860" t="s">
        <v>463</v>
      </c>
    </row>
    <row r="861" spans="1:9" x14ac:dyDescent="0.25">
      <c r="A861" s="128" t="s">
        <v>1911</v>
      </c>
      <c r="B861" t="s">
        <v>1912</v>
      </c>
      <c r="C861" t="s">
        <v>462</v>
      </c>
      <c r="E861" t="s">
        <v>1912</v>
      </c>
      <c r="I861" t="s">
        <v>463</v>
      </c>
    </row>
    <row r="862" spans="1:9" x14ac:dyDescent="0.25">
      <c r="A862" s="128" t="s">
        <v>1913</v>
      </c>
      <c r="B862" t="s">
        <v>1914</v>
      </c>
      <c r="C862" t="s">
        <v>462</v>
      </c>
      <c r="E862" t="s">
        <v>1914</v>
      </c>
      <c r="I862" t="s">
        <v>463</v>
      </c>
    </row>
    <row r="863" spans="1:9" x14ac:dyDescent="0.25">
      <c r="A863" s="128" t="s">
        <v>410</v>
      </c>
      <c r="B863" t="s">
        <v>1915</v>
      </c>
      <c r="C863" t="s">
        <v>462</v>
      </c>
      <c r="E863" t="s">
        <v>1915</v>
      </c>
      <c r="I863" t="s">
        <v>463</v>
      </c>
    </row>
    <row r="864" spans="1:9" x14ac:dyDescent="0.25">
      <c r="A864" s="128" t="s">
        <v>1916</v>
      </c>
      <c r="B864" t="s">
        <v>2109</v>
      </c>
      <c r="C864" t="s">
        <v>462</v>
      </c>
      <c r="E864" t="s">
        <v>2109</v>
      </c>
      <c r="I864" t="s">
        <v>463</v>
      </c>
    </row>
    <row r="865" spans="1:9" x14ac:dyDescent="0.25">
      <c r="A865" s="128" t="s">
        <v>1917</v>
      </c>
      <c r="B865" t="s">
        <v>1918</v>
      </c>
      <c r="C865" t="s">
        <v>462</v>
      </c>
      <c r="E865" t="s">
        <v>1918</v>
      </c>
      <c r="I865" t="s">
        <v>463</v>
      </c>
    </row>
    <row r="866" spans="1:9" x14ac:dyDescent="0.25">
      <c r="A866" s="128" t="s">
        <v>1919</v>
      </c>
      <c r="B866" t="s">
        <v>1920</v>
      </c>
      <c r="C866" t="s">
        <v>462</v>
      </c>
      <c r="E866" t="s">
        <v>1920</v>
      </c>
      <c r="I866" t="s">
        <v>463</v>
      </c>
    </row>
    <row r="867" spans="1:9" x14ac:dyDescent="0.25">
      <c r="A867" s="128" t="s">
        <v>1921</v>
      </c>
      <c r="B867" t="s">
        <v>1922</v>
      </c>
      <c r="C867" t="s">
        <v>462</v>
      </c>
      <c r="E867" t="s">
        <v>1922</v>
      </c>
      <c r="I867" t="s">
        <v>463</v>
      </c>
    </row>
    <row r="868" spans="1:9" x14ac:dyDescent="0.25">
      <c r="A868" s="128" t="s">
        <v>1923</v>
      </c>
      <c r="B868" t="s">
        <v>2110</v>
      </c>
      <c r="C868" t="s">
        <v>462</v>
      </c>
      <c r="E868" t="s">
        <v>2110</v>
      </c>
      <c r="I868" t="s">
        <v>463</v>
      </c>
    </row>
    <row r="869" spans="1:9" x14ac:dyDescent="0.25">
      <c r="A869" s="128" t="s">
        <v>1924</v>
      </c>
      <c r="B869" t="s">
        <v>2273</v>
      </c>
      <c r="C869" t="s">
        <v>462</v>
      </c>
      <c r="E869" t="s">
        <v>2273</v>
      </c>
      <c r="I869" t="s">
        <v>463</v>
      </c>
    </row>
    <row r="870" spans="1:9" x14ac:dyDescent="0.25">
      <c r="A870" s="128" t="s">
        <v>1925</v>
      </c>
      <c r="B870" t="s">
        <v>2274</v>
      </c>
      <c r="C870" t="s">
        <v>462</v>
      </c>
      <c r="E870" t="s">
        <v>2274</v>
      </c>
      <c r="I870" t="s">
        <v>463</v>
      </c>
    </row>
    <row r="871" spans="1:9" x14ac:dyDescent="0.25">
      <c r="A871" s="128" t="s">
        <v>1926</v>
      </c>
      <c r="B871" t="s">
        <v>1927</v>
      </c>
      <c r="C871" t="s">
        <v>462</v>
      </c>
      <c r="E871" t="s">
        <v>1927</v>
      </c>
      <c r="I871" t="s">
        <v>463</v>
      </c>
    </row>
    <row r="872" spans="1:9" x14ac:dyDescent="0.25">
      <c r="A872" s="128" t="s">
        <v>427</v>
      </c>
      <c r="B872" t="s">
        <v>1928</v>
      </c>
      <c r="C872" t="s">
        <v>462</v>
      </c>
      <c r="E872" t="s">
        <v>1928</v>
      </c>
      <c r="I872" t="s">
        <v>463</v>
      </c>
    </row>
    <row r="873" spans="1:9" x14ac:dyDescent="0.25">
      <c r="A873" s="128" t="s">
        <v>436</v>
      </c>
      <c r="B873" t="s">
        <v>2275</v>
      </c>
      <c r="C873" t="s">
        <v>462</v>
      </c>
      <c r="E873" t="s">
        <v>2275</v>
      </c>
      <c r="I873" t="s">
        <v>463</v>
      </c>
    </row>
    <row r="874" spans="1:9" x14ac:dyDescent="0.25">
      <c r="A874" s="128" t="s">
        <v>377</v>
      </c>
      <c r="B874" t="s">
        <v>1929</v>
      </c>
      <c r="C874" t="s">
        <v>462</v>
      </c>
      <c r="E874" t="s">
        <v>1929</v>
      </c>
      <c r="I874" t="s">
        <v>463</v>
      </c>
    </row>
    <row r="875" spans="1:9" x14ac:dyDescent="0.25">
      <c r="A875" s="128" t="s">
        <v>397</v>
      </c>
      <c r="B875" t="s">
        <v>1930</v>
      </c>
      <c r="C875" t="s">
        <v>462</v>
      </c>
      <c r="E875" t="s">
        <v>1930</v>
      </c>
      <c r="I875" t="s">
        <v>463</v>
      </c>
    </row>
    <row r="876" spans="1:9" x14ac:dyDescent="0.25">
      <c r="A876" s="128" t="s">
        <v>1931</v>
      </c>
      <c r="B876" t="s">
        <v>1932</v>
      </c>
      <c r="C876" t="s">
        <v>462</v>
      </c>
      <c r="E876" t="s">
        <v>1932</v>
      </c>
      <c r="I876" t="s">
        <v>463</v>
      </c>
    </row>
    <row r="877" spans="1:9" x14ac:dyDescent="0.25">
      <c r="A877" s="128" t="s">
        <v>1933</v>
      </c>
      <c r="B877" t="s">
        <v>1934</v>
      </c>
      <c r="C877" t="s">
        <v>462</v>
      </c>
      <c r="E877" t="s">
        <v>1934</v>
      </c>
      <c r="I877" t="s">
        <v>463</v>
      </c>
    </row>
    <row r="878" spans="1:9" x14ac:dyDescent="0.25">
      <c r="A878" s="128" t="s">
        <v>1935</v>
      </c>
      <c r="B878" t="s">
        <v>2182</v>
      </c>
      <c r="C878" t="s">
        <v>462</v>
      </c>
      <c r="E878" t="s">
        <v>2182</v>
      </c>
      <c r="I878" t="s">
        <v>463</v>
      </c>
    </row>
    <row r="879" spans="1:9" x14ac:dyDescent="0.25">
      <c r="A879" s="128" t="s">
        <v>1936</v>
      </c>
      <c r="B879" t="s">
        <v>1937</v>
      </c>
      <c r="C879" t="s">
        <v>462</v>
      </c>
      <c r="E879" t="s">
        <v>1937</v>
      </c>
      <c r="I879" t="s">
        <v>463</v>
      </c>
    </row>
    <row r="880" spans="1:9" x14ac:dyDescent="0.25">
      <c r="A880" s="128" t="s">
        <v>1938</v>
      </c>
      <c r="B880" t="s">
        <v>1939</v>
      </c>
      <c r="C880" t="s">
        <v>706</v>
      </c>
      <c r="D880" t="s">
        <v>1940</v>
      </c>
      <c r="E880" t="s">
        <v>1939</v>
      </c>
      <c r="G880" t="s">
        <v>113</v>
      </c>
      <c r="H880" t="s">
        <v>1941</v>
      </c>
      <c r="I880" t="s">
        <v>717</v>
      </c>
    </row>
    <row r="881" spans="1:9" x14ac:dyDescent="0.25">
      <c r="A881" s="128" t="s">
        <v>1942</v>
      </c>
      <c r="B881" t="s">
        <v>1943</v>
      </c>
      <c r="C881" t="s">
        <v>706</v>
      </c>
      <c r="D881" t="s">
        <v>1944</v>
      </c>
      <c r="E881" t="s">
        <v>1943</v>
      </c>
      <c r="G881" t="s">
        <v>1945</v>
      </c>
      <c r="H881" t="s">
        <v>709</v>
      </c>
      <c r="I881" t="s">
        <v>463</v>
      </c>
    </row>
    <row r="882" spans="1:9" x14ac:dyDescent="0.25">
      <c r="A882" s="128" t="s">
        <v>1946</v>
      </c>
      <c r="B882" t="s">
        <v>1947</v>
      </c>
      <c r="C882" t="s">
        <v>706</v>
      </c>
      <c r="D882" t="s">
        <v>1948</v>
      </c>
      <c r="E882" t="s">
        <v>1947</v>
      </c>
      <c r="G882" t="s">
        <v>1945</v>
      </c>
      <c r="H882" t="s">
        <v>709</v>
      </c>
      <c r="I882" t="s">
        <v>463</v>
      </c>
    </row>
    <row r="883" spans="1:9" x14ac:dyDescent="0.25">
      <c r="A883" s="128" t="s">
        <v>1949</v>
      </c>
      <c r="B883" t="s">
        <v>1950</v>
      </c>
      <c r="C883" t="s">
        <v>706</v>
      </c>
      <c r="D883" t="s">
        <v>1951</v>
      </c>
      <c r="E883" t="s">
        <v>1950</v>
      </c>
      <c r="G883" t="s">
        <v>1945</v>
      </c>
      <c r="H883" t="s">
        <v>709</v>
      </c>
      <c r="I883" t="s">
        <v>717</v>
      </c>
    </row>
    <row r="884" spans="1:9" x14ac:dyDescent="0.25">
      <c r="A884" s="128" t="s">
        <v>1952</v>
      </c>
      <c r="B884" t="s">
        <v>2129</v>
      </c>
      <c r="C884" t="s">
        <v>706</v>
      </c>
      <c r="D884" t="s">
        <v>1953</v>
      </c>
      <c r="E884" t="s">
        <v>2129</v>
      </c>
      <c r="G884" t="s">
        <v>1945</v>
      </c>
      <c r="H884" t="s">
        <v>729</v>
      </c>
      <c r="I884" t="s">
        <v>717</v>
      </c>
    </row>
    <row r="885" spans="1:9" x14ac:dyDescent="0.25">
      <c r="A885" s="128" t="s">
        <v>1954</v>
      </c>
      <c r="B885" t="s">
        <v>1955</v>
      </c>
      <c r="C885" t="s">
        <v>706</v>
      </c>
      <c r="D885" t="s">
        <v>1956</v>
      </c>
      <c r="E885" t="s">
        <v>1955</v>
      </c>
      <c r="G885" t="s">
        <v>1945</v>
      </c>
      <c r="H885" t="s">
        <v>722</v>
      </c>
      <c r="I885" t="s">
        <v>463</v>
      </c>
    </row>
    <row r="886" spans="1:9" x14ac:dyDescent="0.25">
      <c r="A886" s="128" t="s">
        <v>1957</v>
      </c>
      <c r="B886" t="s">
        <v>2130</v>
      </c>
      <c r="C886" t="s">
        <v>706</v>
      </c>
      <c r="D886" t="s">
        <v>1958</v>
      </c>
      <c r="E886" t="s">
        <v>2130</v>
      </c>
      <c r="G886" t="s">
        <v>1945</v>
      </c>
      <c r="H886" t="s">
        <v>722</v>
      </c>
      <c r="I886" t="s">
        <v>717</v>
      </c>
    </row>
    <row r="887" spans="1:9" x14ac:dyDescent="0.25">
      <c r="A887" s="128" t="s">
        <v>1959</v>
      </c>
      <c r="B887" t="s">
        <v>1960</v>
      </c>
      <c r="C887" t="s">
        <v>706</v>
      </c>
      <c r="D887" t="s">
        <v>1961</v>
      </c>
      <c r="E887" t="s">
        <v>1960</v>
      </c>
      <c r="G887" t="s">
        <v>1945</v>
      </c>
      <c r="H887" t="s">
        <v>722</v>
      </c>
      <c r="I887" t="s">
        <v>463</v>
      </c>
    </row>
    <row r="888" spans="1:9" x14ac:dyDescent="0.25">
      <c r="A888" s="128" t="s">
        <v>1962</v>
      </c>
      <c r="B888" t="s">
        <v>1963</v>
      </c>
      <c r="C888" t="s">
        <v>706</v>
      </c>
      <c r="D888" t="s">
        <v>1963</v>
      </c>
      <c r="E888" t="s">
        <v>2131</v>
      </c>
      <c r="G888" t="s">
        <v>1945</v>
      </c>
      <c r="H888" t="s">
        <v>722</v>
      </c>
      <c r="I888" t="s">
        <v>717</v>
      </c>
    </row>
    <row r="889" spans="1:9" x14ac:dyDescent="0.25">
      <c r="A889" s="128" t="s">
        <v>1964</v>
      </c>
      <c r="B889" t="s">
        <v>1965</v>
      </c>
      <c r="C889" t="s">
        <v>706</v>
      </c>
      <c r="D889" t="s">
        <v>1965</v>
      </c>
      <c r="E889" t="s">
        <v>1966</v>
      </c>
      <c r="G889" t="s">
        <v>1945</v>
      </c>
      <c r="H889" t="s">
        <v>722</v>
      </c>
      <c r="I889" t="s">
        <v>717</v>
      </c>
    </row>
    <row r="890" spans="1:9" x14ac:dyDescent="0.25">
      <c r="A890" s="128" t="s">
        <v>1967</v>
      </c>
      <c r="B890" t="s">
        <v>1968</v>
      </c>
      <c r="C890" t="s">
        <v>706</v>
      </c>
      <c r="D890" t="s">
        <v>1968</v>
      </c>
      <c r="E890" t="s">
        <v>1969</v>
      </c>
      <c r="G890" t="s">
        <v>1945</v>
      </c>
      <c r="H890" t="s">
        <v>722</v>
      </c>
      <c r="I890" t="s">
        <v>717</v>
      </c>
    </row>
    <row r="891" spans="1:9" x14ac:dyDescent="0.25">
      <c r="A891" s="128" t="s">
        <v>1970</v>
      </c>
      <c r="B891" t="s">
        <v>1971</v>
      </c>
      <c r="C891" t="s">
        <v>706</v>
      </c>
      <c r="D891" t="s">
        <v>1972</v>
      </c>
      <c r="E891" t="s">
        <v>1971</v>
      </c>
      <c r="G891" t="s">
        <v>1945</v>
      </c>
      <c r="H891" t="s">
        <v>722</v>
      </c>
      <c r="I891" t="s">
        <v>463</v>
      </c>
    </row>
    <row r="892" spans="1:9" x14ac:dyDescent="0.25">
      <c r="A892" s="128" t="s">
        <v>1973</v>
      </c>
      <c r="B892" t="s">
        <v>1974</v>
      </c>
      <c r="C892" t="s">
        <v>706</v>
      </c>
      <c r="D892" t="s">
        <v>1975</v>
      </c>
      <c r="E892" t="s">
        <v>1974</v>
      </c>
      <c r="H892" t="s">
        <v>713</v>
      </c>
      <c r="I892" t="s">
        <v>463</v>
      </c>
    </row>
    <row r="893" spans="1:9" x14ac:dyDescent="0.25">
      <c r="A893" s="128" t="s">
        <v>1976</v>
      </c>
      <c r="B893" t="s">
        <v>1977</v>
      </c>
      <c r="C893" t="s">
        <v>706</v>
      </c>
      <c r="D893" t="s">
        <v>1977</v>
      </c>
      <c r="E893" t="s">
        <v>1978</v>
      </c>
      <c r="H893" t="s">
        <v>713</v>
      </c>
      <c r="I893" t="s">
        <v>717</v>
      </c>
    </row>
    <row r="894" spans="1:9" x14ac:dyDescent="0.25">
      <c r="A894" s="128" t="s">
        <v>1979</v>
      </c>
      <c r="B894" t="s">
        <v>1980</v>
      </c>
      <c r="C894" t="s">
        <v>706</v>
      </c>
      <c r="D894" t="s">
        <v>1980</v>
      </c>
      <c r="E894" t="s">
        <v>1981</v>
      </c>
      <c r="I894" t="s">
        <v>717</v>
      </c>
    </row>
    <row r="895" spans="1:9" x14ac:dyDescent="0.25">
      <c r="A895" s="128" t="s">
        <v>1982</v>
      </c>
      <c r="B895" t="s">
        <v>1983</v>
      </c>
      <c r="C895" t="s">
        <v>706</v>
      </c>
      <c r="D895" t="s">
        <v>1984</v>
      </c>
      <c r="E895" t="s">
        <v>1983</v>
      </c>
      <c r="I895" t="s">
        <v>463</v>
      </c>
    </row>
    <row r="896" spans="1:9" x14ac:dyDescent="0.25">
      <c r="A896" s="128" t="s">
        <v>1985</v>
      </c>
      <c r="B896" t="s">
        <v>1986</v>
      </c>
      <c r="C896" t="s">
        <v>706</v>
      </c>
      <c r="D896" t="s">
        <v>1987</v>
      </c>
      <c r="E896" t="s">
        <v>1986</v>
      </c>
      <c r="H896" t="s">
        <v>709</v>
      </c>
      <c r="I896" t="s">
        <v>463</v>
      </c>
    </row>
    <row r="897" spans="1:9" x14ac:dyDescent="0.25">
      <c r="A897" s="128" t="s">
        <v>1988</v>
      </c>
      <c r="B897" t="s">
        <v>1989</v>
      </c>
      <c r="C897" t="s">
        <v>706</v>
      </c>
      <c r="D897" t="s">
        <v>1990</v>
      </c>
      <c r="E897" t="s">
        <v>1989</v>
      </c>
      <c r="I897" t="s">
        <v>463</v>
      </c>
    </row>
    <row r="898" spans="1:9" x14ac:dyDescent="0.25">
      <c r="A898" s="128" t="s">
        <v>1991</v>
      </c>
      <c r="B898" t="s">
        <v>1992</v>
      </c>
      <c r="C898" t="s">
        <v>706</v>
      </c>
      <c r="D898" t="s">
        <v>1993</v>
      </c>
      <c r="E898" t="s">
        <v>1992</v>
      </c>
      <c r="H898" t="s">
        <v>713</v>
      </c>
      <c r="I898" t="s">
        <v>463</v>
      </c>
    </row>
    <row r="899" spans="1:9" x14ac:dyDescent="0.25">
      <c r="A899" s="128" t="s">
        <v>1994</v>
      </c>
      <c r="B899" t="s">
        <v>1995</v>
      </c>
      <c r="C899" t="s">
        <v>706</v>
      </c>
      <c r="D899" t="s">
        <v>1996</v>
      </c>
      <c r="E899" t="s">
        <v>1995</v>
      </c>
      <c r="I899" t="s">
        <v>717</v>
      </c>
    </row>
    <row r="900" spans="1:9" x14ac:dyDescent="0.25">
      <c r="A900" s="128" t="s">
        <v>1997</v>
      </c>
      <c r="B900" t="s">
        <v>1998</v>
      </c>
      <c r="C900" t="s">
        <v>706</v>
      </c>
      <c r="D900" t="s">
        <v>1999</v>
      </c>
      <c r="E900" t="s">
        <v>1998</v>
      </c>
      <c r="I900" t="s">
        <v>463</v>
      </c>
    </row>
    <row r="901" spans="1:9" x14ac:dyDescent="0.25">
      <c r="A901" s="128" t="s">
        <v>2000</v>
      </c>
      <c r="B901" t="s">
        <v>2001</v>
      </c>
      <c r="C901" t="s">
        <v>706</v>
      </c>
      <c r="D901" t="s">
        <v>2001</v>
      </c>
      <c r="E901" t="s">
        <v>2002</v>
      </c>
      <c r="I901" t="s">
        <v>717</v>
      </c>
    </row>
    <row r="902" spans="1:9" x14ac:dyDescent="0.25">
      <c r="A902" s="128" t="s">
        <v>2003</v>
      </c>
      <c r="B902" t="s">
        <v>2004</v>
      </c>
      <c r="C902" t="s">
        <v>706</v>
      </c>
      <c r="D902" t="s">
        <v>2005</v>
      </c>
      <c r="E902" t="s">
        <v>2004</v>
      </c>
      <c r="H902" t="s">
        <v>713</v>
      </c>
      <c r="I902" t="s">
        <v>463</v>
      </c>
    </row>
    <row r="903" spans="1:9" x14ac:dyDescent="0.25">
      <c r="A903" s="128" t="s">
        <v>2006</v>
      </c>
      <c r="B903" t="s">
        <v>2007</v>
      </c>
      <c r="C903" t="s">
        <v>750</v>
      </c>
      <c r="D903" t="s">
        <v>2007</v>
      </c>
      <c r="H903" t="s">
        <v>713</v>
      </c>
      <c r="I903" t="s">
        <v>463</v>
      </c>
    </row>
    <row r="904" spans="1:9" x14ac:dyDescent="0.25">
      <c r="A904" s="128" t="s">
        <v>2008</v>
      </c>
      <c r="B904" t="s">
        <v>2009</v>
      </c>
      <c r="C904" t="s">
        <v>750</v>
      </c>
      <c r="D904" t="s">
        <v>2009</v>
      </c>
      <c r="I904" t="s">
        <v>463</v>
      </c>
    </row>
    <row r="905" spans="1:9" x14ac:dyDescent="0.25">
      <c r="A905" s="128" t="s">
        <v>2010</v>
      </c>
      <c r="B905" t="s">
        <v>2011</v>
      </c>
      <c r="C905" t="s">
        <v>750</v>
      </c>
      <c r="D905" t="s">
        <v>2011</v>
      </c>
      <c r="I905" t="s">
        <v>463</v>
      </c>
    </row>
    <row r="906" spans="1:9" x14ac:dyDescent="0.25">
      <c r="A906" s="128" t="s">
        <v>2012</v>
      </c>
      <c r="B906" t="s">
        <v>2013</v>
      </c>
      <c r="C906" t="s">
        <v>750</v>
      </c>
      <c r="D906" t="s">
        <v>2013</v>
      </c>
      <c r="I906" t="s">
        <v>463</v>
      </c>
    </row>
    <row r="907" spans="1:9" x14ac:dyDescent="0.25">
      <c r="A907" s="128" t="s">
        <v>2014</v>
      </c>
      <c r="B907" t="s">
        <v>2015</v>
      </c>
      <c r="C907" t="s">
        <v>750</v>
      </c>
      <c r="D907" t="s">
        <v>2015</v>
      </c>
      <c r="I907" t="s">
        <v>463</v>
      </c>
    </row>
    <row r="908" spans="1:9" x14ac:dyDescent="0.25">
      <c r="A908" s="128" t="s">
        <v>2016</v>
      </c>
      <c r="B908" t="s">
        <v>2017</v>
      </c>
      <c r="C908" t="s">
        <v>750</v>
      </c>
      <c r="D908" t="s">
        <v>2017</v>
      </c>
      <c r="H908" t="s">
        <v>713</v>
      </c>
      <c r="I908" t="s">
        <v>463</v>
      </c>
    </row>
    <row r="909" spans="1:9" x14ac:dyDescent="0.25">
      <c r="A909" s="128" t="s">
        <v>2018</v>
      </c>
      <c r="B909" t="s">
        <v>2019</v>
      </c>
      <c r="C909" t="s">
        <v>750</v>
      </c>
      <c r="D909" t="s">
        <v>2019</v>
      </c>
      <c r="H909" t="s">
        <v>713</v>
      </c>
      <c r="I909" t="s">
        <v>463</v>
      </c>
    </row>
    <row r="910" spans="1:9" x14ac:dyDescent="0.25">
      <c r="A910" s="128" t="s">
        <v>2020</v>
      </c>
      <c r="B910" t="s">
        <v>2021</v>
      </c>
      <c r="C910" t="s">
        <v>750</v>
      </c>
      <c r="D910" t="s">
        <v>2021</v>
      </c>
      <c r="I910" t="s">
        <v>463</v>
      </c>
    </row>
    <row r="911" spans="1:9" x14ac:dyDescent="0.25">
      <c r="A911" s="128" t="s">
        <v>421</v>
      </c>
      <c r="B911" t="s">
        <v>2022</v>
      </c>
      <c r="C911" t="s">
        <v>706</v>
      </c>
      <c r="D911" t="s">
        <v>2023</v>
      </c>
      <c r="E911" t="s">
        <v>2022</v>
      </c>
      <c r="G911" t="s">
        <v>2024</v>
      </c>
      <c r="H911" t="s">
        <v>2025</v>
      </c>
      <c r="I911" t="s">
        <v>463</v>
      </c>
    </row>
    <row r="912" spans="1:9" x14ac:dyDescent="0.25">
      <c r="A912" s="128" t="s">
        <v>422</v>
      </c>
      <c r="B912" t="s">
        <v>2026</v>
      </c>
      <c r="C912" t="s">
        <v>706</v>
      </c>
      <c r="D912" t="s">
        <v>2027</v>
      </c>
      <c r="E912" t="s">
        <v>2026</v>
      </c>
      <c r="G912" t="s">
        <v>2024</v>
      </c>
      <c r="H912" t="s">
        <v>849</v>
      </c>
      <c r="I912" t="s">
        <v>717</v>
      </c>
    </row>
    <row r="913" spans="1:9" x14ac:dyDescent="0.25">
      <c r="A913" s="128" t="s">
        <v>369</v>
      </c>
      <c r="B913" t="s">
        <v>2028</v>
      </c>
      <c r="C913" t="s">
        <v>706</v>
      </c>
      <c r="D913" t="s">
        <v>2029</v>
      </c>
      <c r="E913" t="s">
        <v>2028</v>
      </c>
      <c r="G913" t="s">
        <v>17</v>
      </c>
      <c r="H913" t="s">
        <v>1487</v>
      </c>
      <c r="I913" t="s">
        <v>717</v>
      </c>
    </row>
    <row r="914" spans="1:9" x14ac:dyDescent="0.25">
      <c r="A914" s="128" t="s">
        <v>2030</v>
      </c>
      <c r="B914" t="s">
        <v>2031</v>
      </c>
      <c r="C914" t="s">
        <v>462</v>
      </c>
      <c r="E914" t="s">
        <v>2031</v>
      </c>
      <c r="I914" t="s">
        <v>463</v>
      </c>
    </row>
    <row r="915" spans="1:9" x14ac:dyDescent="0.25">
      <c r="A915" s="128" t="s">
        <v>2032</v>
      </c>
      <c r="B915" t="s">
        <v>2033</v>
      </c>
      <c r="C915" t="s">
        <v>706</v>
      </c>
      <c r="D915" t="s">
        <v>2034</v>
      </c>
      <c r="E915" t="s">
        <v>2033</v>
      </c>
      <c r="F915" t="s">
        <v>2035</v>
      </c>
      <c r="G915" t="s">
        <v>859</v>
      </c>
      <c r="H915" t="s">
        <v>709</v>
      </c>
      <c r="I915" t="s">
        <v>463</v>
      </c>
    </row>
    <row r="916" spans="1:9" x14ac:dyDescent="0.25">
      <c r="A916" s="128" t="s">
        <v>2036</v>
      </c>
      <c r="B916" t="s">
        <v>2111</v>
      </c>
      <c r="C916" t="s">
        <v>706</v>
      </c>
      <c r="D916" t="s">
        <v>2037</v>
      </c>
      <c r="E916" t="s">
        <v>2111</v>
      </c>
      <c r="G916" t="s">
        <v>113</v>
      </c>
      <c r="H916" t="s">
        <v>1310</v>
      </c>
      <c r="I916" t="s">
        <v>717</v>
      </c>
    </row>
    <row r="917" spans="1:9" x14ac:dyDescent="0.25">
      <c r="A917" s="128" t="s">
        <v>2038</v>
      </c>
      <c r="B917" t="s">
        <v>2112</v>
      </c>
      <c r="C917" t="s">
        <v>706</v>
      </c>
      <c r="D917" t="s">
        <v>2039</v>
      </c>
      <c r="E917" t="s">
        <v>2112</v>
      </c>
      <c r="G917" t="s">
        <v>113</v>
      </c>
      <c r="H917" t="s">
        <v>852</v>
      </c>
      <c r="I917" t="s">
        <v>717</v>
      </c>
    </row>
    <row r="918" spans="1:9" x14ac:dyDescent="0.25">
      <c r="A918" s="128" t="s">
        <v>2040</v>
      </c>
      <c r="B918" t="s">
        <v>2041</v>
      </c>
      <c r="C918" t="s">
        <v>706</v>
      </c>
      <c r="D918" t="s">
        <v>2042</v>
      </c>
      <c r="E918" t="s">
        <v>2041</v>
      </c>
      <c r="I918" t="s">
        <v>463</v>
      </c>
    </row>
    <row r="919" spans="1:9" x14ac:dyDescent="0.25">
      <c r="A919" s="128" t="s">
        <v>2276</v>
      </c>
      <c r="B919" t="s">
        <v>2277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opLeftCell="D1" workbookViewId="0">
      <selection activeCell="D3" sqref="D3:D13"/>
    </sheetView>
  </sheetViews>
  <sheetFormatPr baseColWidth="10" defaultRowHeight="15" x14ac:dyDescent="0.25"/>
  <cols>
    <col min="1" max="1" width="11.42578125" style="87"/>
    <col min="2" max="2" width="11.85546875" style="87" bestFit="1" customWidth="1"/>
    <col min="3" max="3" width="12.28515625" style="87" bestFit="1" customWidth="1"/>
    <col min="4" max="4" width="45.85546875" style="87" customWidth="1"/>
    <col min="5" max="5" width="15.28515625" style="87" customWidth="1"/>
  </cols>
  <sheetData>
    <row r="1" spans="1:9" x14ac:dyDescent="0.25">
      <c r="H1" t="s">
        <v>145</v>
      </c>
      <c r="I1">
        <v>268.20999999999998</v>
      </c>
    </row>
    <row r="2" spans="1:9" x14ac:dyDescent="0.25">
      <c r="A2" s="88" t="s">
        <v>208</v>
      </c>
      <c r="B2" s="89" t="s">
        <v>209</v>
      </c>
      <c r="C2" s="90" t="s">
        <v>210</v>
      </c>
      <c r="D2" s="91" t="s">
        <v>211</v>
      </c>
      <c r="E2" s="92" t="s">
        <v>212</v>
      </c>
    </row>
    <row r="3" spans="1:9" x14ac:dyDescent="0.25">
      <c r="A3" s="93">
        <v>45107</v>
      </c>
      <c r="B3" s="87" t="s">
        <v>213</v>
      </c>
      <c r="C3" s="87">
        <v>22.5</v>
      </c>
      <c r="D3" s="87" t="s">
        <v>214</v>
      </c>
      <c r="E3" s="94">
        <f>((C3*1.35)*I$1)</f>
        <v>8146.8787500000008</v>
      </c>
    </row>
    <row r="4" spans="1:9" x14ac:dyDescent="0.25">
      <c r="A4" s="93">
        <v>45107</v>
      </c>
      <c r="B4" s="87" t="s">
        <v>213</v>
      </c>
      <c r="C4" s="87">
        <v>938</v>
      </c>
      <c r="D4" s="87" t="s">
        <v>215</v>
      </c>
      <c r="E4" s="94">
        <f>((C4*1.35)*I$1)</f>
        <v>339634.32300000003</v>
      </c>
    </row>
    <row r="5" spans="1:9" x14ac:dyDescent="0.25">
      <c r="A5" s="93">
        <v>45107</v>
      </c>
      <c r="B5" s="87" t="s">
        <v>213</v>
      </c>
      <c r="C5" s="87">
        <v>21</v>
      </c>
      <c r="D5" s="87" t="s">
        <v>216</v>
      </c>
      <c r="E5" s="94">
        <f t="shared" ref="E5:E13" si="0">((C5*1.35)*I$1)</f>
        <v>7603.7534999999998</v>
      </c>
    </row>
    <row r="6" spans="1:9" x14ac:dyDescent="0.25">
      <c r="A6" s="93">
        <v>45107</v>
      </c>
      <c r="B6" s="87" t="s">
        <v>213</v>
      </c>
      <c r="C6" s="87">
        <v>6</v>
      </c>
      <c r="D6" s="87" t="s">
        <v>217</v>
      </c>
      <c r="E6" s="94">
        <f t="shared" si="0"/>
        <v>2172.5010000000002</v>
      </c>
    </row>
    <row r="7" spans="1:9" x14ac:dyDescent="0.25">
      <c r="A7" s="93">
        <v>45107</v>
      </c>
      <c r="B7" s="87" t="s">
        <v>213</v>
      </c>
      <c r="C7" s="87">
        <v>126</v>
      </c>
      <c r="D7" s="87" t="s">
        <v>218</v>
      </c>
      <c r="E7" s="94">
        <f t="shared" si="0"/>
        <v>45622.521000000001</v>
      </c>
    </row>
    <row r="8" spans="1:9" x14ac:dyDescent="0.25">
      <c r="A8" s="93">
        <v>45107</v>
      </c>
      <c r="B8" s="87" t="s">
        <v>213</v>
      </c>
      <c r="C8" s="87">
        <v>11.5</v>
      </c>
      <c r="D8" s="87" t="s">
        <v>219</v>
      </c>
      <c r="E8" s="94">
        <f t="shared" si="0"/>
        <v>4163.9602500000001</v>
      </c>
    </row>
    <row r="9" spans="1:9" x14ac:dyDescent="0.25">
      <c r="A9" s="93">
        <v>45107</v>
      </c>
      <c r="B9" s="87" t="s">
        <v>213</v>
      </c>
      <c r="C9" s="87">
        <v>73</v>
      </c>
      <c r="D9" s="87" t="s">
        <v>220</v>
      </c>
      <c r="E9" s="94">
        <f t="shared" si="0"/>
        <v>26432.095499999999</v>
      </c>
    </row>
    <row r="10" spans="1:9" x14ac:dyDescent="0.25">
      <c r="A10" s="93">
        <v>45107</v>
      </c>
      <c r="B10" s="87" t="s">
        <v>213</v>
      </c>
      <c r="C10" s="87">
        <v>25.5</v>
      </c>
      <c r="D10" s="87" t="s">
        <v>221</v>
      </c>
      <c r="E10" s="94">
        <f t="shared" si="0"/>
        <v>9233.12925</v>
      </c>
    </row>
    <row r="11" spans="1:9" x14ac:dyDescent="0.25">
      <c r="A11" s="93">
        <v>45107</v>
      </c>
      <c r="B11" s="87" t="s">
        <v>213</v>
      </c>
      <c r="C11" s="87">
        <v>8.5</v>
      </c>
      <c r="D11" s="87" t="s">
        <v>222</v>
      </c>
      <c r="E11" s="94">
        <f t="shared" si="0"/>
        <v>3077.70975</v>
      </c>
    </row>
    <row r="12" spans="1:9" x14ac:dyDescent="0.25">
      <c r="A12" s="93">
        <v>45107</v>
      </c>
      <c r="B12" s="87" t="s">
        <v>213</v>
      </c>
      <c r="C12" s="87">
        <v>7</v>
      </c>
      <c r="D12" s="87" t="s">
        <v>223</v>
      </c>
      <c r="E12" s="94">
        <f t="shared" si="0"/>
        <v>2534.5844999999999</v>
      </c>
    </row>
    <row r="13" spans="1:9" x14ac:dyDescent="0.25">
      <c r="A13" s="93"/>
      <c r="C13" s="87">
        <v>75</v>
      </c>
      <c r="D13" s="87" t="s">
        <v>224</v>
      </c>
      <c r="E13" s="94">
        <f t="shared" si="0"/>
        <v>27156.262499999997</v>
      </c>
    </row>
    <row r="14" spans="1:9" x14ac:dyDescent="0.25">
      <c r="A14" s="9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REPUESTOS (2)</vt:lpstr>
      <vt:lpstr>REPUESTOS</vt:lpstr>
      <vt:lpstr>CÓDIGOS</vt:lpstr>
      <vt:lpstr>MEDIX</vt:lpstr>
      <vt:lpstr>REPUESTOS!Print_Area</vt:lpstr>
      <vt:lpstr>'REPUESTOS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Lautaro</cp:lastModifiedBy>
  <cp:lastPrinted>2021-05-04T14:38:12Z</cp:lastPrinted>
  <dcterms:created xsi:type="dcterms:W3CDTF">2016-04-21T16:01:05Z</dcterms:created>
  <dcterms:modified xsi:type="dcterms:W3CDTF">2026-01-16T20:29:12Z</dcterms:modified>
</cp:coreProperties>
</file>